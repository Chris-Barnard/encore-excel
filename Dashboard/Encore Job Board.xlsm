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/>
  <c r="C12" s="1"/>
  <c r="C6" s="1"/>
  <c r="R6"/>
  <c r="M6"/>
  <c r="H6"/>
  <c r="C23"/>
  <c r="R29"/>
  <c r="R23" s="1"/>
  <c r="M29"/>
  <c r="M23" s="1"/>
  <c r="P23" s="1"/>
  <c r="H29"/>
  <c r="H23" s="1"/>
  <c r="K23" s="1"/>
  <c r="C29"/>
  <c r="R12"/>
  <c r="M12"/>
  <c r="H12"/>
  <c r="H8"/>
  <c r="M8" s="1"/>
  <c r="R8" s="1"/>
  <c r="C25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<sst xmlns="http://schemas.openxmlformats.org/spreadsheetml/2006/main" count="627" uniqueCount="201">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</sst>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68" Type="http://schemas.openxmlformats.org/officeDocument/2006/relationships/image" Target="../media/image69.emf"/><Relationship Id="rId7" Type="http://schemas.openxmlformats.org/officeDocument/2006/relationships/image" Target="../media/image8.emf"/><Relationship Id="rId71" Type="http://schemas.openxmlformats.org/officeDocument/2006/relationships/image" Target="../media/image72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74" Type="http://schemas.openxmlformats.org/officeDocument/2006/relationships/image" Target="../media/image7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73" Type="http://schemas.openxmlformats.org/officeDocument/2006/relationships/image" Target="../media/image74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69" Type="http://schemas.openxmlformats.org/officeDocument/2006/relationships/image" Target="../media/image70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72" Type="http://schemas.openxmlformats.org/officeDocument/2006/relationships/image" Target="../media/image73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Relationship Id="rId70" Type="http://schemas.openxmlformats.org/officeDocument/2006/relationships/image" Target="../media/image71.emf"/><Relationship Id="rId1" Type="http://schemas.openxmlformats.org/officeDocument/2006/relationships/image" Target="../media/image2.emf"/><Relationship Id="rId6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5" totalsRowShown="0" headerRowDxfId="17" dataDxfId="16">
  <autoFilter ref="A1:A15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14">
  <autoFilter ref="G1:G6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7">
  <autoFilter ref="K1:K2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5">
  <autoFilter ref="M1:M2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3">
  <autoFilter ref="O1:O2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31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2"/>
      <c r="R1" s="132"/>
      <c r="S1" s="132"/>
      <c r="T1" s="132"/>
    </row>
    <row r="2" spans="1:20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2"/>
      <c r="R2" s="132"/>
      <c r="S2" s="132"/>
      <c r="T2" s="132"/>
    </row>
    <row r="3" spans="1:20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2"/>
      <c r="R3" s="132"/>
      <c r="S3" s="132"/>
      <c r="T3" s="132"/>
    </row>
    <row r="4" spans="1:20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2"/>
      <c r="R4" s="132"/>
      <c r="S4" s="132"/>
      <c r="T4" s="132"/>
    </row>
    <row r="5" spans="1:20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2"/>
      <c r="R5" s="132"/>
      <c r="S5" s="132"/>
      <c r="T5" s="132"/>
    </row>
    <row r="6" spans="1:20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2"/>
      <c r="R6" s="132"/>
      <c r="S6" s="132"/>
      <c r="T6" s="132"/>
    </row>
    <row r="7" spans="1:20" ht="24" customHeight="1">
      <c r="A7" s="133" t="s">
        <v>83</v>
      </c>
      <c r="B7" s="133"/>
      <c r="C7" s="133"/>
      <c r="D7" s="133"/>
      <c r="E7" s="121" t="s">
        <v>78</v>
      </c>
      <c r="F7" s="122"/>
      <c r="G7" s="122"/>
      <c r="H7" s="123"/>
      <c r="I7" s="121" t="s">
        <v>69</v>
      </c>
      <c r="J7" s="122"/>
      <c r="K7" s="122"/>
      <c r="L7" s="123"/>
      <c r="M7" s="121" t="s">
        <v>52</v>
      </c>
      <c r="N7" s="122"/>
      <c r="O7" s="122"/>
      <c r="P7" s="123"/>
      <c r="Q7" s="121" t="s">
        <v>63</v>
      </c>
      <c r="R7" s="122"/>
      <c r="S7" s="122"/>
      <c r="T7" s="123"/>
    </row>
    <row r="8" spans="1:20" s="4" customFormat="1" ht="18.75">
      <c r="A8" s="111" t="s">
        <v>84</v>
      </c>
      <c r="B8" s="112"/>
      <c r="C8" s="112"/>
      <c r="D8" s="112"/>
      <c r="E8" s="100" t="s">
        <v>79</v>
      </c>
      <c r="F8" s="101"/>
      <c r="G8" s="101"/>
      <c r="H8" s="101"/>
      <c r="I8" s="111" t="s">
        <v>61</v>
      </c>
      <c r="J8" s="112"/>
      <c r="K8" s="112"/>
      <c r="L8" s="112"/>
      <c r="M8" s="111" t="s">
        <v>26</v>
      </c>
      <c r="N8" s="112"/>
      <c r="O8" s="112"/>
      <c r="P8" s="112"/>
      <c r="Q8" s="111" t="s">
        <v>64</v>
      </c>
      <c r="R8" s="112"/>
      <c r="S8" s="112"/>
      <c r="T8" s="112"/>
    </row>
    <row r="9" spans="1:20" s="4" customFormat="1" ht="18.75">
      <c r="A9" s="119" t="s">
        <v>82</v>
      </c>
      <c r="B9" s="119"/>
      <c r="C9" s="119"/>
      <c r="D9" s="119"/>
      <c r="E9" s="120" t="s">
        <v>80</v>
      </c>
      <c r="F9" s="101"/>
      <c r="G9" s="101"/>
      <c r="H9" s="101"/>
      <c r="I9" s="120"/>
      <c r="J9" s="120"/>
      <c r="K9" s="120"/>
      <c r="L9" s="120"/>
      <c r="M9" s="119"/>
      <c r="N9" s="119"/>
      <c r="O9" s="119"/>
      <c r="P9" s="119"/>
      <c r="Q9" s="111" t="s">
        <v>65</v>
      </c>
      <c r="R9" s="124"/>
      <c r="S9" s="124"/>
      <c r="T9" s="124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13" t="s">
        <v>18</v>
      </c>
      <c r="B17" s="114"/>
      <c r="C17" s="114"/>
      <c r="D17" s="115"/>
      <c r="E17" s="116" t="s">
        <v>18</v>
      </c>
      <c r="F17" s="117"/>
      <c r="G17" s="117"/>
      <c r="H17" s="118"/>
      <c r="I17" s="116" t="s">
        <v>68</v>
      </c>
      <c r="J17" s="117"/>
      <c r="K17" s="117"/>
      <c r="L17" s="118"/>
      <c r="M17" s="116" t="s">
        <v>67</v>
      </c>
      <c r="N17" s="117"/>
      <c r="O17" s="117"/>
      <c r="P17" s="118"/>
      <c r="Q17" s="116" t="s">
        <v>18</v>
      </c>
      <c r="R17" s="117"/>
      <c r="S17" s="117"/>
      <c r="T17" s="118"/>
    </row>
    <row r="18" spans="1:20" s="4" customFormat="1" ht="18.75">
      <c r="A18" s="111" t="s">
        <v>59</v>
      </c>
      <c r="B18" s="112"/>
      <c r="C18" s="112"/>
      <c r="D18" s="112"/>
      <c r="E18" s="111" t="s">
        <v>48</v>
      </c>
      <c r="F18" s="112"/>
      <c r="G18" s="112"/>
      <c r="H18" s="112"/>
      <c r="I18" s="111" t="s">
        <v>46</v>
      </c>
      <c r="J18" s="112"/>
      <c r="K18" s="112"/>
      <c r="L18" s="112"/>
      <c r="M18" s="111" t="s">
        <v>53</v>
      </c>
      <c r="N18" s="112"/>
      <c r="O18" s="112"/>
      <c r="P18" s="112"/>
      <c r="Q18" s="111" t="s">
        <v>27</v>
      </c>
      <c r="R18" s="111"/>
      <c r="S18" s="111"/>
      <c r="T18" s="111"/>
    </row>
    <row r="19" spans="1:20" s="4" customFormat="1" ht="18.75">
      <c r="A19" s="111"/>
      <c r="B19" s="112"/>
      <c r="C19" s="112"/>
      <c r="D19" s="112"/>
      <c r="E19" s="100"/>
      <c r="F19" s="100"/>
      <c r="G19" s="100"/>
      <c r="H19" s="100"/>
      <c r="I19" s="100"/>
      <c r="J19" s="100"/>
      <c r="K19" s="100"/>
      <c r="L19" s="100"/>
      <c r="M19" s="111" t="s">
        <v>19</v>
      </c>
      <c r="N19" s="111"/>
      <c r="O19" s="111"/>
      <c r="P19" s="111"/>
      <c r="Q19" s="111" t="s">
        <v>19</v>
      </c>
      <c r="R19" s="111"/>
      <c r="S19" s="111"/>
      <c r="T19" s="111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28" t="s">
        <v>18</v>
      </c>
      <c r="B27" s="129"/>
      <c r="C27" s="129"/>
      <c r="D27" s="129"/>
      <c r="E27" s="127" t="s">
        <v>58</v>
      </c>
      <c r="F27" s="127"/>
      <c r="G27" s="127"/>
      <c r="H27" s="127"/>
      <c r="I27" s="127" t="s">
        <v>40</v>
      </c>
      <c r="J27" s="127"/>
      <c r="K27" s="127"/>
      <c r="L27" s="127"/>
      <c r="M27" s="127" t="s">
        <v>36</v>
      </c>
      <c r="N27" s="127"/>
      <c r="O27" s="127"/>
      <c r="P27" s="127"/>
      <c r="Q27" s="127" t="s">
        <v>18</v>
      </c>
      <c r="R27" s="127"/>
      <c r="S27" s="127"/>
      <c r="T27" s="127"/>
    </row>
    <row r="28" spans="1:20" s="4" customFormat="1" ht="18.75">
      <c r="A28" s="111"/>
      <c r="B28" s="112"/>
      <c r="C28" s="112"/>
      <c r="D28" s="112"/>
      <c r="E28" s="111"/>
      <c r="F28" s="112"/>
      <c r="G28" s="112"/>
      <c r="H28" s="112"/>
      <c r="I28" s="111"/>
      <c r="J28" s="112"/>
      <c r="K28" s="112"/>
      <c r="L28" s="112"/>
      <c r="M28" s="111"/>
      <c r="N28" s="112"/>
      <c r="O28" s="112"/>
      <c r="P28" s="112"/>
      <c r="Q28" s="111" t="s">
        <v>27</v>
      </c>
      <c r="R28" s="111"/>
      <c r="S28" s="111"/>
      <c r="T28" s="111"/>
    </row>
    <row r="29" spans="1:20" s="4" customFormat="1" ht="18.75">
      <c r="A29" s="111"/>
      <c r="B29" s="112"/>
      <c r="C29" s="112"/>
      <c r="D29" s="112"/>
      <c r="E29" s="111"/>
      <c r="F29" s="112"/>
      <c r="G29" s="112"/>
      <c r="H29" s="112"/>
      <c r="I29" s="111"/>
      <c r="J29" s="112"/>
      <c r="K29" s="112"/>
      <c r="L29" s="112"/>
      <c r="M29" s="111"/>
      <c r="N29" s="112"/>
      <c r="O29" s="112"/>
      <c r="P29" s="112"/>
      <c r="Q29" s="111"/>
      <c r="R29" s="111"/>
      <c r="S29" s="111"/>
      <c r="T29" s="111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30" t="s">
        <v>70</v>
      </c>
      <c r="B37" s="130"/>
      <c r="C37" s="130"/>
      <c r="D37" s="130"/>
      <c r="E37" s="125" t="s">
        <v>54</v>
      </c>
      <c r="F37" s="125"/>
      <c r="G37" s="125"/>
      <c r="H37" s="125"/>
      <c r="I37" s="125" t="s">
        <v>18</v>
      </c>
      <c r="J37" s="125"/>
      <c r="K37" s="125"/>
      <c r="L37" s="125"/>
      <c r="M37" s="125" t="s">
        <v>20</v>
      </c>
      <c r="N37" s="125"/>
      <c r="O37" s="125"/>
      <c r="P37" s="125"/>
      <c r="Q37" s="125" t="s">
        <v>18</v>
      </c>
      <c r="R37" s="125"/>
      <c r="S37" s="125"/>
      <c r="T37" s="125"/>
    </row>
    <row r="38" spans="1:20" s="4" customFormat="1" ht="18.75">
      <c r="A38" s="111" t="s">
        <v>71</v>
      </c>
      <c r="B38" s="112"/>
      <c r="C38" s="112"/>
      <c r="D38" s="112"/>
      <c r="E38" s="100"/>
      <c r="F38" s="100"/>
      <c r="G38" s="100"/>
      <c r="H38" s="100"/>
      <c r="I38" s="111" t="s">
        <v>16</v>
      </c>
      <c r="J38" s="111"/>
      <c r="K38" s="111"/>
      <c r="L38" s="111"/>
      <c r="M38" s="126" t="s">
        <v>26</v>
      </c>
      <c r="N38" s="126"/>
      <c r="O38" s="126"/>
      <c r="P38" s="126"/>
      <c r="Q38" s="111" t="s">
        <v>24</v>
      </c>
      <c r="R38" s="111"/>
      <c r="S38" s="111"/>
      <c r="T38" s="111"/>
    </row>
    <row r="39" spans="1:20" s="4" customFormat="1" ht="18.75">
      <c r="A39" s="100" t="s">
        <v>72</v>
      </c>
      <c r="B39" s="101"/>
      <c r="C39" s="101"/>
      <c r="D39" s="101"/>
      <c r="E39" s="102"/>
      <c r="F39" s="103"/>
      <c r="G39" s="103"/>
      <c r="H39" s="104"/>
      <c r="I39" s="105" t="s">
        <v>14</v>
      </c>
      <c r="J39" s="106"/>
      <c r="K39" s="106"/>
      <c r="L39" s="107"/>
      <c r="M39" s="108" t="s">
        <v>14</v>
      </c>
      <c r="N39" s="109"/>
      <c r="O39" s="109"/>
      <c r="P39" s="110"/>
      <c r="Q39" s="105" t="s">
        <v>14</v>
      </c>
      <c r="R39" s="106"/>
      <c r="S39" s="106"/>
      <c r="T39" s="107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zoomScaleNormal="100" workbookViewId="0">
      <selection activeCell="H27" sqref="H27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68">
        <v>1</v>
      </c>
      <c r="C6" s="68">
        <f ca="1">IFERROR(NETWORKDAYS(TODAY(),C12,holidays[])-1,"x")</f>
        <v>4</v>
      </c>
      <c r="F6" s="68" t="str">
        <f ca="1">IFERROR(VLOOKUP(C6,Table10[],2,1),0)</f>
        <v>YELLOW</v>
      </c>
      <c r="G6" s="68">
        <v>2</v>
      </c>
      <c r="H6" s="68">
        <f ca="1">IFERROR(NETWORKDAYS(TODAY(),H12,holidays[])-1,"x")</f>
        <v>1</v>
      </c>
      <c r="K6" s="68" t="str">
        <f ca="1">IFERROR(VLOOKUP(H6,Table10[],2,1),0)</f>
        <v>RED</v>
      </c>
      <c r="L6" s="68">
        <v>3</v>
      </c>
      <c r="M6" s="68">
        <f ca="1">IFERROR(NETWORKDAYS(TODAY(),M12,holidays[])-1,"x")</f>
        <v>4</v>
      </c>
      <c r="P6" s="68" t="str">
        <f ca="1">IFERROR(VLOOKUP(M6,Table10[],2,1),0)</f>
        <v>YELLOW</v>
      </c>
      <c r="Q6" s="68">
        <v>4</v>
      </c>
      <c r="R6" s="68">
        <f ca="1">IFERROR(NETWORKDAYS(TODAY(),R12,holidays[])-1,"x")</f>
        <v>9</v>
      </c>
      <c r="U6" s="68" t="str">
        <f ca="1">IFERROR(VLOOKUP(R6,Table10[],2,1),0)</f>
        <v>GREEN</v>
      </c>
    </row>
    <row r="7" spans="2:21" ht="21" thickTop="1" thickBot="1">
      <c r="B7" s="79" t="str">
        <f>"BAY " &amp;B6</f>
        <v>BAY 1</v>
      </c>
      <c r="C7" s="80"/>
      <c r="D7" s="80"/>
      <c r="E7" s="80"/>
      <c r="F7" s="81"/>
      <c r="G7" s="79" t="str">
        <f>"BAY " &amp;G6</f>
        <v>BAY 2</v>
      </c>
      <c r="H7" s="80"/>
      <c r="I7" s="80"/>
      <c r="J7" s="80"/>
      <c r="K7" s="81"/>
      <c r="L7" s="79" t="str">
        <f>"BAY " &amp;L6</f>
        <v>BAY 3</v>
      </c>
      <c r="M7" s="80"/>
      <c r="N7" s="80"/>
      <c r="O7" s="80"/>
      <c r="P7" s="81"/>
      <c r="Q7" s="79" t="str">
        <f>"BAY " &amp;Q6</f>
        <v>BAY 4</v>
      </c>
      <c r="R7" s="80"/>
      <c r="S7" s="80"/>
      <c r="T7" s="80"/>
      <c r="U7" s="81"/>
    </row>
    <row r="8" spans="2:21" ht="15.75" thickTop="1">
      <c r="B8" s="70" t="s">
        <v>121</v>
      </c>
      <c r="C8" s="69">
        <v>7504</v>
      </c>
      <c r="D8" s="57"/>
      <c r="E8" s="64" t="s">
        <v>86</v>
      </c>
      <c r="F8" s="71" t="s">
        <v>120</v>
      </c>
      <c r="G8" s="70" t="s">
        <v>121</v>
      </c>
      <c r="H8" s="69">
        <f>C8+375</f>
        <v>7879</v>
      </c>
      <c r="I8" s="57"/>
      <c r="J8" s="64" t="s">
        <v>86</v>
      </c>
      <c r="K8" s="71" t="s">
        <v>120</v>
      </c>
      <c r="L8" s="70" t="s">
        <v>121</v>
      </c>
      <c r="M8" s="69">
        <f>H8+375</f>
        <v>8254</v>
      </c>
      <c r="N8" s="57"/>
      <c r="O8" s="64" t="s">
        <v>86</v>
      </c>
      <c r="P8" s="71" t="s">
        <v>120</v>
      </c>
      <c r="Q8" s="70" t="s">
        <v>121</v>
      </c>
      <c r="R8" s="69">
        <f>M8+375</f>
        <v>8629</v>
      </c>
      <c r="S8" s="57"/>
      <c r="T8" s="64" t="s">
        <v>86</v>
      </c>
      <c r="U8" s="71" t="s">
        <v>120</v>
      </c>
    </row>
    <row r="9" spans="2:21">
      <c r="B9" s="72"/>
      <c r="C9" s="57"/>
      <c r="D9" s="57"/>
      <c r="E9" s="64" t="s">
        <v>109</v>
      </c>
      <c r="F9" s="73"/>
      <c r="G9" s="72"/>
      <c r="H9" s="57"/>
      <c r="I9" s="57"/>
      <c r="J9" s="64" t="s">
        <v>109</v>
      </c>
      <c r="K9" s="73"/>
      <c r="L9" s="72"/>
      <c r="M9" s="57"/>
      <c r="N9" s="57"/>
      <c r="O9" s="64" t="s">
        <v>109</v>
      </c>
      <c r="P9" s="73"/>
      <c r="Q9" s="72"/>
      <c r="R9" s="57"/>
      <c r="S9" s="57"/>
      <c r="T9" s="64" t="s">
        <v>109</v>
      </c>
      <c r="U9" s="73"/>
    </row>
    <row r="10" spans="2:21">
      <c r="B10" s="70" t="s">
        <v>87</v>
      </c>
      <c r="C10" s="61">
        <f ca="1">TODAY()</f>
        <v>42549</v>
      </c>
      <c r="D10" s="57"/>
      <c r="E10" s="66" t="s">
        <v>89</v>
      </c>
      <c r="F10" s="91"/>
      <c r="G10" s="70" t="s">
        <v>87</v>
      </c>
      <c r="H10" s="61">
        <v>42548</v>
      </c>
      <c r="I10" s="57"/>
      <c r="J10" s="66" t="s">
        <v>89</v>
      </c>
      <c r="K10" s="91"/>
      <c r="L10" s="70" t="s">
        <v>87</v>
      </c>
      <c r="M10" s="61">
        <v>42548</v>
      </c>
      <c r="N10" s="57"/>
      <c r="O10" s="66" t="s">
        <v>89</v>
      </c>
      <c r="P10" s="91"/>
      <c r="Q10" s="70" t="s">
        <v>87</v>
      </c>
      <c r="R10" s="61">
        <v>42548</v>
      </c>
      <c r="S10" s="57"/>
      <c r="T10" s="66" t="s">
        <v>89</v>
      </c>
      <c r="U10" s="91"/>
    </row>
    <row r="11" spans="2:21">
      <c r="B11" s="70" t="s">
        <v>88</v>
      </c>
      <c r="C11" s="62">
        <v>4</v>
      </c>
      <c r="D11" s="57"/>
      <c r="E11" s="89"/>
      <c r="F11" s="74"/>
      <c r="G11" s="70" t="s">
        <v>88</v>
      </c>
      <c r="H11" s="62">
        <v>2</v>
      </c>
      <c r="I11" s="57"/>
      <c r="J11" s="89"/>
      <c r="K11" s="74"/>
      <c r="L11" s="70" t="s">
        <v>88</v>
      </c>
      <c r="M11" s="62">
        <v>5</v>
      </c>
      <c r="N11" s="57"/>
      <c r="O11" s="89"/>
      <c r="P11" s="74"/>
      <c r="Q11" s="70" t="s">
        <v>88</v>
      </c>
      <c r="R11" s="62">
        <v>10</v>
      </c>
      <c r="S11" s="57"/>
      <c r="T11" s="89"/>
      <c r="U11" s="74"/>
    </row>
    <row r="12" spans="2:21">
      <c r="B12" s="70" t="s">
        <v>119</v>
      </c>
      <c r="C12" s="63">
        <f ca="1">IF(C10&lt;&gt;0,WORKDAY(C10,C11, holidays[]),"")</f>
        <v>42556</v>
      </c>
      <c r="D12" s="57"/>
      <c r="E12" s="89"/>
      <c r="F12" s="74"/>
      <c r="G12" s="70" t="s">
        <v>119</v>
      </c>
      <c r="H12" s="63">
        <f>IF(H10&lt;&gt;0,WORKDAY(H10,H11, holidays[]),"")</f>
        <v>42550</v>
      </c>
      <c r="I12" s="57"/>
      <c r="J12" s="89"/>
      <c r="K12" s="74"/>
      <c r="L12" s="70" t="s">
        <v>119</v>
      </c>
      <c r="M12" s="63">
        <f>IF(M10&lt;&gt;0,WORKDAY(M10,M11, holidays[]),"")</f>
        <v>42556</v>
      </c>
      <c r="N12" s="57"/>
      <c r="O12" s="89"/>
      <c r="P12" s="74"/>
      <c r="Q12" s="70" t="s">
        <v>119</v>
      </c>
      <c r="R12" s="63">
        <f>IF(R10&lt;&gt;0,WORKDAY(R10,R11, holidays[]),"")</f>
        <v>42563</v>
      </c>
      <c r="S12" s="57"/>
      <c r="T12" s="89"/>
      <c r="U12" s="74"/>
    </row>
    <row r="13" spans="2:21">
      <c r="B13" s="72"/>
      <c r="C13" s="57"/>
      <c r="D13" s="57"/>
      <c r="E13" s="89"/>
      <c r="F13" s="74"/>
      <c r="G13" s="72"/>
      <c r="H13" s="57"/>
      <c r="I13" s="57"/>
      <c r="J13" s="89"/>
      <c r="K13" s="74"/>
      <c r="L13" s="72"/>
      <c r="M13" s="57"/>
      <c r="N13" s="57"/>
      <c r="O13" s="89"/>
      <c r="P13" s="74"/>
      <c r="Q13" s="72"/>
      <c r="R13" s="57"/>
      <c r="S13" s="57"/>
      <c r="T13" s="89"/>
      <c r="U13" s="74"/>
    </row>
    <row r="14" spans="2:21">
      <c r="B14" s="92" t="s">
        <v>105</v>
      </c>
      <c r="C14" s="83"/>
      <c r="D14" s="57"/>
      <c r="E14" s="89"/>
      <c r="F14" s="74"/>
      <c r="G14" s="92" t="s">
        <v>105</v>
      </c>
      <c r="H14" s="83"/>
      <c r="I14" s="57"/>
      <c r="J14" s="89"/>
      <c r="K14" s="74"/>
      <c r="L14" s="92" t="s">
        <v>105</v>
      </c>
      <c r="M14" s="83"/>
      <c r="N14" s="57"/>
      <c r="O14" s="89"/>
      <c r="P14" s="74"/>
      <c r="Q14" s="92" t="s">
        <v>105</v>
      </c>
      <c r="R14" s="83"/>
      <c r="S14" s="57"/>
      <c r="T14" s="89"/>
      <c r="U14" s="74"/>
    </row>
    <row r="15" spans="2:21">
      <c r="B15" s="75" t="s">
        <v>106</v>
      </c>
      <c r="C15" s="84"/>
      <c r="D15" s="57"/>
      <c r="E15" s="89"/>
      <c r="F15" s="74"/>
      <c r="G15" s="75" t="s">
        <v>106</v>
      </c>
      <c r="H15" s="84"/>
      <c r="I15" s="57"/>
      <c r="J15" s="89"/>
      <c r="K15" s="74"/>
      <c r="L15" s="75" t="s">
        <v>106</v>
      </c>
      <c r="M15" s="84"/>
      <c r="N15" s="57"/>
      <c r="O15" s="89"/>
      <c r="P15" s="74"/>
      <c r="Q15" s="75" t="s">
        <v>106</v>
      </c>
      <c r="R15" s="84"/>
      <c r="S15" s="57"/>
      <c r="T15" s="89"/>
      <c r="U15" s="74"/>
    </row>
    <row r="16" spans="2:21">
      <c r="B16" s="93" t="s">
        <v>110</v>
      </c>
      <c r="C16" s="85"/>
      <c r="D16" s="57"/>
      <c r="E16" s="90"/>
      <c r="F16" s="94"/>
      <c r="G16" s="93" t="s">
        <v>110</v>
      </c>
      <c r="H16" s="85"/>
      <c r="I16" s="57"/>
      <c r="J16" s="90"/>
      <c r="K16" s="94"/>
      <c r="L16" s="93" t="s">
        <v>110</v>
      </c>
      <c r="M16" s="85"/>
      <c r="N16" s="57"/>
      <c r="O16" s="90"/>
      <c r="P16" s="94"/>
      <c r="Q16" s="93" t="s">
        <v>110</v>
      </c>
      <c r="R16" s="85"/>
      <c r="S16" s="57"/>
      <c r="T16" s="90"/>
      <c r="U16" s="94"/>
    </row>
    <row r="17" spans="2:21">
      <c r="B17" s="72"/>
      <c r="C17" s="57"/>
      <c r="D17" s="57"/>
      <c r="E17" s="57"/>
      <c r="F17" s="74"/>
      <c r="G17" s="72"/>
      <c r="H17" s="57"/>
      <c r="I17" s="57"/>
      <c r="J17" s="57"/>
      <c r="K17" s="74"/>
      <c r="L17" s="72"/>
      <c r="M17" s="57"/>
      <c r="N17" s="57"/>
      <c r="O17" s="57"/>
      <c r="P17" s="74"/>
      <c r="Q17" s="72"/>
      <c r="R17" s="57"/>
      <c r="S17" s="57"/>
      <c r="T17" s="57"/>
      <c r="U17" s="74"/>
    </row>
    <row r="18" spans="2:21">
      <c r="B18" s="92" t="s">
        <v>122</v>
      </c>
      <c r="C18" s="83"/>
      <c r="D18" s="57"/>
      <c r="E18" s="82" t="s">
        <v>114</v>
      </c>
      <c r="F18" s="95"/>
      <c r="G18" s="92" t="s">
        <v>122</v>
      </c>
      <c r="H18" s="83"/>
      <c r="I18" s="57"/>
      <c r="J18" s="82" t="s">
        <v>114</v>
      </c>
      <c r="K18" s="95"/>
      <c r="L18" s="92" t="s">
        <v>122</v>
      </c>
      <c r="M18" s="83"/>
      <c r="N18" s="57"/>
      <c r="O18" s="82" t="s">
        <v>114</v>
      </c>
      <c r="P18" s="95"/>
      <c r="Q18" s="92" t="s">
        <v>122</v>
      </c>
      <c r="R18" s="83"/>
      <c r="S18" s="57"/>
      <c r="T18" s="82" t="s">
        <v>114</v>
      </c>
      <c r="U18" s="95"/>
    </row>
    <row r="19" spans="2:21" ht="15.75" customHeight="1">
      <c r="B19" s="75" t="s">
        <v>115</v>
      </c>
      <c r="C19" s="84"/>
      <c r="D19" s="57"/>
      <c r="E19" s="87" t="s">
        <v>118</v>
      </c>
      <c r="F19" s="74"/>
      <c r="G19" s="75" t="s">
        <v>115</v>
      </c>
      <c r="H19" s="84"/>
      <c r="I19" s="57"/>
      <c r="J19" s="87" t="s">
        <v>118</v>
      </c>
      <c r="K19" s="74"/>
      <c r="L19" s="75" t="s">
        <v>115</v>
      </c>
      <c r="M19" s="84"/>
      <c r="N19" s="57"/>
      <c r="O19" s="87" t="s">
        <v>118</v>
      </c>
      <c r="P19" s="74"/>
      <c r="Q19" s="75" t="s">
        <v>115</v>
      </c>
      <c r="R19" s="84"/>
      <c r="S19" s="57"/>
      <c r="T19" s="87" t="s">
        <v>118</v>
      </c>
      <c r="U19" s="74"/>
    </row>
    <row r="20" spans="2:21" ht="15.75" customHeight="1">
      <c r="B20" s="75" t="s">
        <v>116</v>
      </c>
      <c r="C20" s="84"/>
      <c r="D20" s="57"/>
      <c r="E20" s="87" t="s">
        <v>187</v>
      </c>
      <c r="F20" s="74"/>
      <c r="G20" s="75" t="s">
        <v>116</v>
      </c>
      <c r="H20" s="84"/>
      <c r="I20" s="57"/>
      <c r="J20" s="87" t="s">
        <v>187</v>
      </c>
      <c r="K20" s="74"/>
      <c r="L20" s="75" t="s">
        <v>116</v>
      </c>
      <c r="M20" s="84"/>
      <c r="N20" s="57"/>
      <c r="O20" s="87" t="s">
        <v>187</v>
      </c>
      <c r="P20" s="74"/>
      <c r="Q20" s="75" t="s">
        <v>116</v>
      </c>
      <c r="R20" s="84"/>
      <c r="S20" s="57"/>
      <c r="T20" s="87" t="s">
        <v>187</v>
      </c>
      <c r="U20" s="74"/>
    </row>
    <row r="21" spans="2:21">
      <c r="B21" s="75" t="s">
        <v>123</v>
      </c>
      <c r="C21" s="86"/>
      <c r="D21" s="57"/>
      <c r="E21" s="88" t="s">
        <v>117</v>
      </c>
      <c r="F21" s="99"/>
      <c r="G21" s="75" t="s">
        <v>123</v>
      </c>
      <c r="H21" s="86"/>
      <c r="I21" s="57"/>
      <c r="J21" s="88" t="s">
        <v>117</v>
      </c>
      <c r="K21" s="96"/>
      <c r="L21" s="75" t="s">
        <v>123</v>
      </c>
      <c r="M21" s="86"/>
      <c r="N21" s="57"/>
      <c r="O21" s="88" t="s">
        <v>117</v>
      </c>
      <c r="P21" s="96"/>
      <c r="Q21" s="75" t="s">
        <v>123</v>
      </c>
      <c r="R21" s="86"/>
      <c r="S21" s="57"/>
      <c r="T21" s="88" t="s">
        <v>117</v>
      </c>
      <c r="U21" s="96">
        <v>5</v>
      </c>
    </row>
    <row r="22" spans="2:21" ht="15.75" thickBot="1">
      <c r="B22" s="76" t="s">
        <v>117</v>
      </c>
      <c r="C22" s="97"/>
      <c r="D22" s="77"/>
      <c r="E22" s="77"/>
      <c r="F22" s="78"/>
      <c r="G22" s="76" t="s">
        <v>117</v>
      </c>
      <c r="H22" s="97"/>
      <c r="I22" s="77"/>
      <c r="J22" s="77"/>
      <c r="K22" s="78"/>
      <c r="L22" s="76" t="s">
        <v>117</v>
      </c>
      <c r="M22" s="97"/>
      <c r="N22" s="77"/>
      <c r="O22" s="77"/>
      <c r="P22" s="78"/>
      <c r="Q22" s="76" t="s">
        <v>117</v>
      </c>
      <c r="R22" s="97"/>
      <c r="S22" s="77"/>
      <c r="T22" s="77"/>
      <c r="U22" s="78"/>
    </row>
    <row r="23" spans="2:21" ht="16.5" thickTop="1" thickBot="1">
      <c r="B23" s="68">
        <v>5</v>
      </c>
      <c r="C23" s="68">
        <f ca="1">IFERROR(NETWORKDAYS(TODAY(),C29,holidays[])-1,"x")</f>
        <v>3</v>
      </c>
      <c r="F23" s="68" t="str">
        <f ca="1">IFERROR(VLOOKUP(C23,Table10[],2,1),0)</f>
        <v>ORANGE</v>
      </c>
      <c r="G23" s="68">
        <v>6</v>
      </c>
      <c r="H23" s="68" t="str">
        <f ca="1">IFERROR(NETWORKDAYS(TODAY(),H29,holidays[])-1,"x")</f>
        <v>x</v>
      </c>
      <c r="K23" s="68">
        <f ca="1">IFERROR(VLOOKUP(H23,Table10[],2,1),0)</f>
        <v>0</v>
      </c>
      <c r="L23" s="98" t="s">
        <v>198</v>
      </c>
      <c r="M23" s="68" t="str">
        <f ca="1">IFERROR(NETWORKDAYS(TODAY(),M29,holidays[])-1,"x")</f>
        <v>x</v>
      </c>
      <c r="P23" s="68">
        <f ca="1">IFERROR(VLOOKUP(M23,Table10[],2,1),0)</f>
        <v>0</v>
      </c>
      <c r="Q23" s="98" t="s">
        <v>199</v>
      </c>
      <c r="R23" s="68" t="str">
        <f ca="1">IFERROR(NETWORKDAYS(TODAY(),R29,holidays[])-1,"x")</f>
        <v>x</v>
      </c>
      <c r="U23" s="68">
        <f ca="1">IFERROR(VLOOKUP(R23,Table10[],2,1),0)</f>
        <v>0</v>
      </c>
    </row>
    <row r="24" spans="2:21" ht="21" thickTop="1" thickBot="1">
      <c r="B24" s="79" t="str">
        <f>"BAY " &amp;B23</f>
        <v>BAY 5</v>
      </c>
      <c r="C24" s="80"/>
      <c r="D24" s="80"/>
      <c r="E24" s="80"/>
      <c r="F24" s="81"/>
      <c r="G24" s="79" t="str">
        <f>"BAY " &amp;G23</f>
        <v>BAY 6</v>
      </c>
      <c r="H24" s="80"/>
      <c r="I24" s="80"/>
      <c r="J24" s="80"/>
      <c r="K24" s="81"/>
      <c r="L24" s="79" t="str">
        <f>"BAY " &amp;L23</f>
        <v>BAY Special 1</v>
      </c>
      <c r="M24" s="80"/>
      <c r="N24" s="80"/>
      <c r="O24" s="80"/>
      <c r="P24" s="81"/>
      <c r="Q24" s="79" t="str">
        <f>"BAY " &amp;Q23</f>
        <v>BAY Special 2</v>
      </c>
      <c r="R24" s="80"/>
      <c r="S24" s="80"/>
      <c r="T24" s="80"/>
      <c r="U24" s="81"/>
    </row>
    <row r="25" spans="2:21" ht="15.75" thickTop="1">
      <c r="B25" s="70" t="s">
        <v>121</v>
      </c>
      <c r="C25" s="69">
        <f>R8+375</f>
        <v>9004</v>
      </c>
      <c r="D25" s="57"/>
      <c r="E25" s="64" t="s">
        <v>86</v>
      </c>
      <c r="F25" s="71" t="s">
        <v>120</v>
      </c>
      <c r="G25" s="70" t="s">
        <v>121</v>
      </c>
      <c r="H25" s="69"/>
      <c r="I25" s="57"/>
      <c r="J25" s="64" t="s">
        <v>86</v>
      </c>
      <c r="K25" s="71"/>
      <c r="L25" s="70" t="s">
        <v>121</v>
      </c>
      <c r="M25" s="69"/>
      <c r="N25" s="57"/>
      <c r="O25" s="64" t="s">
        <v>86</v>
      </c>
      <c r="P25" s="71"/>
      <c r="Q25" s="70" t="s">
        <v>121</v>
      </c>
      <c r="R25" s="69"/>
      <c r="S25" s="57"/>
      <c r="T25" s="64" t="s">
        <v>86</v>
      </c>
      <c r="U25" s="71"/>
    </row>
    <row r="26" spans="2:21">
      <c r="B26" s="72"/>
      <c r="C26" s="57"/>
      <c r="D26" s="57"/>
      <c r="E26" s="64" t="s">
        <v>109</v>
      </c>
      <c r="F26" s="73"/>
      <c r="G26" s="72"/>
      <c r="H26" s="57"/>
      <c r="I26" s="57"/>
      <c r="J26" s="64" t="s">
        <v>109</v>
      </c>
      <c r="K26" s="73"/>
      <c r="L26" s="72"/>
      <c r="M26" s="57"/>
      <c r="N26" s="57"/>
      <c r="O26" s="64" t="s">
        <v>109</v>
      </c>
      <c r="P26" s="73"/>
      <c r="Q26" s="72"/>
      <c r="R26" s="57"/>
      <c r="S26" s="57"/>
      <c r="T26" s="64" t="s">
        <v>109</v>
      </c>
      <c r="U26" s="73"/>
    </row>
    <row r="27" spans="2:21">
      <c r="B27" s="70" t="s">
        <v>87</v>
      </c>
      <c r="C27" s="61">
        <v>42548</v>
      </c>
      <c r="D27" s="57"/>
      <c r="E27" s="66" t="s">
        <v>89</v>
      </c>
      <c r="F27" s="91"/>
      <c r="G27" s="70" t="s">
        <v>87</v>
      </c>
      <c r="H27" s="61"/>
      <c r="I27" s="57"/>
      <c r="J27" s="66" t="s">
        <v>89</v>
      </c>
      <c r="K27" s="91"/>
      <c r="L27" s="70" t="s">
        <v>87</v>
      </c>
      <c r="M27" s="61"/>
      <c r="N27" s="57"/>
      <c r="O27" s="66" t="s">
        <v>89</v>
      </c>
      <c r="P27" s="91"/>
      <c r="Q27" s="70" t="s">
        <v>87</v>
      </c>
      <c r="R27" s="61"/>
      <c r="S27" s="57"/>
      <c r="T27" s="66" t="s">
        <v>89</v>
      </c>
      <c r="U27" s="91"/>
    </row>
    <row r="28" spans="2:21">
      <c r="B28" s="70" t="s">
        <v>88</v>
      </c>
      <c r="C28" s="62">
        <v>4</v>
      </c>
      <c r="D28" s="57"/>
      <c r="E28" s="89"/>
      <c r="F28" s="74"/>
      <c r="G28" s="70" t="s">
        <v>88</v>
      </c>
      <c r="H28" s="62"/>
      <c r="I28" s="57"/>
      <c r="J28" s="89"/>
      <c r="K28" s="74"/>
      <c r="L28" s="70" t="s">
        <v>88</v>
      </c>
      <c r="M28" s="62"/>
      <c r="N28" s="57"/>
      <c r="O28" s="89"/>
      <c r="P28" s="74"/>
      <c r="Q28" s="70" t="s">
        <v>88</v>
      </c>
      <c r="R28" s="62"/>
      <c r="S28" s="57"/>
      <c r="T28" s="89"/>
      <c r="U28" s="74"/>
    </row>
    <row r="29" spans="2:21">
      <c r="B29" s="70" t="s">
        <v>119</v>
      </c>
      <c r="C29" s="63">
        <f>IF(C27&lt;&gt;0,WORKDAY(C27,C28, holidays[]),"")</f>
        <v>42552</v>
      </c>
      <c r="D29" s="57"/>
      <c r="E29" s="89"/>
      <c r="F29" s="74"/>
      <c r="G29" s="70" t="s">
        <v>119</v>
      </c>
      <c r="H29" s="63" t="str">
        <f>IF(H27&lt;&gt;0,WORKDAY(H27,H28, holidays[]),"")</f>
        <v/>
      </c>
      <c r="I29" s="57"/>
      <c r="J29" s="89"/>
      <c r="K29" s="74"/>
      <c r="L29" s="70" t="s">
        <v>119</v>
      </c>
      <c r="M29" s="63" t="str">
        <f>IF(M27&lt;&gt;0,WORKDAY(M27,M28, holidays[]),"")</f>
        <v/>
      </c>
      <c r="N29" s="57"/>
      <c r="O29" s="89"/>
      <c r="P29" s="74"/>
      <c r="Q29" s="70" t="s">
        <v>119</v>
      </c>
      <c r="R29" s="63" t="str">
        <f>IF(R27&lt;&gt;0,WORKDAY(R27,R28, holidays[]),"")</f>
        <v/>
      </c>
      <c r="S29" s="57"/>
      <c r="T29" s="89"/>
      <c r="U29" s="74"/>
    </row>
    <row r="30" spans="2:21">
      <c r="B30" s="72"/>
      <c r="C30" s="57"/>
      <c r="D30" s="57"/>
      <c r="E30" s="89"/>
      <c r="F30" s="74"/>
      <c r="G30" s="72"/>
      <c r="H30" s="57"/>
      <c r="I30" s="57"/>
      <c r="J30" s="89"/>
      <c r="K30" s="74"/>
      <c r="L30" s="72"/>
      <c r="M30" s="57"/>
      <c r="N30" s="57"/>
      <c r="O30" s="89"/>
      <c r="P30" s="74"/>
      <c r="Q30" s="72"/>
      <c r="R30" s="57"/>
      <c r="S30" s="57"/>
      <c r="T30" s="89"/>
      <c r="U30" s="74"/>
    </row>
    <row r="31" spans="2:21">
      <c r="B31" s="92" t="s">
        <v>105</v>
      </c>
      <c r="C31" s="83"/>
      <c r="D31" s="57"/>
      <c r="E31" s="89"/>
      <c r="F31" s="74"/>
      <c r="G31" s="92" t="s">
        <v>105</v>
      </c>
      <c r="H31" s="83"/>
      <c r="I31" s="57"/>
      <c r="J31" s="89"/>
      <c r="K31" s="74"/>
      <c r="L31" s="92" t="s">
        <v>105</v>
      </c>
      <c r="M31" s="83"/>
      <c r="N31" s="57"/>
      <c r="O31" s="89"/>
      <c r="P31" s="74"/>
      <c r="Q31" s="92" t="s">
        <v>105</v>
      </c>
      <c r="R31" s="83"/>
      <c r="S31" s="57"/>
      <c r="T31" s="89"/>
      <c r="U31" s="74"/>
    </row>
    <row r="32" spans="2:21">
      <c r="B32" s="75" t="s">
        <v>106</v>
      </c>
      <c r="C32" s="84"/>
      <c r="D32" s="57"/>
      <c r="E32" s="89"/>
      <c r="F32" s="74"/>
      <c r="G32" s="75" t="s">
        <v>106</v>
      </c>
      <c r="H32" s="84"/>
      <c r="I32" s="57"/>
      <c r="J32" s="89"/>
      <c r="K32" s="74"/>
      <c r="L32" s="75" t="s">
        <v>106</v>
      </c>
      <c r="M32" s="84"/>
      <c r="N32" s="57"/>
      <c r="O32" s="89"/>
      <c r="P32" s="74"/>
      <c r="Q32" s="75" t="s">
        <v>106</v>
      </c>
      <c r="R32" s="84"/>
      <c r="S32" s="57"/>
      <c r="T32" s="89"/>
      <c r="U32" s="74"/>
    </row>
    <row r="33" spans="2:21">
      <c r="B33" s="93" t="s">
        <v>110</v>
      </c>
      <c r="C33" s="85"/>
      <c r="D33" s="57"/>
      <c r="E33" s="90"/>
      <c r="F33" s="94"/>
      <c r="G33" s="93" t="s">
        <v>110</v>
      </c>
      <c r="H33" s="85"/>
      <c r="I33" s="57"/>
      <c r="J33" s="90"/>
      <c r="K33" s="94"/>
      <c r="L33" s="93" t="s">
        <v>110</v>
      </c>
      <c r="M33" s="85"/>
      <c r="N33" s="57"/>
      <c r="O33" s="90"/>
      <c r="P33" s="94"/>
      <c r="Q33" s="93" t="s">
        <v>110</v>
      </c>
      <c r="R33" s="85"/>
      <c r="S33" s="57"/>
      <c r="T33" s="90"/>
      <c r="U33" s="94"/>
    </row>
    <row r="34" spans="2:21">
      <c r="B34" s="72"/>
      <c r="C34" s="57"/>
      <c r="D34" s="57"/>
      <c r="E34" s="57"/>
      <c r="F34" s="74"/>
      <c r="G34" s="72"/>
      <c r="H34" s="57"/>
      <c r="I34" s="57"/>
      <c r="J34" s="57"/>
      <c r="K34" s="74"/>
      <c r="L34" s="72"/>
      <c r="M34" s="57"/>
      <c r="N34" s="57"/>
      <c r="O34" s="57"/>
      <c r="P34" s="74"/>
      <c r="Q34" s="72"/>
      <c r="R34" s="57"/>
      <c r="S34" s="57"/>
      <c r="T34" s="57"/>
      <c r="U34" s="74"/>
    </row>
    <row r="35" spans="2:21">
      <c r="B35" s="92" t="s">
        <v>122</v>
      </c>
      <c r="C35" s="83"/>
      <c r="D35" s="57"/>
      <c r="E35" s="82" t="s">
        <v>114</v>
      </c>
      <c r="F35" s="95"/>
      <c r="G35" s="92" t="s">
        <v>122</v>
      </c>
      <c r="H35" s="83"/>
      <c r="I35" s="57"/>
      <c r="J35" s="82" t="s">
        <v>114</v>
      </c>
      <c r="K35" s="95"/>
      <c r="L35" s="92" t="s">
        <v>122</v>
      </c>
      <c r="M35" s="83"/>
      <c r="N35" s="57"/>
      <c r="O35" s="82" t="s">
        <v>114</v>
      </c>
      <c r="P35" s="95"/>
      <c r="Q35" s="92" t="s">
        <v>122</v>
      </c>
      <c r="R35" s="83"/>
      <c r="S35" s="57"/>
      <c r="T35" s="82" t="s">
        <v>114</v>
      </c>
      <c r="U35" s="95"/>
    </row>
    <row r="36" spans="2:21" ht="15.75" customHeight="1">
      <c r="B36" s="75" t="s">
        <v>115</v>
      </c>
      <c r="C36" s="84"/>
      <c r="D36" s="57"/>
      <c r="E36" s="87" t="s">
        <v>118</v>
      </c>
      <c r="F36" s="74"/>
      <c r="G36" s="75" t="s">
        <v>115</v>
      </c>
      <c r="H36" s="84"/>
      <c r="I36" s="57"/>
      <c r="J36" s="87" t="s">
        <v>118</v>
      </c>
      <c r="K36" s="74"/>
      <c r="L36" s="75" t="s">
        <v>115</v>
      </c>
      <c r="M36" s="84"/>
      <c r="N36" s="57"/>
      <c r="O36" s="87" t="s">
        <v>118</v>
      </c>
      <c r="P36" s="74"/>
      <c r="Q36" s="75" t="s">
        <v>115</v>
      </c>
      <c r="R36" s="84"/>
      <c r="S36" s="57"/>
      <c r="T36" s="87" t="s">
        <v>118</v>
      </c>
      <c r="U36" s="74"/>
    </row>
    <row r="37" spans="2:21" ht="15.75" customHeight="1">
      <c r="B37" s="75" t="s">
        <v>116</v>
      </c>
      <c r="C37" s="84"/>
      <c r="D37" s="57"/>
      <c r="E37" s="87" t="s">
        <v>187</v>
      </c>
      <c r="F37" s="74"/>
      <c r="G37" s="75" t="s">
        <v>116</v>
      </c>
      <c r="H37" s="84"/>
      <c r="I37" s="57"/>
      <c r="J37" s="87" t="s">
        <v>187</v>
      </c>
      <c r="K37" s="74"/>
      <c r="L37" s="75" t="s">
        <v>116</v>
      </c>
      <c r="M37" s="84"/>
      <c r="N37" s="57"/>
      <c r="O37" s="87" t="s">
        <v>187</v>
      </c>
      <c r="P37" s="74"/>
      <c r="Q37" s="75" t="s">
        <v>116</v>
      </c>
      <c r="R37" s="84"/>
      <c r="S37" s="57"/>
      <c r="T37" s="87" t="s">
        <v>187</v>
      </c>
      <c r="U37" s="74"/>
    </row>
    <row r="38" spans="2:21">
      <c r="B38" s="75" t="s">
        <v>123</v>
      </c>
      <c r="C38" s="86">
        <v>654</v>
      </c>
      <c r="D38" s="57"/>
      <c r="E38" s="88" t="s">
        <v>117</v>
      </c>
      <c r="F38" s="96"/>
      <c r="G38" s="75" t="s">
        <v>123</v>
      </c>
      <c r="H38" s="86"/>
      <c r="I38" s="57"/>
      <c r="J38" s="88" t="s">
        <v>117</v>
      </c>
      <c r="K38" s="96"/>
      <c r="L38" s="75" t="s">
        <v>123</v>
      </c>
      <c r="M38" s="86"/>
      <c r="N38" s="57"/>
      <c r="O38" s="88" t="s">
        <v>117</v>
      </c>
      <c r="P38" s="96"/>
      <c r="Q38" s="75" t="s">
        <v>123</v>
      </c>
      <c r="R38" s="86"/>
      <c r="S38" s="57"/>
      <c r="T38" s="88" t="s">
        <v>117</v>
      </c>
      <c r="U38" s="96"/>
    </row>
    <row r="39" spans="2:21" ht="15.75" thickBot="1">
      <c r="B39" s="76" t="s">
        <v>117</v>
      </c>
      <c r="C39" s="97" t="s">
        <v>200</v>
      </c>
      <c r="D39" s="77"/>
      <c r="E39" s="77"/>
      <c r="F39" s="78"/>
      <c r="G39" s="76" t="s">
        <v>117</v>
      </c>
      <c r="H39" s="97"/>
      <c r="I39" s="77"/>
      <c r="J39" s="77"/>
      <c r="K39" s="78"/>
      <c r="L39" s="76" t="s">
        <v>117</v>
      </c>
      <c r="M39" s="97"/>
      <c r="N39" s="77"/>
      <c r="O39" s="77"/>
      <c r="P39" s="78"/>
      <c r="Q39" s="76" t="s">
        <v>117</v>
      </c>
      <c r="R39" s="97"/>
      <c r="S39" s="77"/>
      <c r="T39" s="77"/>
      <c r="U39" s="78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396" r:id="rId4" name="B8Clear"/>
    <control shapeId="1394" r:id="rId5" name="B7Clear"/>
    <control shapeId="1393" r:id="rId6" name="B6Clear"/>
    <control shapeId="1392" r:id="rId7" name="B5Clear"/>
    <control shapeId="1391" r:id="rId8" name="B4Clear"/>
    <control shapeId="1390" r:id="rId9" name="B3Clear"/>
    <control shapeId="1389" r:id="rId10" name="B2Clear"/>
    <control shapeId="1388" r:id="rId11" name="B1Clear"/>
    <control shapeId="1387" r:id="rId12" name="ddB8FrameMake"/>
    <control shapeId="1386" r:id="rId13" name="ddB8FrameModel"/>
    <control shapeId="1385" r:id="rId14" name="ddB8EngineMake"/>
    <control shapeId="1384" r:id="rId15" name="ddB8EngineModels"/>
    <control shapeId="1383" r:id="rId16" name="ddB8Customer"/>
    <control shapeId="1382" r:id="rId17" name="ddB8PartType"/>
    <control shapeId="1381" r:id="rId18" name="ddB8PartsProvider"/>
    <control shapeId="1380" r:id="rId19" name="cbB8Task5"/>
    <control shapeId="1379" r:id="rId20" name="ddB8Task5"/>
    <control shapeId="1378" r:id="rId21" name="cbB8Task4"/>
    <control shapeId="1377" r:id="rId22" name="ddB8Task4"/>
    <control shapeId="1376" r:id="rId23" name="cbB8Task3"/>
    <control shapeId="1375" r:id="rId24" name="ddB8Task3"/>
    <control shapeId="1374" r:id="rId25" name="cbB8Task2"/>
    <control shapeId="1373" r:id="rId26" name="ddB8Task2"/>
    <control shapeId="1372" r:id="rId27" name="cbB8Task1"/>
    <control shapeId="1371" r:id="rId28" name="ddB8Task1"/>
    <control shapeId="1370" r:id="rId29" name="ddB7FrameMake"/>
    <control shapeId="1369" r:id="rId30" name="ddB7FrameModel"/>
    <control shapeId="1368" r:id="rId31" name="ddB7EngineMake"/>
    <control shapeId="1367" r:id="rId32" name="ddB7EngineModels"/>
    <control shapeId="1366" r:id="rId33" name="ddB7Customer"/>
    <control shapeId="1365" r:id="rId34" name="ddB7PartType"/>
    <control shapeId="1364" r:id="rId35" name="ddB7PartsProvider"/>
    <control shapeId="1363" r:id="rId36" name="cbB7Task5"/>
    <control shapeId="1362" r:id="rId37" name="ddB7Task5"/>
    <control shapeId="1361" r:id="rId38" name="cbB7Task4"/>
    <control shapeId="1360" r:id="rId39" name="ddB7Task4"/>
    <control shapeId="1359" r:id="rId40" name="cbB7Task3"/>
    <control shapeId="1358" r:id="rId41" name="ddB7Task3"/>
    <control shapeId="1357" r:id="rId42" name="cbB7Task2"/>
    <control shapeId="1356" r:id="rId43" name="ddB7Task2"/>
    <control shapeId="1355" r:id="rId44" name="cbB7Task1"/>
    <control shapeId="1354" r:id="rId45" name="ddB7Task1"/>
    <control shapeId="1353" r:id="rId46" name="ddB6FrameMake"/>
    <control shapeId="1352" r:id="rId47" name="ddB6FrameModel"/>
    <control shapeId="1351" r:id="rId48" name="ddB6EngineMake"/>
    <control shapeId="1350" r:id="rId49" name="ddB6EngineModels"/>
    <control shapeId="1349" r:id="rId50" name="ddB6Customer"/>
    <control shapeId="1348" r:id="rId51" name="ddB6PartType"/>
    <control shapeId="1347" r:id="rId52" name="ddB6PartsProvider"/>
    <control shapeId="1346" r:id="rId53" name="cbB6Task5"/>
    <control shapeId="1345" r:id="rId54" name="ddB6Task5"/>
    <control shapeId="1344" r:id="rId55" name="cbB6Task4"/>
    <control shapeId="1343" r:id="rId56" name="ddB6Task4"/>
    <control shapeId="1342" r:id="rId57" name="cbB6Task3"/>
    <control shapeId="1341" r:id="rId58" name="ddB6Task3"/>
    <control shapeId="1340" r:id="rId59" name="cbB6Task2"/>
    <control shapeId="1339" r:id="rId60" name="ddB6Task2"/>
    <control shapeId="1338" r:id="rId61" name="cbB6Task1"/>
    <control shapeId="1337" r:id="rId62" name="ddB6Task1"/>
    <control shapeId="1336" r:id="rId63" name="ComboBox120"/>
    <control shapeId="1335" r:id="rId64" name="ComboBox119"/>
    <control shapeId="1334" r:id="rId65" name="ComboBox118"/>
    <control shapeId="1333" r:id="rId66" name="ComboBox117"/>
    <control shapeId="1332" r:id="rId67" name="ComboBox116"/>
    <control shapeId="1331" r:id="rId68" name="ComboBox115"/>
    <control shapeId="1330" r:id="rId69" name="ComboBox114"/>
    <control shapeId="1329" r:id="rId70" name="CheckBox50"/>
    <control shapeId="1328" r:id="rId71" name="ComboBox113"/>
    <control shapeId="1327" r:id="rId72" name="CheckBox49"/>
    <control shapeId="1326" r:id="rId73" name="ComboBox112"/>
    <control shapeId="1325" r:id="rId74" name="CheckBox48"/>
    <control shapeId="1324" r:id="rId75" name="ComboBox111"/>
    <control shapeId="1323" r:id="rId76" name="CheckBox47"/>
    <control shapeId="1322" r:id="rId77" name="ComboBox110"/>
    <control shapeId="1321" r:id="rId78" name="CheckBox46"/>
    <control shapeId="1320" r:id="rId79" name="ComboBox109"/>
    <control shapeId="1319" r:id="rId80" name="ComboBox108"/>
    <control shapeId="1318" r:id="rId81" name="ComboBox107"/>
    <control shapeId="1317" r:id="rId82" name="ComboBox106"/>
    <control shapeId="1316" r:id="rId83" name="ComboBox105"/>
    <control shapeId="1315" r:id="rId84" name="ComboBox104"/>
    <control shapeId="1312" r:id="rId85" name="CheckBox45"/>
    <control shapeId="1311" r:id="rId86" name="ComboBox101"/>
    <control shapeId="1310" r:id="rId87" name="CheckBox44"/>
    <control shapeId="1309" r:id="rId88" name="ComboBox100"/>
    <control shapeId="1308" r:id="rId89" name="CheckBox43"/>
    <control shapeId="1307" r:id="rId90" name="ComboBox99"/>
    <control shapeId="1306" r:id="rId91" name="CheckBox42"/>
    <control shapeId="1305" r:id="rId92" name="ComboBox98"/>
    <control shapeId="1304" r:id="rId93" name="CheckBox41"/>
    <control shapeId="1303" r:id="rId94" name="ComboBox97"/>
    <control shapeId="1302" r:id="rId95" name="ComboBox96"/>
    <control shapeId="1301" r:id="rId96" name="ComboBox95"/>
    <control shapeId="1300" r:id="rId97" name="ComboBox94"/>
    <control shapeId="1299" r:id="rId98" name="ComboBox93"/>
    <control shapeId="1298" r:id="rId99" name="ComboBox92"/>
    <control shapeId="1297" r:id="rId100" name="ComboBox91"/>
    <control shapeId="1296" r:id="rId101" name="ComboBox90"/>
    <control shapeId="1295" r:id="rId102" name="CheckBox40"/>
    <control shapeId="1294" r:id="rId103" name="ComboBox89"/>
    <control shapeId="1293" r:id="rId104" name="CheckBox39"/>
    <control shapeId="1292" r:id="rId105" name="ComboBox88"/>
    <control shapeId="1291" r:id="rId106" name="CheckBox38"/>
    <control shapeId="1290" r:id="rId107" name="ComboBox87"/>
    <control shapeId="1289" r:id="rId108" name="CheckBox37"/>
    <control shapeId="1288" r:id="rId109" name="ComboBox86"/>
    <control shapeId="1287" r:id="rId110" name="CheckBox36"/>
    <control shapeId="1286" r:id="rId111" name="ComboBox85"/>
    <control shapeId="1285" r:id="rId112" name="ddB5FrameMake"/>
    <control shapeId="1284" r:id="rId113" name="ddB5FrameModel"/>
    <control shapeId="1283" r:id="rId114" name="ddB5EngineMake"/>
    <control shapeId="1282" r:id="rId115" name="ddB5EngineModels"/>
    <control shapeId="1281" r:id="rId116" name="ddB5Customer"/>
    <control shapeId="1280" r:id="rId117" name="ddB5PartType"/>
    <control shapeId="1279" r:id="rId118" name="ddB5PartsProvider"/>
    <control shapeId="1278" r:id="rId119" name="cbB5Task5"/>
    <control shapeId="1277" r:id="rId120" name="ddB5Task5"/>
    <control shapeId="1276" r:id="rId121" name="cbB5Task4"/>
    <control shapeId="1275" r:id="rId122" name="ddB5Task4"/>
    <control shapeId="1274" r:id="rId123" name="cbB5Task3"/>
    <control shapeId="1273" r:id="rId124" name="ddB5Task3"/>
    <control shapeId="1272" r:id="rId125" name="cbB5Task2"/>
    <control shapeId="1271" r:id="rId126" name="ddB5Task2"/>
    <control shapeId="1270" r:id="rId127" name="cbB5Task1"/>
    <control shapeId="1269" r:id="rId128" name="ddB5Task1"/>
    <control shapeId="1268" r:id="rId129" name="ddB4FrameMake"/>
    <control shapeId="1267" r:id="rId130" name="ddB4FrameModel"/>
    <control shapeId="1266" r:id="rId131" name="ddB4EngineMake"/>
    <control shapeId="1265" r:id="rId132" name="ddB4EngineModels"/>
    <control shapeId="1264" r:id="rId133" name="ddB4Customer"/>
    <control shapeId="1263" r:id="rId134" name="ddB4PartType"/>
    <control shapeId="1262" r:id="rId135" name="ddB4PartsProvider"/>
    <control shapeId="1261" r:id="rId136" name="cbB4Task5"/>
    <control shapeId="1260" r:id="rId137" name="ddB4Task5"/>
    <control shapeId="1259" r:id="rId138" name="cbB4Task4"/>
    <control shapeId="1258" r:id="rId139" name="ddB4Task4"/>
    <control shapeId="1257" r:id="rId140" name="cbB4Task3"/>
    <control shapeId="1256" r:id="rId141" name="ddB4Task3"/>
    <control shapeId="1255" r:id="rId142" name="cbB4Task2"/>
    <control shapeId="1254" r:id="rId143" name="ddB4Task2"/>
    <control shapeId="1253" r:id="rId144" name="cbB4Task1"/>
    <control shapeId="1252" r:id="rId145" name="ddB4Task1"/>
    <control shapeId="1251" r:id="rId146" name="ddB3FrameMake"/>
    <control shapeId="1250" r:id="rId147" name="ddB3FrameModel"/>
    <control shapeId="1249" r:id="rId148" name="ddB3EngineMake"/>
    <control shapeId="1248" r:id="rId149" name="ddB3EngineModels"/>
    <control shapeId="1247" r:id="rId150" name="ddB3Customer"/>
    <control shapeId="1246" r:id="rId151" name="ddB3PartType"/>
    <control shapeId="1245" r:id="rId152" name="ddB3PartsProvider"/>
    <control shapeId="1244" r:id="rId153" name="cbB3Task5"/>
    <control shapeId="1243" r:id="rId154" name="ddB3Task5"/>
    <control shapeId="1242" r:id="rId155" name="cbB3Task4"/>
    <control shapeId="1241" r:id="rId156" name="ddB3Task4"/>
    <control shapeId="1240" r:id="rId157" name="cbB3Task3"/>
    <control shapeId="1239" r:id="rId158" name="ddB3Task3"/>
    <control shapeId="1238" r:id="rId159" name="cbB3Task2"/>
    <control shapeId="1237" r:id="rId160" name="ddB3Task2"/>
    <control shapeId="1236" r:id="rId161" name="cbB3Task1"/>
    <control shapeId="1235" r:id="rId162" name="ddB3Task1"/>
    <control shapeId="1234" r:id="rId163" name="ddB2FrameMake"/>
    <control shapeId="1233" r:id="rId164" name="ddB2FrameModel"/>
    <control shapeId="1232" r:id="rId165" name="ddB2EngineMake"/>
    <control shapeId="1231" r:id="rId166" name="ddB2EngineModels"/>
    <control shapeId="1230" r:id="rId167" name="ddB2Customer"/>
    <control shapeId="1229" r:id="rId168" name="ddB2PartType"/>
    <control shapeId="1228" r:id="rId169" name="ddB2PartsProvider"/>
    <control shapeId="1227" r:id="rId170" name="cbB2Task5"/>
    <control shapeId="1226" r:id="rId171" name="ddB2Task5"/>
    <control shapeId="1225" r:id="rId172" name="cbB2Task4"/>
    <control shapeId="1224" r:id="rId173" name="ddB2Task4"/>
    <control shapeId="1223" r:id="rId174" name="cbB2Task3"/>
    <control shapeId="1222" r:id="rId175" name="ddB2Task3"/>
    <control shapeId="1221" r:id="rId176" name="cbB2Task2"/>
    <control shapeId="1220" r:id="rId177" name="ddB2Task2"/>
    <control shapeId="1219" r:id="rId178" name="cbB2Task1"/>
    <control shapeId="1218" r:id="rId179" name="ddB2Task1"/>
    <control shapeId="1149" r:id="rId180" name="ComboBox36"/>
    <control shapeId="1148" r:id="rId181" name="ComboBox35"/>
    <control shapeId="1147" r:id="rId182" name="ComboBox34"/>
    <control shapeId="1146" r:id="rId183" name="ComboBox33"/>
    <control shapeId="1145" r:id="rId184" name="ComboBox32"/>
    <control shapeId="1144" r:id="rId185" name="ComboBox31"/>
    <control shapeId="1143" r:id="rId186" name="ComboBox30"/>
    <control shapeId="1142" r:id="rId187" name="CheckBox15"/>
    <control shapeId="1141" r:id="rId188" name="ComboBox29"/>
    <control shapeId="1140" r:id="rId189" name="CheckBox14"/>
    <control shapeId="1139" r:id="rId190" name="ComboBox28"/>
    <control shapeId="1138" r:id="rId191" name="CheckBox13"/>
    <control shapeId="1137" r:id="rId192" name="ComboBox27"/>
    <control shapeId="1136" r:id="rId193" name="CheckBox12"/>
    <control shapeId="1135" r:id="rId194" name="ComboBox26"/>
    <control shapeId="1134" r:id="rId195" name="CheckBox11"/>
    <control shapeId="1133" r:id="rId196" name="ComboBox25"/>
    <control shapeId="1132" r:id="rId197" name="ComboBox24"/>
    <control shapeId="1131" r:id="rId198" name="ComboBox23"/>
    <control shapeId="1130" r:id="rId199" name="ComboBox22"/>
    <control shapeId="1129" r:id="rId200" name="ComboBox21"/>
    <control shapeId="1128" r:id="rId201" name="ComboBox20"/>
    <control shapeId="1125" r:id="rId202" name="CheckBox10"/>
    <control shapeId="1124" r:id="rId203" name="ComboBox17"/>
    <control shapeId="1123" r:id="rId204" name="CheckBox9"/>
    <control shapeId="1122" r:id="rId205" name="ComboBox16"/>
    <control shapeId="1121" r:id="rId206" name="CheckBox8"/>
    <control shapeId="1120" r:id="rId207" name="ComboBox15"/>
    <control shapeId="1119" r:id="rId208" name="CheckBox7"/>
    <control shapeId="1118" r:id="rId209" name="ComboBox14"/>
    <control shapeId="1117" r:id="rId210" name="CheckBox6"/>
    <control shapeId="1116" r:id="rId211" name="ComboBox13"/>
    <control shapeId="1115" r:id="rId212" name="ComboBox12"/>
    <control shapeId="1114" r:id="rId213" name="ComboBox11"/>
    <control shapeId="1113" r:id="rId214" name="ComboBox10"/>
    <control shapeId="1112" r:id="rId215" name="ComboBox9"/>
    <control shapeId="1111" r:id="rId216" name="ComboBox8"/>
    <control shapeId="1110" r:id="rId217" name="ComboBox7"/>
    <control shapeId="1109" r:id="rId218" name="ComboBox6"/>
    <control shapeId="1108" r:id="rId219" name="CheckBox5"/>
    <control shapeId="1107" r:id="rId220" name="ComboBox5"/>
    <control shapeId="1106" r:id="rId221" name="CheckBox4"/>
    <control shapeId="1105" r:id="rId222" name="ComboBox4"/>
    <control shapeId="1104" r:id="rId223" name="CheckBox3"/>
    <control shapeId="1103" r:id="rId224" name="ComboBox3"/>
    <control shapeId="1102" r:id="rId225" name="CheckBox2"/>
    <control shapeId="1101" r:id="rId226" name="ComboBox2"/>
    <control shapeId="1100" r:id="rId227" name="CheckBox1"/>
    <control shapeId="1099" r:id="rId228" name="ComboBox1"/>
    <control shapeId="1060" r:id="rId229" name="ddB1FrameMake"/>
    <control shapeId="1059" r:id="rId230" name="ddB1FrameModel"/>
    <control shapeId="1058" r:id="rId231" name="ddB1EngineMake"/>
    <control shapeId="1057" r:id="rId232" name="ddB1EngineModels"/>
    <control shapeId="1056" r:id="rId233" name="ddB1Customer"/>
    <control shapeId="1054" r:id="rId234" name="ddB1PartType"/>
    <control shapeId="1053" r:id="rId235" name="ddB1PartsProvider"/>
    <control shapeId="1039" r:id="rId236" name="cbB1Task5"/>
    <control shapeId="1038" r:id="rId237" name="ddB1Task5"/>
    <control shapeId="1037" r:id="rId238" name="cbB1Task4"/>
    <control shapeId="1036" r:id="rId239" name="ddB1Task4"/>
    <control shapeId="1035" r:id="rId240" name="cbB1Task3"/>
    <control shapeId="1034" r:id="rId241" name="ddB1Task3"/>
    <control shapeId="1033" r:id="rId242" name="cbB1Task2"/>
    <control shapeId="1032" r:id="rId243" name="ddB1Task2"/>
    <control shapeId="1031" r:id="rId244" name="cbB1Task1"/>
    <control shapeId="1030" r:id="rId245" name="ddB1Task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workbookViewId="0">
      <selection activeCell="S3" sqref="S3"/>
    </sheetView>
  </sheetViews>
  <sheetFormatPr defaultRowHeight="15"/>
  <cols>
    <col min="1" max="1" width="29.7109375" style="60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9" t="s">
        <v>102</v>
      </c>
      <c r="C1" t="s">
        <v>108</v>
      </c>
      <c r="E1" t="s">
        <v>111</v>
      </c>
      <c r="G1" t="s">
        <v>128</v>
      </c>
      <c r="I1" s="65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59" t="s">
        <v>104</v>
      </c>
      <c r="C2" t="s">
        <v>107</v>
      </c>
      <c r="E2" t="s">
        <v>112</v>
      </c>
      <c r="G2" s="56" t="s">
        <v>127</v>
      </c>
      <c r="I2" s="65" t="s">
        <v>130</v>
      </c>
      <c r="K2" s="56"/>
      <c r="M2" s="56"/>
      <c r="O2" s="56"/>
      <c r="Q2" s="67">
        <v>42370</v>
      </c>
      <c r="S2">
        <v>-1000</v>
      </c>
      <c r="T2" t="s">
        <v>194</v>
      </c>
    </row>
    <row r="3" spans="1:20" ht="15.75">
      <c r="A3" s="59" t="s">
        <v>103</v>
      </c>
      <c r="C3" t="s">
        <v>109</v>
      </c>
      <c r="E3" t="s">
        <v>113</v>
      </c>
      <c r="G3" s="56" t="s">
        <v>124</v>
      </c>
      <c r="I3" s="65" t="s">
        <v>131</v>
      </c>
      <c r="Q3" s="67">
        <v>42520</v>
      </c>
      <c r="S3" s="57">
        <v>2</v>
      </c>
      <c r="T3" s="57" t="s">
        <v>196</v>
      </c>
    </row>
    <row r="4" spans="1:20" ht="15.75">
      <c r="A4" s="59" t="s">
        <v>90</v>
      </c>
      <c r="G4" s="56" t="s">
        <v>125</v>
      </c>
      <c r="I4" s="65" t="s">
        <v>132</v>
      </c>
      <c r="K4" s="58"/>
      <c r="M4" s="58"/>
      <c r="O4" s="58"/>
      <c r="Q4" s="67">
        <v>42555</v>
      </c>
      <c r="S4" s="57">
        <v>4</v>
      </c>
      <c r="T4" s="57" t="s">
        <v>195</v>
      </c>
    </row>
    <row r="5" spans="1:20" ht="15.75">
      <c r="A5" s="59" t="s">
        <v>91</v>
      </c>
      <c r="G5" s="56" t="s">
        <v>126</v>
      </c>
      <c r="I5" s="65" t="s">
        <v>133</v>
      </c>
      <c r="Q5" s="67">
        <v>42618</v>
      </c>
      <c r="S5" s="57">
        <v>7</v>
      </c>
      <c r="T5" s="57" t="s">
        <v>197</v>
      </c>
    </row>
    <row r="6" spans="1:20" ht="15.75">
      <c r="A6" s="59" t="s">
        <v>92</v>
      </c>
      <c r="G6" s="56">
        <v>3516</v>
      </c>
      <c r="I6" s="65" t="s">
        <v>134</v>
      </c>
      <c r="K6" s="58"/>
      <c r="M6" s="58"/>
      <c r="O6" s="58"/>
      <c r="Q6" s="67">
        <v>42698</v>
      </c>
    </row>
    <row r="7" spans="1:20" ht="15.75">
      <c r="A7" s="59" t="s">
        <v>93</v>
      </c>
      <c r="I7" s="65" t="s">
        <v>135</v>
      </c>
      <c r="Q7" s="67">
        <v>42729</v>
      </c>
    </row>
    <row r="8" spans="1:20" ht="15.75">
      <c r="A8" s="59" t="s">
        <v>94</v>
      </c>
      <c r="G8" s="58"/>
      <c r="I8" s="65" t="s">
        <v>136</v>
      </c>
    </row>
    <row r="9" spans="1:20" ht="15.75">
      <c r="A9" s="59" t="s">
        <v>95</v>
      </c>
      <c r="I9" s="65" t="s">
        <v>137</v>
      </c>
    </row>
    <row r="10" spans="1:20" ht="15.75">
      <c r="A10" s="59" t="s">
        <v>96</v>
      </c>
      <c r="G10" s="58"/>
      <c r="I10" s="65" t="s">
        <v>138</v>
      </c>
    </row>
    <row r="11" spans="1:20" ht="15.75">
      <c r="A11" s="59" t="s">
        <v>97</v>
      </c>
      <c r="I11" s="65" t="s">
        <v>139</v>
      </c>
    </row>
    <row r="12" spans="1:20" ht="15.75">
      <c r="A12" s="59" t="s">
        <v>98</v>
      </c>
      <c r="I12" s="65" t="s">
        <v>140</v>
      </c>
    </row>
    <row r="13" spans="1:20" ht="15.75">
      <c r="A13" s="59" t="s">
        <v>99</v>
      </c>
      <c r="I13" s="65" t="s">
        <v>141</v>
      </c>
    </row>
    <row r="14" spans="1:20" ht="15.75">
      <c r="A14" s="59" t="s">
        <v>100</v>
      </c>
      <c r="I14" s="65" t="s">
        <v>142</v>
      </c>
    </row>
    <row r="15" spans="1:20" ht="15.75">
      <c r="A15" s="59" t="s">
        <v>101</v>
      </c>
      <c r="I15" s="65" t="s">
        <v>143</v>
      </c>
    </row>
    <row r="16" spans="1:20">
      <c r="I16" s="65" t="s">
        <v>144</v>
      </c>
    </row>
    <row r="17" spans="9:9">
      <c r="I17" s="65" t="s">
        <v>145</v>
      </c>
    </row>
    <row r="18" spans="9:9">
      <c r="I18" s="65" t="s">
        <v>146</v>
      </c>
    </row>
    <row r="19" spans="9:9">
      <c r="I19" s="65" t="s">
        <v>147</v>
      </c>
    </row>
    <row r="20" spans="9:9">
      <c r="I20" s="65" t="s">
        <v>148</v>
      </c>
    </row>
    <row r="21" spans="9:9">
      <c r="I21" s="65" t="s">
        <v>149</v>
      </c>
    </row>
    <row r="22" spans="9:9">
      <c r="I22" s="65" t="s">
        <v>150</v>
      </c>
    </row>
    <row r="23" spans="9:9">
      <c r="I23" s="65" t="s">
        <v>151</v>
      </c>
    </row>
    <row r="24" spans="9:9">
      <c r="I24" s="65" t="s">
        <v>152</v>
      </c>
    </row>
    <row r="25" spans="9:9">
      <c r="I25" s="65" t="s">
        <v>153</v>
      </c>
    </row>
    <row r="26" spans="9:9">
      <c r="I26" s="65" t="s">
        <v>154</v>
      </c>
    </row>
    <row r="27" spans="9:9">
      <c r="I27" s="65" t="s">
        <v>155</v>
      </c>
    </row>
    <row r="28" spans="9:9">
      <c r="I28" s="65" t="s">
        <v>156</v>
      </c>
    </row>
    <row r="29" spans="9:9">
      <c r="I29" s="65" t="s">
        <v>157</v>
      </c>
    </row>
    <row r="30" spans="9:9">
      <c r="I30" s="65" t="s">
        <v>158</v>
      </c>
    </row>
    <row r="31" spans="9:9">
      <c r="I31" s="65" t="s">
        <v>159</v>
      </c>
    </row>
    <row r="32" spans="9:9">
      <c r="I32" s="65" t="s">
        <v>160</v>
      </c>
    </row>
    <row r="33" spans="9:9">
      <c r="I33" s="65" t="s">
        <v>161</v>
      </c>
    </row>
    <row r="34" spans="9:9">
      <c r="I34" s="65" t="s">
        <v>162</v>
      </c>
    </row>
    <row r="35" spans="9:9">
      <c r="I35" s="65" t="s">
        <v>163</v>
      </c>
    </row>
    <row r="36" spans="9:9">
      <c r="I36" s="65" t="s">
        <v>164</v>
      </c>
    </row>
    <row r="37" spans="9:9">
      <c r="I37" s="65" t="s">
        <v>165</v>
      </c>
    </row>
    <row r="38" spans="9:9">
      <c r="I38" s="65" t="s">
        <v>166</v>
      </c>
    </row>
    <row r="39" spans="9:9">
      <c r="I39" s="65" t="s">
        <v>167</v>
      </c>
    </row>
    <row r="40" spans="9:9">
      <c r="I40" s="65" t="s">
        <v>168</v>
      </c>
    </row>
    <row r="41" spans="9:9">
      <c r="I41" s="65" t="s">
        <v>169</v>
      </c>
    </row>
    <row r="42" spans="9:9">
      <c r="I42" s="65" t="s">
        <v>170</v>
      </c>
    </row>
    <row r="43" spans="9:9">
      <c r="I43" s="65" t="s">
        <v>171</v>
      </c>
    </row>
    <row r="44" spans="9:9">
      <c r="I44" s="65" t="s">
        <v>172</v>
      </c>
    </row>
    <row r="45" spans="9:9">
      <c r="I45" s="65" t="s">
        <v>173</v>
      </c>
    </row>
    <row r="46" spans="9:9">
      <c r="I46" s="65" t="s">
        <v>174</v>
      </c>
    </row>
    <row r="47" spans="9:9">
      <c r="I47" s="65" t="s">
        <v>175</v>
      </c>
    </row>
    <row r="48" spans="9:9">
      <c r="I48" s="65" t="s">
        <v>176</v>
      </c>
    </row>
    <row r="49" spans="9:9">
      <c r="I49" s="65" t="s">
        <v>177</v>
      </c>
    </row>
    <row r="50" spans="9:9">
      <c r="I50" s="65" t="s">
        <v>178</v>
      </c>
    </row>
    <row r="51" spans="9:9">
      <c r="I51" s="65" t="s">
        <v>179</v>
      </c>
    </row>
    <row r="52" spans="9:9">
      <c r="I52" s="65" t="s">
        <v>180</v>
      </c>
    </row>
    <row r="53" spans="9:9">
      <c r="I53" s="65" t="s">
        <v>181</v>
      </c>
    </row>
    <row r="54" spans="9:9">
      <c r="I54" s="65" t="s">
        <v>182</v>
      </c>
    </row>
    <row r="55" spans="9:9">
      <c r="I55" s="65" t="s">
        <v>183</v>
      </c>
    </row>
    <row r="56" spans="9:9">
      <c r="I56" s="65" t="s">
        <v>184</v>
      </c>
    </row>
    <row r="57" spans="9:9">
      <c r="I57" s="65" t="s">
        <v>185</v>
      </c>
    </row>
    <row r="58" spans="9:9">
      <c r="I58" s="65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2016-06-28T23:26:30Z</dcterms:modified>
</cp:coreProperties>
</file>