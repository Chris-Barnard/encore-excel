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activeX/activeX248.bin" ContentType="application/vnd.ms-office.activeX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249.xml" ContentType="application/vnd.ms-office.activeX+xml"/>
  <Override PartName="/xl/activeX/activeX251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252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Override PartName="/xl/activeX/activeX245.bin" ContentType="application/vnd.ms-office.activeX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246.xml" ContentType="application/vnd.ms-office.activeX+xml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243.xml" ContentType="application/vnd.ms-office.activeX+xml"/>
  <Override PartName="/xl/activeX/activeX17.bin" ContentType="application/vnd.ms-office.activeX"/>
  <Override PartName="/xl/activeX/activeX64.bin" ContentType="application/vnd.ms-office.activeX"/>
  <Override PartName="/xl/activeX/activeX135.bin" ContentType="application/vnd.ms-office.activeX"/>
  <Override PartName="/xl/activeX/activeX182.bin" ContentType="application/vnd.ms-office.activeX"/>
  <Override PartName="/xl/activeX/activeX221.xml" ContentType="application/vnd.ms-office.activeX+xml"/>
  <Override PartName="/xl/activeX/activeX87.xml" ContentType="application/vnd.ms-office.activeX+xml"/>
  <Override PartName="/xl/activeX/activeX113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247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activeX/activeX248.xml" ContentType="application/vnd.ms-office.activeX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50.bin" ContentType="application/vnd.ms-office.activeX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251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activeX/activeX244.bin" ContentType="application/vnd.ms-office.activeX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activeX/activeX245.xml" ContentType="application/vnd.ms-office.activeX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49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52.bin" ContentType="application/vnd.ms-office.activeX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246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activeX/activeX247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250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243.bin" ContentType="application/vnd.ms-office.activeX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44.xml" ContentType="application/vnd.ms-office.activeX+xml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28.bin" ContentType="application/vnd.ms-office.activeX"/>
  <Override PartName="/xl/activeX/activeX75.bin" ContentType="application/vnd.ms-office.activeX"/>
  <Override PartName="/xl/activeX/activeX169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98.xml" ContentType="application/vnd.ms-office.activeX+xml"/>
  <Override PartName="/xl/activeX/activeX124.bin" ContentType="application/vnd.ms-office.activeX"/>
  <Override PartName="/xl/activeX/activeX171.bin" ContentType="application/vnd.ms-office.activeX"/>
  <Override PartName="/xl/activeX/activeX210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84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2" i="2"/>
  <c r="D62"/>
  <c r="I61"/>
  <c r="D61"/>
  <c r="I60"/>
  <c r="D60"/>
  <c r="I59"/>
  <c r="D59"/>
  <c r="I58"/>
  <c r="D58"/>
  <c r="I57"/>
  <c r="D57"/>
  <c r="I56"/>
  <c r="D56"/>
  <c r="I55"/>
  <c r="D55"/>
  <c r="I54"/>
  <c r="D54"/>
  <c r="I49"/>
  <c r="I50" s="1"/>
  <c r="I51" s="1"/>
  <c r="I52" s="1"/>
  <c r="I53" s="1"/>
  <c r="K53"/>
  <c r="K52"/>
  <c r="K51"/>
  <c r="K50"/>
  <c r="D53"/>
  <c r="D52"/>
  <c r="D51"/>
  <c r="D50"/>
  <c r="D49"/>
  <c r="F53"/>
  <c r="F52"/>
  <c r="F51"/>
  <c r="F50"/>
  <c r="C11"/>
  <c r="C6" s="1"/>
  <c r="Q33"/>
  <c r="Q27" s="1"/>
  <c r="L33"/>
  <c r="L27" s="1"/>
  <c r="O27" s="1"/>
  <c r="G33"/>
  <c r="G27" s="1"/>
  <c r="J27" s="1"/>
  <c r="C33"/>
  <c r="C27" s="1"/>
  <c r="Q12"/>
  <c r="Q6" s="1"/>
  <c r="L12"/>
  <c r="L6" s="1"/>
  <c r="G12"/>
  <c r="G6" s="1"/>
  <c r="P28"/>
  <c r="K28"/>
  <c r="F28"/>
  <c r="B28"/>
  <c r="P7"/>
  <c r="K7"/>
  <c r="F7"/>
  <c r="O6" l="1"/>
  <c r="T6"/>
  <c r="J6"/>
  <c r="E6"/>
  <c r="E27"/>
  <c r="T27"/>
  <c r="B7"/>
</calcChain>
</file>

<file path=xl/sharedStrings.xml><?xml version="1.0" encoding="utf-8"?>
<sst xmlns="http://schemas.openxmlformats.org/spreadsheetml/2006/main" count="737" uniqueCount="312">
  <si>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</si>
  <si>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</si>
  <si>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</si>
  <si>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</si>
  <si>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</si>
  <si>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</si>
  <si>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</si>
  <si>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</si>
  <si>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</si>
  <si>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</si>
  <si>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</si>
  <si>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</si>
  <si>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</si>
  <si>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</si>
  <si>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</si>
  <si>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</si>
  <si>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</si>
  <si>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</si>
  <si>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</si>
  <si>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</si>
  <si>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</si>
  <si>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</si>
  <si>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</si>
  <si>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</si>
  <si>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</si>
  <si>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</si>
  <si>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</si>
  <si>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</si>
  <si>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</si>
  <si>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</si>
  <si>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</si>
  <si>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</si>
  <si>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</si>
  <si>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</si>
  <si>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</si>
  <si>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</si>
  <si>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</si>
  <si>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</si>
  <si>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</si>
  <si>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</si>
  <si>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</si>
  <si>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</si>
  <si>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</si>
  <si>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</si>
  <si>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</si>
  <si>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</si>
  <si>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</si>
  <si>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</si>
  <si>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</si>
  <si>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</si>
  <si>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</si>
  <si>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</si>
  <si>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</si>
  <si>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</si>
  <si>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</si>
  <si>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</si>
  <si>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</si>
  <si>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</si>
  <si>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</si>
  <si>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</si>
  <si>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</si>
  <si>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</si>
  <si>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</si>
  <si>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</si>
  <si>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</si>
  <si>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</si>
  <si>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</si>
  <si>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</si>
  <si>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</si>
  <si>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</si>
  <si>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</si>
  <si>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</si>
  <si>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</si>
  <si>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</si>
  <si>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</si>
  <si>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</si>
  <si>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</si>
  <si>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</si>
  <si>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</si>
  <si>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</si>
  <si>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</si>
  <si>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</si>
  <si>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</si>
  <si>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</si>
  <si>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</si>
  <si>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</si>
  <si>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</si>
  <si>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</si>
  <si>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</si>
  <si>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</si>
  <si>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Scrubber</t>
  </si>
  <si>
    <t>Cooler Retube</t>
  </si>
  <si>
    <t>Cooler Pressure Test</t>
  </si>
  <si>
    <t>Governor Repair</t>
  </si>
  <si>
    <t>Rocker  Arm Repair</t>
  </si>
  <si>
    <t>Warranty</t>
  </si>
  <si>
    <t>Rebuild Front Cover</t>
  </si>
  <si>
    <t>Louver Repair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</si>
  <si>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</si>
  <si>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</si>
  <si>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</si>
  <si>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</si>
  <si>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</si>
  <si>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</si>
  <si>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</si>
  <si>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</si>
  <si>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</si>
  <si>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</si>
  <si>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</si>
  <si>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</si>
  <si>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</si>
  <si>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</si>
  <si>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</si>
  <si>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</si>
  <si>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</si>
  <si>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</si>
  <si>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</si>
  <si>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Service Order #</t>
  </si>
  <si>
    <t>Engine</t>
  </si>
  <si>
    <t>Hours</t>
  </si>
  <si>
    <t>3306NA</t>
  </si>
  <si>
    <t>3306TA</t>
  </si>
  <si>
    <t>3304NA</t>
  </si>
  <si>
    <t>Engine Model List</t>
  </si>
  <si>
    <t>Customer Name</t>
  </si>
  <si>
    <t>ARUBA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</si>
  <si>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</si>
  <si>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</si>
  <si>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</si>
  <si>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</si>
  <si>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</si>
  <si>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</si>
  <si>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</si>
  <si>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</si>
  <si>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</si>
  <si>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</si>
  <si>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</si>
  <si>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</si>
  <si>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</si>
  <si>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</si>
  <si>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</si>
  <si>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</si>
  <si>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</si>
  <si>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</si>
  <si>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</si>
  <si>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</si>
  <si>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</si>
  <si>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</si>
  <si>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</si>
  <si>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</si>
  <si>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</si>
  <si>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</si>
  <si>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</si>
  <si>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</si>
  <si>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</si>
  <si>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</si>
  <si>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</si>
  <si>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</si>
  <si>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</si>
  <si>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</si>
  <si>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</si>
  <si>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</si>
  <si>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</si>
  <si>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</si>
  <si>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</si>
  <si>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</si>
  <si>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</si>
  <si>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</si>
  <si>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</si>
  <si>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</si>
  <si>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</si>
  <si>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</si>
  <si>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</si>
  <si>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</si>
  <si>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</si>
  <si>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</si>
  <si>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</si>
  <si>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</si>
  <si>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</si>
  <si>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</si>
  <si>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</si>
  <si>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</si>
  <si>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</si>
  <si>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</si>
  <si>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</si>
  <si>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</si>
  <si>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</si>
  <si>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</si>
  <si>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</si>
  <si>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</si>
  <si>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</si>
  <si>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Clutch Repair</t>
  </si>
  <si>
    <t>Cylinder Repiar</t>
  </si>
  <si>
    <t>Panel Door Repair</t>
  </si>
  <si>
    <t>1st Stage Scrubber Repair</t>
  </si>
  <si>
    <t>2nd Stage Scrubber Repair</t>
  </si>
  <si>
    <t>3rd Stage Scrubber Repair</t>
  </si>
  <si>
    <t>Process Piping Weld/Replace</t>
  </si>
  <si>
    <t>X-Ray Process Piping</t>
  </si>
  <si>
    <t>EICS Installation</t>
  </si>
  <si>
    <t>EICS Repair</t>
  </si>
  <si>
    <t>Catalyst Repair</t>
  </si>
  <si>
    <t>IPD</t>
  </si>
  <si>
    <t>Mix OEM/IPD</t>
  </si>
  <si>
    <t>3306TAA</t>
  </si>
  <si>
    <t>3406NA</t>
  </si>
  <si>
    <t>3406TA</t>
  </si>
  <si>
    <t>3408NA</t>
  </si>
  <si>
    <t>3408TA</t>
  </si>
  <si>
    <t>3412TA</t>
  </si>
  <si>
    <t>342NA</t>
  </si>
  <si>
    <t>342TA</t>
  </si>
  <si>
    <t>379NA</t>
  </si>
  <si>
    <t>379TAA</t>
  </si>
  <si>
    <t>398NA</t>
  </si>
  <si>
    <t>398TAA</t>
  </si>
  <si>
    <t>399NA</t>
  </si>
  <si>
    <t>399TAA</t>
  </si>
  <si>
    <t>VRG 210</t>
  </si>
  <si>
    <t>VRG 220</t>
  </si>
  <si>
    <t>VRG 280</t>
  </si>
  <si>
    <t>VRG 330</t>
  </si>
  <si>
    <t>AJAX</t>
  </si>
  <si>
    <t>F18</t>
  </si>
  <si>
    <t>7042GU</t>
  </si>
  <si>
    <t>7042GSI</t>
  </si>
  <si>
    <t>7044GU</t>
  </si>
  <si>
    <t>7044GSI</t>
  </si>
  <si>
    <t>9390 GSI</t>
  </si>
  <si>
    <t>9390 GL</t>
  </si>
  <si>
    <t>6G825</t>
  </si>
  <si>
    <t>8G825</t>
  </si>
  <si>
    <t>12G825</t>
  </si>
  <si>
    <t>C-30</t>
  </si>
  <si>
    <t>C-42</t>
  </si>
  <si>
    <t>DPC-60</t>
  </si>
  <si>
    <t>DPC-80</t>
  </si>
  <si>
    <t>DPC-81</t>
  </si>
  <si>
    <t>DPC-105</t>
  </si>
  <si>
    <t>DPC-115</t>
  </si>
  <si>
    <t>DPC115LE</t>
  </si>
  <si>
    <t>DPC-120</t>
  </si>
  <si>
    <t>DPC-140</t>
  </si>
  <si>
    <t>DPC-160</t>
  </si>
  <si>
    <t>DPC-162</t>
  </si>
  <si>
    <t>DPC-180</t>
  </si>
  <si>
    <t>DPC-180LE</t>
  </si>
  <si>
    <t>DPC-230</t>
  </si>
  <si>
    <t>DPC-280</t>
  </si>
  <si>
    <t>DPC-280LE</t>
  </si>
  <si>
    <t>DPC-300</t>
  </si>
  <si>
    <t>DPC360</t>
  </si>
  <si>
    <t>DPC-360LE</t>
  </si>
  <si>
    <t>DPC-540LE</t>
  </si>
  <si>
    <t>DPC-600</t>
  </si>
  <si>
    <t>DPC-600LE</t>
  </si>
  <si>
    <t>DPC-800LE</t>
  </si>
  <si>
    <t>2201 STD/LE</t>
  </si>
  <si>
    <t>2801 STD/LE</t>
  </si>
  <si>
    <t>2202 STD/LE</t>
  </si>
  <si>
    <t>2802 STD</t>
  </si>
  <si>
    <t>2802 LE</t>
  </si>
  <si>
    <t>2803 STD</t>
  </si>
  <si>
    <t>2803 LE</t>
  </si>
  <si>
    <t>2804 STD</t>
  </si>
  <si>
    <t>2804 LE</t>
  </si>
  <si>
    <t>BLUESTONE</t>
  </si>
  <si>
    <t>EOG-MIDLAND</t>
  </si>
  <si>
    <t>EOG-BOWIE</t>
  </si>
  <si>
    <t>EOG-ALVARADO/GODLEY</t>
  </si>
  <si>
    <t>Caterpillar</t>
  </si>
  <si>
    <t>Waukesha</t>
  </si>
  <si>
    <t>Ajax</t>
  </si>
  <si>
    <t>WHITE SUPERIOR</t>
  </si>
  <si>
    <t>ARROW</t>
  </si>
  <si>
    <t>GE</t>
  </si>
  <si>
    <t>ARIEL</t>
  </si>
  <si>
    <t>CIP</t>
  </si>
  <si>
    <t>INGERSOLL</t>
  </si>
  <si>
    <t>WORTHINGTON</t>
  </si>
  <si>
    <t>JGM</t>
  </si>
  <si>
    <t>JGP</t>
  </si>
  <si>
    <t>JGN</t>
  </si>
  <si>
    <t>JGQ</t>
  </si>
  <si>
    <t>JG</t>
  </si>
  <si>
    <t>JGA</t>
  </si>
  <si>
    <t>JGR</t>
  </si>
  <si>
    <t>JGJ</t>
  </si>
  <si>
    <t>JGH</t>
  </si>
  <si>
    <t>JGE</t>
  </si>
  <si>
    <t>JGK</t>
  </si>
  <si>
    <t>JGT</t>
  </si>
  <si>
    <t>JGC</t>
  </si>
  <si>
    <t>JGZ</t>
  </si>
  <si>
    <t>JGU</t>
  </si>
  <si>
    <t>KBV</t>
  </si>
  <si>
    <t>KBB</t>
  </si>
  <si>
    <t>KBZ</t>
  </si>
  <si>
    <t>M SERIES</t>
  </si>
  <si>
    <t>H SERIES</t>
  </si>
  <si>
    <t>A SERIES</t>
  </si>
  <si>
    <t>B SERIES</t>
  </si>
  <si>
    <t>D42</t>
  </si>
  <si>
    <t>DS</t>
  </si>
  <si>
    <t>ES</t>
  </si>
  <si>
    <t>FS</t>
  </si>
  <si>
    <t>SHMB</t>
  </si>
  <si>
    <t>PHT</t>
  </si>
  <si>
    <t>PXT</t>
  </si>
  <si>
    <t>Outside service</t>
  </si>
  <si>
    <t>Top checks</t>
  </si>
  <si>
    <t>Top combos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</si>
</sst>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rgb="FF000000"/>
      <name val="Calibri"/>
      <family val="2"/>
      <scheme val="minor"/>
    </font>
    <font>
      <sz val="11"/>
      <color rgb="FF2121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4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/>
      <diagonal/>
    </border>
    <border>
      <left/>
      <right/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rgb="FF7F7F7F"/>
      </right>
      <top style="thick">
        <color auto="1"/>
      </top>
      <bottom style="thin">
        <color rgb="FF7F7F7F"/>
      </bottom>
      <diagonal/>
    </border>
    <border>
      <left style="thin">
        <color rgb="FF7F7F7F"/>
      </left>
      <right style="thick">
        <color auto="1"/>
      </right>
      <top style="thick">
        <color auto="1"/>
      </top>
      <bottom style="thin">
        <color rgb="FF7F7F7F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rgb="FF7F7F7F"/>
      </left>
      <right/>
      <top style="thick">
        <color auto="1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52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Border="1"/>
    <xf numFmtId="0" fontId="17" fillId="0" borderId="0" xfId="0" applyFont="1" applyAlignment="1"/>
    <xf numFmtId="0" fontId="18" fillId="0" borderId="0" xfId="0" applyFont="1"/>
    <xf numFmtId="15" fontId="21" fillId="9" borderId="11" xfId="4" quotePrefix="1" applyNumberFormat="1" applyFont="1" applyBorder="1" applyAlignment="1">
      <alignment horizontal="center"/>
    </xf>
    <xf numFmtId="3" fontId="21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0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3" fontId="21" fillId="9" borderId="12" xfId="4" quotePrefix="1" applyNumberFormat="1" applyFont="1" applyBorder="1" applyAlignment="1">
      <alignment horizontal="center"/>
    </xf>
    <xf numFmtId="0" fontId="21" fillId="9" borderId="15" xfId="4" quotePrefix="1" applyFont="1" applyBorder="1" applyAlignment="1">
      <alignment horizontal="center"/>
    </xf>
    <xf numFmtId="43" fontId="20" fillId="10" borderId="16" xfId="1" applyFont="1" applyFill="1" applyBorder="1" applyAlignment="1">
      <alignment horizontal="left"/>
    </xf>
    <xf numFmtId="0" fontId="21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19" fillId="0" borderId="16" xfId="1" applyFont="1" applyBorder="1"/>
    <xf numFmtId="43" fontId="19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1" fillId="9" borderId="28" xfId="4" quotePrefix="1" applyNumberFormat="1" applyFont="1" applyBorder="1" applyAlignment="1">
      <alignment horizontal="center"/>
    </xf>
    <xf numFmtId="0" fontId="19" fillId="0" borderId="4" xfId="0" applyFont="1" applyBorder="1"/>
    <xf numFmtId="0" fontId="19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19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1" fillId="9" borderId="34" xfId="4" quotePrefix="1" applyNumberFormat="1" applyFont="1" applyBorder="1" applyAlignment="1">
      <alignment horizontal="center"/>
    </xf>
    <xf numFmtId="0" fontId="21" fillId="9" borderId="35" xfId="4" applyFont="1" applyBorder="1" applyAlignment="1">
      <alignment horizontal="center"/>
    </xf>
    <xf numFmtId="3" fontId="21" fillId="9" borderId="12" xfId="4" applyNumberFormat="1" applyFont="1" applyBorder="1" applyAlignment="1">
      <alignment horizontal="center"/>
    </xf>
    <xf numFmtId="0" fontId="22" fillId="0" borderId="0" xfId="0" applyFont="1" applyBorder="1" applyAlignment="1"/>
    <xf numFmtId="0" fontId="16" fillId="0" borderId="0" xfId="0" applyFont="1"/>
    <xf numFmtId="0" fontId="0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5" fontId="24" fillId="0" borderId="0" xfId="0" applyNumberFormat="1" applyFont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7" borderId="9" xfId="0" applyFont="1" applyFill="1" applyBorder="1" applyAlignment="1">
      <alignment horizontal="center"/>
    </xf>
    <xf numFmtId="43" fontId="19" fillId="0" borderId="0" xfId="1" applyFont="1" applyBorder="1"/>
    <xf numFmtId="0" fontId="21" fillId="9" borderId="36" xfId="4" applyFont="1" applyBorder="1" applyAlignment="1">
      <alignment horizontal="center"/>
    </xf>
    <xf numFmtId="0" fontId="15" fillId="10" borderId="37" xfId="5" applyFont="1" applyBorder="1" applyAlignment="1">
      <alignment horizontal="centerContinuous"/>
    </xf>
    <xf numFmtId="43" fontId="19" fillId="0" borderId="7" xfId="1" applyFont="1" applyBorder="1"/>
    <xf numFmtId="43" fontId="19" fillId="0" borderId="21" xfId="1" applyFont="1" applyBorder="1"/>
    <xf numFmtId="0" fontId="21" fillId="9" borderId="38" xfId="4" quotePrefix="1" applyFont="1" applyBorder="1" applyAlignment="1">
      <alignment horizontal="center"/>
    </xf>
    <xf numFmtId="0" fontId="21" fillId="9" borderId="39" xfId="4" applyFont="1" applyBorder="1" applyAlignment="1">
      <alignment horizontal="center"/>
    </xf>
    <xf numFmtId="0" fontId="19" fillId="0" borderId="16" xfId="0" applyFont="1" applyBorder="1"/>
    <xf numFmtId="0" fontId="19" fillId="0" borderId="20" xfId="0" applyFont="1" applyBorder="1"/>
    <xf numFmtId="0" fontId="21" fillId="9" borderId="35" xfId="4" applyNumberFormat="1" applyFont="1" applyBorder="1" applyAlignment="1">
      <alignment horizontal="center"/>
    </xf>
    <xf numFmtId="0" fontId="0" fillId="0" borderId="40" xfId="0" applyBorder="1"/>
    <xf numFmtId="43" fontId="20" fillId="10" borderId="41" xfId="1" applyFont="1" applyFill="1" applyBorder="1" applyAlignment="1">
      <alignment horizontal="left"/>
    </xf>
    <xf numFmtId="43" fontId="20" fillId="10" borderId="42" xfId="1" applyFont="1" applyFill="1" applyBorder="1" applyAlignment="1">
      <alignment horizontal="left"/>
    </xf>
    <xf numFmtId="43" fontId="20" fillId="10" borderId="43" xfId="1" applyFont="1" applyFill="1" applyBorder="1" applyAlignment="1">
      <alignment horizontal="left"/>
    </xf>
    <xf numFmtId="43" fontId="20" fillId="10" borderId="44" xfId="1" applyFont="1" applyFill="1" applyBorder="1" applyAlignment="1">
      <alignment horizontal="left"/>
    </xf>
    <xf numFmtId="43" fontId="20" fillId="10" borderId="45" xfId="1" applyFont="1" applyFill="1" applyBorder="1" applyAlignment="1">
      <alignment horizontal="left"/>
    </xf>
    <xf numFmtId="0" fontId="6" fillId="0" borderId="0" xfId="0" applyFont="1"/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</dxfs>
  <tableStyles count="0" defaultTableStyle="TableStyleMedium2" defaultPivotStyle="PivotStyleLight16"/>
  <colors>
    <mruColors>
      <color rgb="FF7F7F7F"/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9" Type="http://schemas.openxmlformats.org/officeDocument/2006/relationships/image" Target="../media/image40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34" Type="http://schemas.openxmlformats.org/officeDocument/2006/relationships/image" Target="../media/image35.emf"/><Relationship Id="rId42" Type="http://schemas.openxmlformats.org/officeDocument/2006/relationships/image" Target="../media/image43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34.emf"/><Relationship Id="rId38" Type="http://schemas.openxmlformats.org/officeDocument/2006/relationships/image" Target="../media/image39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30.emf"/><Relationship Id="rId41" Type="http://schemas.openxmlformats.org/officeDocument/2006/relationships/image" Target="../media/image42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33.emf"/><Relationship Id="rId37" Type="http://schemas.openxmlformats.org/officeDocument/2006/relationships/image" Target="../media/image38.emf"/><Relationship Id="rId40" Type="http://schemas.openxmlformats.org/officeDocument/2006/relationships/image" Target="../media/image41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36" Type="http://schemas.openxmlformats.org/officeDocument/2006/relationships/image" Target="../media/image37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6.emf"/><Relationship Id="rId43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0</xdr:row>
      <xdr:rowOff>104775</xdr:rowOff>
    </xdr:from>
    <xdr:to>
      <xdr:col>13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23" totalsRowShown="0" headerRowDxfId="51" dataDxfId="50">
  <autoFilter ref="A1:A23"/>
  <tableColumns count="1">
    <tableColumn id="1" name="Tasks" dataDxfId="4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4" totalsRowShown="0">
  <autoFilter ref="C1:C4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5" totalsRowShown="0">
  <autoFilter ref="E1:E5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78" totalsRowShown="0" dataDxfId="48">
  <autoFilter ref="G1:G78"/>
  <tableColumns count="1">
    <tableColumn id="1" name="Engine Model List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8" totalsRowShown="0" headerRowDxfId="46" dataDxfId="44" headerRowBorderDxfId="45" tableBorderDxfId="43" headerRowCellStyle="Comma" dataCellStyle="Comma">
  <autoFilter ref="I1:I58"/>
  <tableColumns count="1">
    <tableColumn id="1" name="Customer Name" dataDxfId="42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6" totalsRowShown="0" dataDxfId="41">
  <autoFilter ref="K1:K6"/>
  <tableColumns count="1">
    <tableColumn id="1" name="Engine Makes" dataDxfId="4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7" totalsRowShown="0" dataDxfId="39">
  <autoFilter ref="M1:M7"/>
  <tableColumns count="1">
    <tableColumn id="1" name="Frame Makes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31" totalsRowShown="0" dataDxfId="37">
  <autoFilter ref="O1:O31"/>
  <tableColumns count="1">
    <tableColumn id="1" name="Frame Models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35">
  <autoFilter ref="Q1:Q7"/>
  <tableColumns count="1">
    <tableColumn id="1" name="Holidays" dataDxfId="3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247" Type="http://schemas.openxmlformats.org/officeDocument/2006/relationships/control" Target="../activeX/activeX244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48" Type="http://schemas.openxmlformats.org/officeDocument/2006/relationships/control" Target="../activeX/activeX245.xml"/><Relationship Id="rId12" Type="http://schemas.openxmlformats.org/officeDocument/2006/relationships/control" Target="../activeX/activeX9.xml"/><Relationship Id="rId33" Type="http://schemas.openxmlformats.org/officeDocument/2006/relationships/control" Target="../activeX/activeX30.xml"/><Relationship Id="rId108" Type="http://schemas.openxmlformats.org/officeDocument/2006/relationships/control" Target="../activeX/activeX105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54" Type="http://schemas.openxmlformats.org/officeDocument/2006/relationships/control" Target="../activeX/activeX251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249" Type="http://schemas.openxmlformats.org/officeDocument/2006/relationships/control" Target="../activeX/activeX246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50" Type="http://schemas.openxmlformats.org/officeDocument/2006/relationships/control" Target="../activeX/activeX247.xml"/><Relationship Id="rId255" Type="http://schemas.openxmlformats.org/officeDocument/2006/relationships/control" Target="../activeX/activeX252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1" Type="http://schemas.openxmlformats.org/officeDocument/2006/relationships/control" Target="../activeX/activeX248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246" Type="http://schemas.openxmlformats.org/officeDocument/2006/relationships/control" Target="../activeX/activeX243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252" Type="http://schemas.openxmlformats.org/officeDocument/2006/relationships/control" Target="../activeX/activeX249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53" Type="http://schemas.openxmlformats.org/officeDocument/2006/relationships/control" Target="../activeX/activeX250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7" Type="http://schemas.openxmlformats.org/officeDocument/2006/relationships/control" Target="../activeX/activeX14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24" Type="http://schemas.openxmlformats.org/officeDocument/2006/relationships/control" Target="../activeX/activeX12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132"/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3"/>
      <c r="R1" s="133"/>
      <c r="S1" s="133"/>
      <c r="T1" s="133"/>
    </row>
    <row r="2" spans="1:20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133"/>
      <c r="S2" s="133"/>
      <c r="T2" s="133"/>
    </row>
    <row r="3" spans="1:20">
      <c r="A3" s="132"/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3"/>
      <c r="R3" s="133"/>
      <c r="S3" s="133"/>
      <c r="T3" s="133"/>
    </row>
    <row r="4" spans="1:20">
      <c r="A4" s="132"/>
      <c r="B4" s="132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3"/>
      <c r="R4" s="133"/>
      <c r="S4" s="133"/>
      <c r="T4" s="133"/>
    </row>
    <row r="5" spans="1:20">
      <c r="A5" s="132"/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3"/>
      <c r="R5" s="133"/>
      <c r="S5" s="133"/>
      <c r="T5" s="133"/>
    </row>
    <row r="6" spans="1:20">
      <c r="A6" s="132"/>
      <c r="B6" s="132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3"/>
      <c r="R6" s="133"/>
      <c r="S6" s="133"/>
      <c r="T6" s="133"/>
    </row>
    <row r="7" spans="1:20" ht="24" customHeight="1">
      <c r="A7" s="134" t="s">
        <v>83</v>
      </c>
      <c r="B7" s="134"/>
      <c r="C7" s="134"/>
      <c r="D7" s="134"/>
      <c r="E7" s="122" t="s">
        <v>78</v>
      </c>
      <c r="F7" s="123"/>
      <c r="G7" s="123"/>
      <c r="H7" s="124"/>
      <c r="I7" s="122" t="s">
        <v>69</v>
      </c>
      <c r="J7" s="123"/>
      <c r="K7" s="123"/>
      <c r="L7" s="124"/>
      <c r="M7" s="122" t="s">
        <v>52</v>
      </c>
      <c r="N7" s="123"/>
      <c r="O7" s="123"/>
      <c r="P7" s="124"/>
      <c r="Q7" s="122" t="s">
        <v>63</v>
      </c>
      <c r="R7" s="123"/>
      <c r="S7" s="123"/>
      <c r="T7" s="124"/>
    </row>
    <row r="8" spans="1:20" s="4" customFormat="1" ht="18.75">
      <c r="A8" s="112" t="s">
        <v>84</v>
      </c>
      <c r="B8" s="113"/>
      <c r="C8" s="113"/>
      <c r="D8" s="113"/>
      <c r="E8" s="101" t="s">
        <v>79</v>
      </c>
      <c r="F8" s="102"/>
      <c r="G8" s="102"/>
      <c r="H8" s="102"/>
      <c r="I8" s="112" t="s">
        <v>61</v>
      </c>
      <c r="J8" s="113"/>
      <c r="K8" s="113"/>
      <c r="L8" s="113"/>
      <c r="M8" s="112" t="s">
        <v>26</v>
      </c>
      <c r="N8" s="113"/>
      <c r="O8" s="113"/>
      <c r="P8" s="113"/>
      <c r="Q8" s="112" t="s">
        <v>64</v>
      </c>
      <c r="R8" s="113"/>
      <c r="S8" s="113"/>
      <c r="T8" s="113"/>
    </row>
    <row r="9" spans="1:20" s="4" customFormat="1" ht="18.75">
      <c r="A9" s="120" t="s">
        <v>82</v>
      </c>
      <c r="B9" s="120"/>
      <c r="C9" s="120"/>
      <c r="D9" s="120"/>
      <c r="E9" s="121" t="s">
        <v>80</v>
      </c>
      <c r="F9" s="102"/>
      <c r="G9" s="102"/>
      <c r="H9" s="102"/>
      <c r="I9" s="121"/>
      <c r="J9" s="121"/>
      <c r="K9" s="121"/>
      <c r="L9" s="121"/>
      <c r="M9" s="120"/>
      <c r="N9" s="120"/>
      <c r="O9" s="120"/>
      <c r="P9" s="120"/>
      <c r="Q9" s="112" t="s">
        <v>65</v>
      </c>
      <c r="R9" s="125"/>
      <c r="S9" s="125"/>
      <c r="T9" s="125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14" t="s">
        <v>18</v>
      </c>
      <c r="B17" s="115"/>
      <c r="C17" s="115"/>
      <c r="D17" s="116"/>
      <c r="E17" s="117" t="s">
        <v>18</v>
      </c>
      <c r="F17" s="118"/>
      <c r="G17" s="118"/>
      <c r="H17" s="119"/>
      <c r="I17" s="117" t="s">
        <v>68</v>
      </c>
      <c r="J17" s="118"/>
      <c r="K17" s="118"/>
      <c r="L17" s="119"/>
      <c r="M17" s="117" t="s">
        <v>67</v>
      </c>
      <c r="N17" s="118"/>
      <c r="O17" s="118"/>
      <c r="P17" s="119"/>
      <c r="Q17" s="117" t="s">
        <v>18</v>
      </c>
      <c r="R17" s="118"/>
      <c r="S17" s="118"/>
      <c r="T17" s="119"/>
    </row>
    <row r="18" spans="1:20" s="4" customFormat="1" ht="18.75">
      <c r="A18" s="112" t="s">
        <v>59</v>
      </c>
      <c r="B18" s="113"/>
      <c r="C18" s="113"/>
      <c r="D18" s="113"/>
      <c r="E18" s="112" t="s">
        <v>48</v>
      </c>
      <c r="F18" s="113"/>
      <c r="G18" s="113"/>
      <c r="H18" s="113"/>
      <c r="I18" s="112" t="s">
        <v>46</v>
      </c>
      <c r="J18" s="113"/>
      <c r="K18" s="113"/>
      <c r="L18" s="113"/>
      <c r="M18" s="112" t="s">
        <v>53</v>
      </c>
      <c r="N18" s="113"/>
      <c r="O18" s="113"/>
      <c r="P18" s="113"/>
      <c r="Q18" s="112" t="s">
        <v>27</v>
      </c>
      <c r="R18" s="112"/>
      <c r="S18" s="112"/>
      <c r="T18" s="112"/>
    </row>
    <row r="19" spans="1:20" s="4" customFormat="1" ht="18.75">
      <c r="A19" s="112"/>
      <c r="B19" s="113"/>
      <c r="C19" s="113"/>
      <c r="D19" s="113"/>
      <c r="E19" s="101"/>
      <c r="F19" s="101"/>
      <c r="G19" s="101"/>
      <c r="H19" s="101"/>
      <c r="I19" s="101"/>
      <c r="J19" s="101"/>
      <c r="K19" s="101"/>
      <c r="L19" s="101"/>
      <c r="M19" s="112" t="s">
        <v>19</v>
      </c>
      <c r="N19" s="112"/>
      <c r="O19" s="112"/>
      <c r="P19" s="112"/>
      <c r="Q19" s="112" t="s">
        <v>19</v>
      </c>
      <c r="R19" s="112"/>
      <c r="S19" s="112"/>
      <c r="T19" s="112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29" t="s">
        <v>18</v>
      </c>
      <c r="B27" s="130"/>
      <c r="C27" s="130"/>
      <c r="D27" s="130"/>
      <c r="E27" s="128" t="s">
        <v>58</v>
      </c>
      <c r="F27" s="128"/>
      <c r="G27" s="128"/>
      <c r="H27" s="128"/>
      <c r="I27" s="128" t="s">
        <v>40</v>
      </c>
      <c r="J27" s="128"/>
      <c r="K27" s="128"/>
      <c r="L27" s="128"/>
      <c r="M27" s="128" t="s">
        <v>36</v>
      </c>
      <c r="N27" s="128"/>
      <c r="O27" s="128"/>
      <c r="P27" s="128"/>
      <c r="Q27" s="128" t="s">
        <v>18</v>
      </c>
      <c r="R27" s="128"/>
      <c r="S27" s="128"/>
      <c r="T27" s="128"/>
    </row>
    <row r="28" spans="1:20" s="4" customFormat="1" ht="18.75">
      <c r="A28" s="112"/>
      <c r="B28" s="113"/>
      <c r="C28" s="113"/>
      <c r="D28" s="113"/>
      <c r="E28" s="112"/>
      <c r="F28" s="113"/>
      <c r="G28" s="113"/>
      <c r="H28" s="113"/>
      <c r="I28" s="112"/>
      <c r="J28" s="113"/>
      <c r="K28" s="113"/>
      <c r="L28" s="113"/>
      <c r="M28" s="112"/>
      <c r="N28" s="113"/>
      <c r="O28" s="113"/>
      <c r="P28" s="113"/>
      <c r="Q28" s="112" t="s">
        <v>27</v>
      </c>
      <c r="R28" s="112"/>
      <c r="S28" s="112"/>
      <c r="T28" s="112"/>
    </row>
    <row r="29" spans="1:20" s="4" customFormat="1" ht="18.75">
      <c r="A29" s="112"/>
      <c r="B29" s="113"/>
      <c r="C29" s="113"/>
      <c r="D29" s="113"/>
      <c r="E29" s="112"/>
      <c r="F29" s="113"/>
      <c r="G29" s="113"/>
      <c r="H29" s="113"/>
      <c r="I29" s="112"/>
      <c r="J29" s="113"/>
      <c r="K29" s="113"/>
      <c r="L29" s="113"/>
      <c r="M29" s="112"/>
      <c r="N29" s="113"/>
      <c r="O29" s="113"/>
      <c r="P29" s="113"/>
      <c r="Q29" s="112"/>
      <c r="R29" s="112"/>
      <c r="S29" s="112"/>
      <c r="T29" s="112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31" t="s">
        <v>70</v>
      </c>
      <c r="B37" s="131"/>
      <c r="C37" s="131"/>
      <c r="D37" s="131"/>
      <c r="E37" s="126" t="s">
        <v>54</v>
      </c>
      <c r="F37" s="126"/>
      <c r="G37" s="126"/>
      <c r="H37" s="126"/>
      <c r="I37" s="126" t="s">
        <v>18</v>
      </c>
      <c r="J37" s="126"/>
      <c r="K37" s="126"/>
      <c r="L37" s="126"/>
      <c r="M37" s="126" t="s">
        <v>20</v>
      </c>
      <c r="N37" s="126"/>
      <c r="O37" s="126"/>
      <c r="P37" s="126"/>
      <c r="Q37" s="126" t="s">
        <v>18</v>
      </c>
      <c r="R37" s="126"/>
      <c r="S37" s="126"/>
      <c r="T37" s="126"/>
    </row>
    <row r="38" spans="1:20" s="4" customFormat="1" ht="18.75">
      <c r="A38" s="112" t="s">
        <v>71</v>
      </c>
      <c r="B38" s="113"/>
      <c r="C38" s="113"/>
      <c r="D38" s="113"/>
      <c r="E38" s="101"/>
      <c r="F38" s="101"/>
      <c r="G38" s="101"/>
      <c r="H38" s="101"/>
      <c r="I38" s="112" t="s">
        <v>16</v>
      </c>
      <c r="J38" s="112"/>
      <c r="K38" s="112"/>
      <c r="L38" s="112"/>
      <c r="M38" s="127" t="s">
        <v>26</v>
      </c>
      <c r="N38" s="127"/>
      <c r="O38" s="127"/>
      <c r="P38" s="127"/>
      <c r="Q38" s="112" t="s">
        <v>24</v>
      </c>
      <c r="R38" s="112"/>
      <c r="S38" s="112"/>
      <c r="T38" s="112"/>
    </row>
    <row r="39" spans="1:20" s="4" customFormat="1" ht="18.75">
      <c r="A39" s="101" t="s">
        <v>72</v>
      </c>
      <c r="B39" s="102"/>
      <c r="C39" s="102"/>
      <c r="D39" s="102"/>
      <c r="E39" s="103"/>
      <c r="F39" s="104"/>
      <c r="G39" s="104"/>
      <c r="H39" s="105"/>
      <c r="I39" s="106" t="s">
        <v>14</v>
      </c>
      <c r="J39" s="107"/>
      <c r="K39" s="107"/>
      <c r="L39" s="108"/>
      <c r="M39" s="109" t="s">
        <v>14</v>
      </c>
      <c r="N39" s="110"/>
      <c r="O39" s="110"/>
      <c r="P39" s="111"/>
      <c r="Q39" s="106" t="s">
        <v>14</v>
      </c>
      <c r="R39" s="107"/>
      <c r="S39" s="107"/>
      <c r="T39" s="108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1:T6"/>
    <mergeCell ref="A8:D8"/>
    <mergeCell ref="E7:H7"/>
    <mergeCell ref="I7:L7"/>
    <mergeCell ref="E8:H8"/>
    <mergeCell ref="I8:L8"/>
    <mergeCell ref="A7:D7"/>
    <mergeCell ref="M8:P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9:D9"/>
    <mergeCell ref="E9:H9"/>
    <mergeCell ref="I9:L9"/>
    <mergeCell ref="M7:P7"/>
    <mergeCell ref="Q9:T9"/>
    <mergeCell ref="E19:H19"/>
    <mergeCell ref="I19:L19"/>
    <mergeCell ref="M19:P19"/>
    <mergeCell ref="Q19:T19"/>
    <mergeCell ref="A17:D17"/>
    <mergeCell ref="E17:H17"/>
    <mergeCell ref="I17:L17"/>
    <mergeCell ref="A29:D29"/>
    <mergeCell ref="E29:H29"/>
    <mergeCell ref="I29:L29"/>
    <mergeCell ref="M29:P29"/>
    <mergeCell ref="Q29:T29"/>
    <mergeCell ref="A39:D39"/>
    <mergeCell ref="E39:H39"/>
    <mergeCell ref="I39:L39"/>
    <mergeCell ref="M39:P39"/>
    <mergeCell ref="Q39:T39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U62"/>
  <sheetViews>
    <sheetView showGridLines="0" tabSelected="1" zoomScale="71" zoomScaleNormal="71" workbookViewId="0">
      <selection activeCell="D26" sqref="D26"/>
    </sheetView>
  </sheetViews>
  <sheetFormatPr defaultRowHeight="15"/>
  <cols>
    <col min="1" max="1" width="3.28515625" customWidth="1"/>
    <col min="2" max="2" width="15" customWidth="1"/>
    <col min="3" max="3" width="14.140625" customWidth="1"/>
    <col min="4" max="4" width="13.5703125" bestFit="1" customWidth="1"/>
    <col min="5" max="5" width="22.7109375" customWidth="1"/>
    <col min="6" max="6" width="13.42578125" bestFit="1" customWidth="1"/>
    <col min="7" max="7" width="12.5703125" customWidth="1"/>
    <col min="8" max="8" width="3.28515625" customWidth="1"/>
    <col min="9" max="9" width="13.5703125" bestFit="1" customWidth="1"/>
    <col min="10" max="10" width="22.7109375" customWidth="1"/>
    <col min="11" max="11" width="13.42578125" bestFit="1" customWidth="1"/>
    <col min="12" max="12" width="12.5703125" customWidth="1"/>
    <col min="13" max="13" width="3.28515625" customWidth="1"/>
    <col min="14" max="14" width="13.5703125" bestFit="1" customWidth="1"/>
    <col min="15" max="15" width="22.7109375" customWidth="1"/>
    <col min="16" max="16" width="13.42578125" bestFit="1" customWidth="1"/>
    <col min="17" max="17" width="12.5703125" customWidth="1"/>
    <col min="18" max="18" width="3.28515625" customWidth="1"/>
    <col min="19" max="19" width="13.5703125" bestFit="1" customWidth="1"/>
    <col min="20" max="20" width="22.7109375" customWidth="1"/>
    <col min="21" max="21" width="3.28515625" customWidth="1"/>
  </cols>
  <sheetData>
    <row r="2" spans="2:21">
      <c r="T2" s="97" t="b">
        <v>1</v>
      </c>
      <c r="U2" s="97" t="b">
        <v>1</v>
      </c>
    </row>
    <row r="6" spans="2:21" ht="15.75" thickBot="1">
      <c r="B6" s="65">
        <v>1</v>
      </c>
      <c r="C6" s="65" t="str">
        <f ca="1">IFERROR(NETWORKDAYS(TODAY(),C11,holidays[])-1,"x")</f>
        <v>x</v>
      </c>
      <c r="E6" s="65">
        <f ca="1">IFERROR(VLOOKUP(C6,Table10[],2,1),0)</f>
        <v>0</v>
      </c>
      <c r="F6" s="65">
        <v>2</v>
      </c>
      <c r="G6" s="65" t="str">
        <f ca="1">IFERROR(NETWORKDAYS(TODAY(),G12,holidays[])-1,"x")</f>
        <v>x</v>
      </c>
      <c r="J6" s="65">
        <f ca="1">IFERROR(VLOOKUP(G6,Table10[],2,1),0)</f>
        <v>0</v>
      </c>
      <c r="K6" s="65">
        <v>3</v>
      </c>
      <c r="L6" s="65" t="str">
        <f ca="1">IFERROR(NETWORKDAYS(TODAY(),L12,holidays[])-1,"x")</f>
        <v>x</v>
      </c>
      <c r="O6" s="65">
        <f ca="1">IFERROR(VLOOKUP(L6,Table10[],2,1),0)</f>
        <v>0</v>
      </c>
      <c r="P6" s="65">
        <v>4</v>
      </c>
      <c r="Q6" s="65" t="str">
        <f ca="1">IFERROR(NETWORKDAYS(TODAY(),Q12,holidays[])-1,"x")</f>
        <v>x</v>
      </c>
      <c r="T6" s="65">
        <f ca="1">IFERROR(VLOOKUP(Q6,Table10[],2,1),0)</f>
        <v>0</v>
      </c>
    </row>
    <row r="7" spans="2:21" ht="21" thickTop="1" thickBot="1">
      <c r="B7" s="76" t="str">
        <f>"BAY " &amp;B6</f>
        <v>BAY 1</v>
      </c>
      <c r="C7" s="77"/>
      <c r="D7" s="77"/>
      <c r="E7" s="78"/>
      <c r="F7" s="76" t="str">
        <f>"BAY " &amp;F6</f>
        <v>BAY 2</v>
      </c>
      <c r="G7" s="77"/>
      <c r="H7" s="77"/>
      <c r="I7" s="77"/>
      <c r="J7" s="78"/>
      <c r="K7" s="76" t="str">
        <f>"BAY " &amp;K6</f>
        <v>BAY 3</v>
      </c>
      <c r="L7" s="77"/>
      <c r="M7" s="77"/>
      <c r="N7" s="77"/>
      <c r="O7" s="78"/>
      <c r="P7" s="76" t="str">
        <f>"BAY " &amp;P6</f>
        <v>BAY 4</v>
      </c>
      <c r="Q7" s="77"/>
      <c r="R7" s="77"/>
      <c r="S7" s="77"/>
      <c r="T7" s="78"/>
    </row>
    <row r="8" spans="2:21" ht="15.75" thickTop="1">
      <c r="B8" s="148" t="s">
        <v>117</v>
      </c>
      <c r="C8" s="140"/>
      <c r="D8" s="146" t="s">
        <v>86</v>
      </c>
      <c r="E8" s="141"/>
      <c r="F8" s="62" t="s">
        <v>117</v>
      </c>
      <c r="G8" s="66"/>
      <c r="H8" s="56"/>
      <c r="I8" s="62" t="s">
        <v>86</v>
      </c>
      <c r="J8" s="68"/>
      <c r="K8" s="67" t="s">
        <v>117</v>
      </c>
      <c r="L8" s="66"/>
      <c r="M8" s="56"/>
      <c r="N8" s="62" t="s">
        <v>86</v>
      </c>
      <c r="O8" s="68"/>
      <c r="P8" s="67" t="s">
        <v>117</v>
      </c>
      <c r="Q8" s="66"/>
      <c r="R8" s="56"/>
      <c r="S8" s="62" t="s">
        <v>86</v>
      </c>
      <c r="T8" s="68"/>
    </row>
    <row r="9" spans="2:21">
      <c r="B9" s="149" t="s">
        <v>87</v>
      </c>
      <c r="C9" s="59"/>
      <c r="D9" s="147" t="s">
        <v>106</v>
      </c>
      <c r="E9" s="70"/>
      <c r="F9" s="56"/>
      <c r="G9" s="56"/>
      <c r="H9" s="56"/>
      <c r="I9" s="62" t="s">
        <v>106</v>
      </c>
      <c r="J9" s="70"/>
      <c r="K9" s="69"/>
      <c r="L9" s="56"/>
      <c r="M9" s="56"/>
      <c r="N9" s="62" t="s">
        <v>106</v>
      </c>
      <c r="O9" s="70"/>
      <c r="P9" s="69"/>
      <c r="Q9" s="56"/>
      <c r="R9" s="56"/>
      <c r="S9" s="62" t="s">
        <v>106</v>
      </c>
      <c r="T9" s="70"/>
    </row>
    <row r="10" spans="2:21">
      <c r="B10" s="149" t="s">
        <v>88</v>
      </c>
      <c r="C10" s="60"/>
      <c r="D10" s="64" t="s">
        <v>89</v>
      </c>
      <c r="E10" s="88"/>
      <c r="F10" s="62" t="s">
        <v>87</v>
      </c>
      <c r="G10" s="59"/>
      <c r="H10" s="56"/>
      <c r="I10" s="64" t="s">
        <v>89</v>
      </c>
      <c r="J10" s="88"/>
      <c r="K10" s="67" t="s">
        <v>87</v>
      </c>
      <c r="L10" s="59"/>
      <c r="M10" s="56"/>
      <c r="N10" s="64" t="s">
        <v>89</v>
      </c>
      <c r="O10" s="88"/>
      <c r="P10" s="67" t="s">
        <v>87</v>
      </c>
      <c r="Q10" s="59"/>
      <c r="R10" s="56"/>
      <c r="S10" s="64" t="s">
        <v>89</v>
      </c>
      <c r="T10" s="88"/>
    </row>
    <row r="11" spans="2:21">
      <c r="B11" s="150" t="s">
        <v>116</v>
      </c>
      <c r="C11" s="61" t="str">
        <f>IF(C9&lt;&gt;0,WORKDAY(C9,C10, holidays[]),"")</f>
        <v/>
      </c>
      <c r="D11" s="86"/>
      <c r="E11" s="71"/>
      <c r="F11" s="62" t="s">
        <v>88</v>
      </c>
      <c r="G11" s="60"/>
      <c r="H11" s="56"/>
      <c r="I11" s="86"/>
      <c r="J11" s="71"/>
      <c r="K11" s="67" t="s">
        <v>88</v>
      </c>
      <c r="L11" s="60"/>
      <c r="M11" s="56"/>
      <c r="N11" s="86"/>
      <c r="O11" s="71"/>
      <c r="P11" s="67" t="s">
        <v>88</v>
      </c>
      <c r="Q11" s="60"/>
      <c r="R11" s="56"/>
      <c r="S11" s="86"/>
      <c r="T11" s="71"/>
    </row>
    <row r="12" spans="2:21">
      <c r="B12" s="89" t="s">
        <v>102</v>
      </c>
      <c r="C12" s="80"/>
      <c r="D12" s="86"/>
      <c r="E12" s="71"/>
      <c r="F12" s="62" t="s">
        <v>116</v>
      </c>
      <c r="G12" s="61" t="str">
        <f>IF(G10&lt;&gt;0,WORKDAY(G10,G11, holidays[]),"")</f>
        <v/>
      </c>
      <c r="H12" s="56"/>
      <c r="I12" s="86"/>
      <c r="J12" s="71"/>
      <c r="K12" s="67" t="s">
        <v>116</v>
      </c>
      <c r="L12" s="61" t="str">
        <f>IF(L10&lt;&gt;0,WORKDAY(L10,L11, holidays[]),"")</f>
        <v/>
      </c>
      <c r="M12" s="56"/>
      <c r="N12" s="86"/>
      <c r="O12" s="71"/>
      <c r="P12" s="67" t="s">
        <v>116</v>
      </c>
      <c r="Q12" s="61" t="str">
        <f>IF(Q10&lt;&gt;0,WORKDAY(Q10,Q11, holidays[]),"")</f>
        <v/>
      </c>
      <c r="R12" s="56"/>
      <c r="S12" s="86"/>
      <c r="T12" s="71"/>
    </row>
    <row r="13" spans="2:21">
      <c r="B13" s="72" t="s">
        <v>103</v>
      </c>
      <c r="C13" s="81"/>
      <c r="D13" s="86"/>
      <c r="E13" s="71"/>
      <c r="F13" s="56"/>
      <c r="G13" s="56"/>
      <c r="H13" s="56"/>
      <c r="I13" s="86"/>
      <c r="J13" s="71"/>
      <c r="K13" s="69"/>
      <c r="L13" s="56"/>
      <c r="M13" s="56"/>
      <c r="N13" s="86"/>
      <c r="O13" s="71"/>
      <c r="P13" s="69"/>
      <c r="Q13" s="56"/>
      <c r="R13" s="56"/>
      <c r="S13" s="86"/>
      <c r="T13" s="71"/>
    </row>
    <row r="14" spans="2:21">
      <c r="B14" s="90" t="s">
        <v>107</v>
      </c>
      <c r="C14" s="82"/>
      <c r="D14" s="86"/>
      <c r="E14" s="71"/>
      <c r="F14" s="137" t="s">
        <v>102</v>
      </c>
      <c r="G14" s="80"/>
      <c r="H14" s="56"/>
      <c r="I14" s="86"/>
      <c r="J14" s="71"/>
      <c r="K14" s="89" t="s">
        <v>102</v>
      </c>
      <c r="L14" s="80"/>
      <c r="M14" s="56"/>
      <c r="N14" s="86"/>
      <c r="O14" s="71"/>
      <c r="P14" s="89" t="s">
        <v>102</v>
      </c>
      <c r="Q14" s="80"/>
      <c r="R14" s="56"/>
      <c r="S14" s="86"/>
      <c r="T14" s="71"/>
    </row>
    <row r="15" spans="2:21">
      <c r="B15" s="89" t="s">
        <v>118</v>
      </c>
      <c r="C15" s="80"/>
      <c r="D15" s="86"/>
      <c r="E15" s="71"/>
      <c r="F15" s="135" t="s">
        <v>103</v>
      </c>
      <c r="G15" s="81"/>
      <c r="H15" s="56"/>
      <c r="I15" s="86"/>
      <c r="J15" s="71"/>
      <c r="K15" s="72" t="s">
        <v>103</v>
      </c>
      <c r="L15" s="81"/>
      <c r="M15" s="56"/>
      <c r="N15" s="86"/>
      <c r="O15" s="71"/>
      <c r="P15" s="72" t="s">
        <v>103</v>
      </c>
      <c r="Q15" s="81"/>
      <c r="R15" s="56"/>
      <c r="S15" s="86"/>
      <c r="T15" s="71"/>
    </row>
    <row r="16" spans="2:21">
      <c r="B16" s="72" t="s">
        <v>112</v>
      </c>
      <c r="C16" s="81"/>
      <c r="D16" s="86"/>
      <c r="E16" s="71"/>
      <c r="F16" s="138" t="s">
        <v>107</v>
      </c>
      <c r="G16" s="82"/>
      <c r="H16" s="56"/>
      <c r="I16" s="87"/>
      <c r="J16" s="91"/>
      <c r="K16" s="90" t="s">
        <v>107</v>
      </c>
      <c r="L16" s="82"/>
      <c r="M16" s="56"/>
      <c r="N16" s="87"/>
      <c r="O16" s="91"/>
      <c r="P16" s="90" t="s">
        <v>107</v>
      </c>
      <c r="Q16" s="82"/>
      <c r="R16" s="56"/>
      <c r="S16" s="87"/>
      <c r="T16" s="91"/>
    </row>
    <row r="17" spans="2:20">
      <c r="B17" s="72" t="s">
        <v>113</v>
      </c>
      <c r="C17" s="81"/>
      <c r="D17" s="86"/>
      <c r="E17" s="71"/>
      <c r="F17" s="56"/>
      <c r="G17" s="56"/>
      <c r="H17" s="56"/>
      <c r="I17" s="56"/>
      <c r="J17" s="71"/>
      <c r="K17" s="69"/>
      <c r="L17" s="56"/>
      <c r="M17" s="56"/>
      <c r="N17" s="56"/>
      <c r="O17" s="71"/>
      <c r="P17" s="69"/>
      <c r="Q17" s="56"/>
      <c r="R17" s="56"/>
      <c r="S17" s="56"/>
      <c r="T17" s="71"/>
    </row>
    <row r="18" spans="2:20">
      <c r="B18" s="72" t="s">
        <v>119</v>
      </c>
      <c r="C18" s="83"/>
      <c r="D18" s="86"/>
      <c r="E18" s="71"/>
      <c r="F18" s="137" t="s">
        <v>118</v>
      </c>
      <c r="G18" s="80"/>
      <c r="H18" s="56"/>
      <c r="I18" s="79" t="s">
        <v>111</v>
      </c>
      <c r="J18" s="92"/>
      <c r="K18" s="89" t="s">
        <v>118</v>
      </c>
      <c r="L18" s="80"/>
      <c r="M18" s="56"/>
      <c r="N18" s="79" t="s">
        <v>111</v>
      </c>
      <c r="O18" s="92"/>
      <c r="P18" s="89" t="s">
        <v>118</v>
      </c>
      <c r="Q18" s="80"/>
      <c r="R18" s="56"/>
      <c r="S18" s="79" t="s">
        <v>111</v>
      </c>
      <c r="T18" s="92"/>
    </row>
    <row r="19" spans="2:20" ht="15.75" customHeight="1">
      <c r="B19" s="72" t="s">
        <v>114</v>
      </c>
      <c r="C19" s="136"/>
      <c r="D19" s="86"/>
      <c r="E19" s="71"/>
      <c r="F19" s="135" t="s">
        <v>112</v>
      </c>
      <c r="G19" s="81"/>
      <c r="H19" s="56"/>
      <c r="I19" s="84" t="s">
        <v>115</v>
      </c>
      <c r="J19" s="71"/>
      <c r="K19" s="72" t="s">
        <v>112</v>
      </c>
      <c r="L19" s="81"/>
      <c r="M19" s="56"/>
      <c r="N19" s="84" t="s">
        <v>115</v>
      </c>
      <c r="O19" s="71"/>
      <c r="P19" s="72" t="s">
        <v>112</v>
      </c>
      <c r="Q19" s="81"/>
      <c r="R19" s="56"/>
      <c r="S19" s="84" t="s">
        <v>115</v>
      </c>
      <c r="T19" s="71"/>
    </row>
    <row r="20" spans="2:20" ht="15.75" customHeight="1">
      <c r="B20" s="89" t="s">
        <v>111</v>
      </c>
      <c r="C20" s="80"/>
      <c r="D20" s="86"/>
      <c r="E20" s="71"/>
      <c r="F20" s="135" t="s">
        <v>113</v>
      </c>
      <c r="G20" s="81"/>
      <c r="H20" s="56"/>
      <c r="I20" s="84" t="s">
        <v>178</v>
      </c>
      <c r="J20" s="71"/>
      <c r="K20" s="72" t="s">
        <v>113</v>
      </c>
      <c r="L20" s="81"/>
      <c r="M20" s="56"/>
      <c r="N20" s="84" t="s">
        <v>178</v>
      </c>
      <c r="O20" s="71"/>
      <c r="P20" s="72" t="s">
        <v>113</v>
      </c>
      <c r="Q20" s="81"/>
      <c r="R20" s="56"/>
      <c r="S20" s="84" t="s">
        <v>178</v>
      </c>
      <c r="T20" s="71"/>
    </row>
    <row r="21" spans="2:20">
      <c r="B21" s="142" t="s">
        <v>115</v>
      </c>
      <c r="C21" s="81"/>
      <c r="D21" s="86"/>
      <c r="E21" s="71"/>
      <c r="F21" s="135" t="s">
        <v>119</v>
      </c>
      <c r="G21" s="83"/>
      <c r="H21" s="56"/>
      <c r="I21" s="85" t="s">
        <v>114</v>
      </c>
      <c r="J21" s="93"/>
      <c r="K21" s="72" t="s">
        <v>119</v>
      </c>
      <c r="L21" s="83"/>
      <c r="M21" s="56"/>
      <c r="N21" s="85" t="s">
        <v>114</v>
      </c>
      <c r="O21" s="93"/>
      <c r="P21" s="72" t="s">
        <v>119</v>
      </c>
      <c r="Q21" s="83"/>
      <c r="R21" s="56"/>
      <c r="S21" s="85" t="s">
        <v>114</v>
      </c>
      <c r="T21" s="93"/>
    </row>
    <row r="22" spans="2:20" ht="15.75" thickBot="1">
      <c r="B22" s="142" t="s">
        <v>178</v>
      </c>
      <c r="C22" s="81"/>
      <c r="D22" s="86"/>
      <c r="E22" s="71"/>
      <c r="F22" s="139" t="s">
        <v>114</v>
      </c>
      <c r="G22" s="94"/>
      <c r="H22" s="74"/>
      <c r="I22" s="74"/>
      <c r="J22" s="75"/>
      <c r="K22" s="73" t="s">
        <v>114</v>
      </c>
      <c r="L22" s="94"/>
      <c r="M22" s="74"/>
      <c r="N22" s="74"/>
      <c r="O22" s="75"/>
      <c r="P22" s="73" t="s">
        <v>114</v>
      </c>
      <c r="Q22" s="94"/>
      <c r="R22" s="74"/>
      <c r="S22" s="74"/>
      <c r="T22" s="75"/>
    </row>
    <row r="23" spans="2:20" ht="16.5" thickTop="1" thickBot="1">
      <c r="B23" s="143" t="s">
        <v>114</v>
      </c>
      <c r="C23" s="144"/>
      <c r="D23" s="145"/>
      <c r="E23" s="75"/>
    </row>
    <row r="24" spans="2:20" ht="15.75" thickTop="1"/>
    <row r="27" spans="2:20" ht="15.75" thickBot="1">
      <c r="B27" s="65">
        <v>5</v>
      </c>
      <c r="C27" s="65" t="str">
        <f ca="1">IFERROR(NETWORKDAYS(TODAY(),C33,holidays[])-1,"x")</f>
        <v>x</v>
      </c>
      <c r="E27" s="65">
        <f ca="1">IFERROR(VLOOKUP(C27,Table10[],2,1),0)</f>
        <v>0</v>
      </c>
      <c r="F27" s="65">
        <v>6</v>
      </c>
      <c r="G27" s="65" t="str">
        <f ca="1">IFERROR(NETWORKDAYS(TODAY(),G33,holidays[])-1,"x")</f>
        <v>x</v>
      </c>
      <c r="J27" s="65">
        <f ca="1">IFERROR(VLOOKUP(G27,Table10[],2,1),0)</f>
        <v>0</v>
      </c>
      <c r="K27" s="95" t="s">
        <v>189</v>
      </c>
      <c r="L27" s="65" t="str">
        <f ca="1">IFERROR(NETWORKDAYS(TODAY(),L33,holidays[])-1,"x")</f>
        <v>x</v>
      </c>
      <c r="O27" s="65">
        <f ca="1">IFERROR(VLOOKUP(L27,Table10[],2,1),0)</f>
        <v>0</v>
      </c>
      <c r="P27" s="95" t="s">
        <v>190</v>
      </c>
      <c r="Q27" s="65" t="str">
        <f ca="1">IFERROR(NETWORKDAYS(TODAY(),Q33,holidays[])-1,"x")</f>
        <v>x</v>
      </c>
      <c r="T27" s="65">
        <f ca="1">IFERROR(VLOOKUP(Q27,Table10[],2,1),0)</f>
        <v>0</v>
      </c>
    </row>
    <row r="28" spans="2:20" ht="21" thickTop="1" thickBot="1">
      <c r="B28" s="76" t="str">
        <f>"BAY " &amp;B27</f>
        <v>BAY 5</v>
      </c>
      <c r="C28" s="77"/>
      <c r="D28" s="77"/>
      <c r="E28" s="78"/>
      <c r="F28" s="76" t="str">
        <f>"BAY " &amp;F27</f>
        <v>BAY 6</v>
      </c>
      <c r="G28" s="77"/>
      <c r="H28" s="77"/>
      <c r="I28" s="77"/>
      <c r="J28" s="78"/>
      <c r="K28" s="76" t="str">
        <f>"BAY " &amp;K27</f>
        <v>BAY Special 1</v>
      </c>
      <c r="L28" s="77"/>
      <c r="M28" s="77"/>
      <c r="N28" s="77"/>
      <c r="O28" s="78"/>
      <c r="P28" s="76" t="str">
        <f>"BAY " &amp;P27</f>
        <v>BAY Special 2</v>
      </c>
      <c r="Q28" s="77"/>
      <c r="R28" s="77"/>
      <c r="S28" s="77"/>
      <c r="T28" s="78"/>
    </row>
    <row r="29" spans="2:20" ht="15.75" thickTop="1">
      <c r="B29" s="67" t="s">
        <v>117</v>
      </c>
      <c r="C29" s="66"/>
      <c r="D29" s="62" t="s">
        <v>86</v>
      </c>
      <c r="E29" s="68"/>
      <c r="F29" s="67" t="s">
        <v>117</v>
      </c>
      <c r="G29" s="66"/>
      <c r="H29" s="56"/>
      <c r="I29" s="62" t="s">
        <v>86</v>
      </c>
      <c r="J29" s="68"/>
      <c r="K29" s="67" t="s">
        <v>117</v>
      </c>
      <c r="L29" s="66"/>
      <c r="M29" s="56"/>
      <c r="N29" s="62" t="s">
        <v>86</v>
      </c>
      <c r="O29" s="68"/>
      <c r="P29" s="67" t="s">
        <v>117</v>
      </c>
      <c r="Q29" s="66"/>
      <c r="R29" s="56"/>
      <c r="S29" s="62" t="s">
        <v>86</v>
      </c>
      <c r="T29" s="68"/>
    </row>
    <row r="30" spans="2:20">
      <c r="B30" s="69"/>
      <c r="C30" s="56"/>
      <c r="D30" s="62" t="s">
        <v>106</v>
      </c>
      <c r="E30" s="70"/>
      <c r="F30" s="69"/>
      <c r="G30" s="56"/>
      <c r="H30" s="56"/>
      <c r="I30" s="62" t="s">
        <v>106</v>
      </c>
      <c r="J30" s="70"/>
      <c r="K30" s="69"/>
      <c r="L30" s="56"/>
      <c r="M30" s="56"/>
      <c r="N30" s="62" t="s">
        <v>106</v>
      </c>
      <c r="O30" s="70"/>
      <c r="P30" s="69"/>
      <c r="Q30" s="56"/>
      <c r="R30" s="56"/>
      <c r="S30" s="62" t="s">
        <v>106</v>
      </c>
      <c r="T30" s="70"/>
    </row>
    <row r="31" spans="2:20">
      <c r="B31" s="67" t="s">
        <v>87</v>
      </c>
      <c r="C31" s="59"/>
      <c r="D31" s="64" t="s">
        <v>89</v>
      </c>
      <c r="E31" s="88"/>
      <c r="F31" s="67" t="s">
        <v>87</v>
      </c>
      <c r="G31" s="59"/>
      <c r="H31" s="56"/>
      <c r="I31" s="64" t="s">
        <v>89</v>
      </c>
      <c r="J31" s="88"/>
      <c r="K31" s="67" t="s">
        <v>87</v>
      </c>
      <c r="L31" s="59"/>
      <c r="M31" s="56"/>
      <c r="N31" s="64" t="s">
        <v>89</v>
      </c>
      <c r="O31" s="88"/>
      <c r="P31" s="67" t="s">
        <v>87</v>
      </c>
      <c r="Q31" s="59"/>
      <c r="R31" s="56"/>
      <c r="S31" s="64" t="s">
        <v>89</v>
      </c>
      <c r="T31" s="88"/>
    </row>
    <row r="32" spans="2:20">
      <c r="B32" s="67" t="s">
        <v>88</v>
      </c>
      <c r="C32" s="60"/>
      <c r="D32" s="86"/>
      <c r="E32" s="71"/>
      <c r="F32" s="67" t="s">
        <v>88</v>
      </c>
      <c r="G32" s="60"/>
      <c r="H32" s="56"/>
      <c r="I32" s="86"/>
      <c r="J32" s="71"/>
      <c r="K32" s="67" t="s">
        <v>88</v>
      </c>
      <c r="L32" s="60"/>
      <c r="M32" s="56"/>
      <c r="N32" s="86"/>
      <c r="O32" s="71"/>
      <c r="P32" s="67" t="s">
        <v>88</v>
      </c>
      <c r="Q32" s="60"/>
      <c r="R32" s="56"/>
      <c r="S32" s="86"/>
      <c r="T32" s="71"/>
    </row>
    <row r="33" spans="2:20">
      <c r="B33" s="67" t="s">
        <v>116</v>
      </c>
      <c r="C33" s="61" t="str">
        <f>IF(C31&lt;&gt;0,WORKDAY(C31,C32, holidays[]),"")</f>
        <v/>
      </c>
      <c r="D33" s="86"/>
      <c r="E33" s="71"/>
      <c r="F33" s="67" t="s">
        <v>116</v>
      </c>
      <c r="G33" s="61" t="str">
        <f>IF(G31&lt;&gt;0,WORKDAY(G31,G32, holidays[]),"")</f>
        <v/>
      </c>
      <c r="H33" s="56"/>
      <c r="I33" s="86"/>
      <c r="J33" s="71"/>
      <c r="K33" s="67" t="s">
        <v>116</v>
      </c>
      <c r="L33" s="61" t="str">
        <f>IF(L31&lt;&gt;0,WORKDAY(L31,L32, holidays[]),"")</f>
        <v/>
      </c>
      <c r="M33" s="56"/>
      <c r="N33" s="86"/>
      <c r="O33" s="71"/>
      <c r="P33" s="67" t="s">
        <v>116</v>
      </c>
      <c r="Q33" s="61" t="str">
        <f>IF(Q31&lt;&gt;0,WORKDAY(Q31,Q32, holidays[]),"")</f>
        <v/>
      </c>
      <c r="R33" s="56"/>
      <c r="S33" s="86"/>
      <c r="T33" s="71"/>
    </row>
    <row r="34" spans="2:20">
      <c r="B34" s="69"/>
      <c r="C34" s="56"/>
      <c r="D34" s="86"/>
      <c r="E34" s="71"/>
      <c r="F34" s="69"/>
      <c r="G34" s="56"/>
      <c r="H34" s="56"/>
      <c r="I34" s="86"/>
      <c r="J34" s="71"/>
      <c r="K34" s="69"/>
      <c r="L34" s="56"/>
      <c r="M34" s="56"/>
      <c r="N34" s="86"/>
      <c r="O34" s="71"/>
      <c r="P34" s="69"/>
      <c r="Q34" s="56"/>
      <c r="R34" s="56"/>
      <c r="S34" s="86"/>
      <c r="T34" s="71"/>
    </row>
    <row r="35" spans="2:20">
      <c r="B35" s="89" t="s">
        <v>102</v>
      </c>
      <c r="C35" s="80"/>
      <c r="D35" s="86"/>
      <c r="E35" s="71"/>
      <c r="F35" s="89" t="s">
        <v>102</v>
      </c>
      <c r="G35" s="80"/>
      <c r="H35" s="56"/>
      <c r="I35" s="86"/>
      <c r="J35" s="71"/>
      <c r="K35" s="89" t="s">
        <v>102</v>
      </c>
      <c r="L35" s="80"/>
      <c r="M35" s="56"/>
      <c r="N35" s="86"/>
      <c r="O35" s="71"/>
      <c r="P35" s="89" t="s">
        <v>102</v>
      </c>
      <c r="Q35" s="80"/>
      <c r="R35" s="56"/>
      <c r="S35" s="86"/>
      <c r="T35" s="71"/>
    </row>
    <row r="36" spans="2:20">
      <c r="B36" s="72" t="s">
        <v>103</v>
      </c>
      <c r="C36" s="81"/>
      <c r="D36" s="86"/>
      <c r="E36" s="71"/>
      <c r="F36" s="72" t="s">
        <v>103</v>
      </c>
      <c r="G36" s="81"/>
      <c r="H36" s="56"/>
      <c r="I36" s="86"/>
      <c r="J36" s="71"/>
      <c r="K36" s="72" t="s">
        <v>103</v>
      </c>
      <c r="L36" s="81"/>
      <c r="M36" s="56"/>
      <c r="N36" s="86"/>
      <c r="O36" s="71"/>
      <c r="P36" s="72" t="s">
        <v>103</v>
      </c>
      <c r="Q36" s="81"/>
      <c r="R36" s="56"/>
      <c r="S36" s="86"/>
      <c r="T36" s="71"/>
    </row>
    <row r="37" spans="2:20">
      <c r="B37" s="90" t="s">
        <v>107</v>
      </c>
      <c r="C37" s="82"/>
      <c r="D37" s="87"/>
      <c r="E37" s="91"/>
      <c r="F37" s="90" t="s">
        <v>107</v>
      </c>
      <c r="G37" s="82"/>
      <c r="H37" s="56"/>
      <c r="I37" s="87"/>
      <c r="J37" s="91"/>
      <c r="K37" s="90" t="s">
        <v>107</v>
      </c>
      <c r="L37" s="82"/>
      <c r="M37" s="56"/>
      <c r="N37" s="87"/>
      <c r="O37" s="91"/>
      <c r="P37" s="90" t="s">
        <v>107</v>
      </c>
      <c r="Q37" s="82"/>
      <c r="R37" s="56"/>
      <c r="S37" s="87"/>
      <c r="T37" s="91"/>
    </row>
    <row r="38" spans="2:20">
      <c r="B38" s="69"/>
      <c r="C38" s="56"/>
      <c r="D38" s="56"/>
      <c r="E38" s="71"/>
      <c r="F38" s="69"/>
      <c r="G38" s="56"/>
      <c r="H38" s="56"/>
      <c r="I38" s="56"/>
      <c r="J38" s="71"/>
      <c r="K38" s="69"/>
      <c r="L38" s="56"/>
      <c r="M38" s="56"/>
      <c r="N38" s="56"/>
      <c r="O38" s="71"/>
      <c r="P38" s="69"/>
      <c r="Q38" s="56"/>
      <c r="R38" s="56"/>
      <c r="S38" s="56"/>
      <c r="T38" s="71"/>
    </row>
    <row r="39" spans="2:20">
      <c r="B39" s="89" t="s">
        <v>118</v>
      </c>
      <c r="C39" s="80"/>
      <c r="D39" s="79" t="s">
        <v>111</v>
      </c>
      <c r="E39" s="92"/>
      <c r="F39" s="89" t="s">
        <v>118</v>
      </c>
      <c r="G39" s="80"/>
      <c r="H39" s="56"/>
      <c r="I39" s="79" t="s">
        <v>111</v>
      </c>
      <c r="J39" s="92"/>
      <c r="K39" s="89" t="s">
        <v>118</v>
      </c>
      <c r="L39" s="80"/>
      <c r="M39" s="56"/>
      <c r="N39" s="79" t="s">
        <v>111</v>
      </c>
      <c r="O39" s="92"/>
      <c r="P39" s="89" t="s">
        <v>118</v>
      </c>
      <c r="Q39" s="80"/>
      <c r="R39" s="56"/>
      <c r="S39" s="79" t="s">
        <v>111</v>
      </c>
      <c r="T39" s="92"/>
    </row>
    <row r="40" spans="2:20" ht="15.75" customHeight="1">
      <c r="B40" s="72" t="s">
        <v>112</v>
      </c>
      <c r="C40" s="81"/>
      <c r="D40" s="84" t="s">
        <v>115</v>
      </c>
      <c r="E40" s="71"/>
      <c r="F40" s="72" t="s">
        <v>112</v>
      </c>
      <c r="G40" s="81"/>
      <c r="H40" s="56"/>
      <c r="I40" s="84" t="s">
        <v>115</v>
      </c>
      <c r="J40" s="71"/>
      <c r="K40" s="72" t="s">
        <v>112</v>
      </c>
      <c r="L40" s="81"/>
      <c r="M40" s="56"/>
      <c r="N40" s="84" t="s">
        <v>115</v>
      </c>
      <c r="O40" s="71"/>
      <c r="P40" s="72" t="s">
        <v>112</v>
      </c>
      <c r="Q40" s="81"/>
      <c r="R40" s="56"/>
      <c r="S40" s="84" t="s">
        <v>115</v>
      </c>
      <c r="T40" s="71"/>
    </row>
    <row r="41" spans="2:20" ht="15.75" customHeight="1">
      <c r="B41" s="72" t="s">
        <v>113</v>
      </c>
      <c r="C41" s="81"/>
      <c r="D41" s="84" t="s">
        <v>178</v>
      </c>
      <c r="E41" s="71"/>
      <c r="F41" s="72" t="s">
        <v>113</v>
      </c>
      <c r="G41" s="81"/>
      <c r="H41" s="56"/>
      <c r="I41" s="84" t="s">
        <v>178</v>
      </c>
      <c r="J41" s="71"/>
      <c r="K41" s="72" t="s">
        <v>113</v>
      </c>
      <c r="L41" s="81"/>
      <c r="M41" s="56"/>
      <c r="N41" s="84" t="s">
        <v>178</v>
      </c>
      <c r="O41" s="71"/>
      <c r="P41" s="72" t="s">
        <v>113</v>
      </c>
      <c r="Q41" s="81"/>
      <c r="R41" s="56"/>
      <c r="S41" s="84" t="s">
        <v>178</v>
      </c>
      <c r="T41" s="71"/>
    </row>
    <row r="42" spans="2:20">
      <c r="B42" s="72" t="s">
        <v>119</v>
      </c>
      <c r="C42" s="83"/>
      <c r="D42" s="85" t="s">
        <v>114</v>
      </c>
      <c r="E42" s="93"/>
      <c r="F42" s="72" t="s">
        <v>119</v>
      </c>
      <c r="G42" s="83"/>
      <c r="H42" s="56"/>
      <c r="I42" s="85" t="s">
        <v>114</v>
      </c>
      <c r="J42" s="93"/>
      <c r="K42" s="72" t="s">
        <v>119</v>
      </c>
      <c r="L42" s="83"/>
      <c r="M42" s="56"/>
      <c r="N42" s="85" t="s">
        <v>114</v>
      </c>
      <c r="O42" s="93"/>
      <c r="P42" s="72" t="s">
        <v>119</v>
      </c>
      <c r="Q42" s="83"/>
      <c r="R42" s="56"/>
      <c r="S42" s="85" t="s">
        <v>114</v>
      </c>
      <c r="T42" s="93"/>
    </row>
    <row r="43" spans="2:20" ht="15.75" thickBot="1">
      <c r="B43" s="73" t="s">
        <v>114</v>
      </c>
      <c r="C43" s="94"/>
      <c r="D43" s="74"/>
      <c r="E43" s="75"/>
      <c r="F43" s="73" t="s">
        <v>114</v>
      </c>
      <c r="G43" s="94"/>
      <c r="H43" s="74"/>
      <c r="I43" s="74"/>
      <c r="J43" s="75"/>
      <c r="K43" s="73" t="s">
        <v>114</v>
      </c>
      <c r="L43" s="94"/>
      <c r="M43" s="74"/>
      <c r="N43" s="74"/>
      <c r="O43" s="75"/>
      <c r="P43" s="73" t="s">
        <v>114</v>
      </c>
      <c r="Q43" s="94"/>
      <c r="R43" s="74"/>
      <c r="S43" s="74"/>
      <c r="T43" s="75"/>
    </row>
    <row r="44" spans="2:20" ht="15.75" thickTop="1"/>
    <row r="48" spans="2:20">
      <c r="E48" t="s">
        <v>310</v>
      </c>
      <c r="J48" t="s">
        <v>311</v>
      </c>
    </row>
    <row r="49" spans="4:11">
      <c r="D49" s="151">
        <f>E49</f>
        <v>161.25</v>
      </c>
      <c r="E49">
        <v>161.25</v>
      </c>
      <c r="I49" s="151">
        <f>J49</f>
        <v>159.75</v>
      </c>
      <c r="J49">
        <v>159.75</v>
      </c>
    </row>
    <row r="50" spans="4:11">
      <c r="D50" s="151">
        <f>D49+18</f>
        <v>179.25</v>
      </c>
      <c r="E50">
        <v>179.25</v>
      </c>
      <c r="F50">
        <f>E50-E49</f>
        <v>18</v>
      </c>
      <c r="I50" s="151">
        <f>I49+18</f>
        <v>177.75</v>
      </c>
      <c r="J50">
        <v>177.75</v>
      </c>
      <c r="K50">
        <f>J50-J49</f>
        <v>18</v>
      </c>
    </row>
    <row r="51" spans="4:11">
      <c r="D51" s="151">
        <f t="shared" ref="D51:D54" si="0">D50+18</f>
        <v>197.25</v>
      </c>
      <c r="E51">
        <v>197.25</v>
      </c>
      <c r="F51">
        <f t="shared" ref="F51:F53" si="1">E51-E50</f>
        <v>18</v>
      </c>
      <c r="I51" s="151">
        <f t="shared" ref="I51:I54" si="2">I50+18</f>
        <v>195.75</v>
      </c>
      <c r="J51">
        <v>195.75</v>
      </c>
      <c r="K51">
        <f t="shared" ref="K51:K53" si="3">J51-J50</f>
        <v>18</v>
      </c>
    </row>
    <row r="52" spans="4:11">
      <c r="D52" s="151">
        <f t="shared" si="0"/>
        <v>215.25</v>
      </c>
      <c r="E52">
        <v>214.5</v>
      </c>
      <c r="F52">
        <f t="shared" si="1"/>
        <v>17.25</v>
      </c>
      <c r="I52" s="151">
        <f t="shared" si="2"/>
        <v>213.75</v>
      </c>
      <c r="J52">
        <v>213</v>
      </c>
      <c r="K52">
        <f t="shared" si="3"/>
        <v>17.25</v>
      </c>
    </row>
    <row r="53" spans="4:11">
      <c r="D53" s="151">
        <f t="shared" si="0"/>
        <v>233.25</v>
      </c>
      <c r="E53">
        <v>231.75</v>
      </c>
      <c r="F53">
        <f t="shared" si="1"/>
        <v>17.25</v>
      </c>
      <c r="I53" s="151">
        <f t="shared" si="2"/>
        <v>231.75</v>
      </c>
      <c r="J53">
        <v>230.25</v>
      </c>
      <c r="K53">
        <f t="shared" si="3"/>
        <v>17.25</v>
      </c>
    </row>
    <row r="54" spans="4:11">
      <c r="D54" s="151">
        <f t="shared" si="0"/>
        <v>251.25</v>
      </c>
      <c r="I54" s="151">
        <f t="shared" si="2"/>
        <v>249.75</v>
      </c>
    </row>
    <row r="55" spans="4:11">
      <c r="D55" s="151">
        <f t="shared" ref="D55:D62" si="4">D54+18</f>
        <v>269.25</v>
      </c>
      <c r="I55" s="151">
        <f t="shared" ref="I55:I62" si="5">I54+18</f>
        <v>267.75</v>
      </c>
    </row>
    <row r="56" spans="4:11">
      <c r="D56" s="151">
        <f t="shared" si="4"/>
        <v>287.25</v>
      </c>
      <c r="I56" s="151">
        <f t="shared" si="5"/>
        <v>285.75</v>
      </c>
    </row>
    <row r="57" spans="4:11">
      <c r="D57" s="151">
        <f t="shared" si="4"/>
        <v>305.25</v>
      </c>
      <c r="E57" s="151"/>
      <c r="F57" s="151"/>
      <c r="G57" s="151"/>
      <c r="H57" s="151"/>
      <c r="I57" s="151">
        <f t="shared" si="5"/>
        <v>303.75</v>
      </c>
    </row>
    <row r="58" spans="4:11">
      <c r="D58">
        <f t="shared" si="4"/>
        <v>323.25</v>
      </c>
      <c r="I58">
        <f t="shared" si="5"/>
        <v>321.75</v>
      </c>
    </row>
    <row r="59" spans="4:11">
      <c r="D59">
        <f t="shared" si="4"/>
        <v>341.25</v>
      </c>
      <c r="I59">
        <f t="shared" si="5"/>
        <v>339.75</v>
      </c>
    </row>
    <row r="60" spans="4:11">
      <c r="D60">
        <f t="shared" si="4"/>
        <v>359.25</v>
      </c>
      <c r="I60">
        <f t="shared" si="5"/>
        <v>357.75</v>
      </c>
    </row>
    <row r="61" spans="4:11">
      <c r="D61">
        <f t="shared" si="4"/>
        <v>377.25</v>
      </c>
      <c r="I61">
        <f t="shared" si="5"/>
        <v>375.75</v>
      </c>
    </row>
    <row r="62" spans="4:11">
      <c r="D62">
        <f t="shared" si="4"/>
        <v>395.25</v>
      </c>
      <c r="I62">
        <f t="shared" si="5"/>
        <v>393.75</v>
      </c>
    </row>
  </sheetData>
  <conditionalFormatting sqref="C23 C18:C19 E8 G21:G22 G8 J8 G10:G11 L21:L22 J21 O8 L10:L11 Q21:Q22 O21 T8 Q10:Q11 G29 T21 E29 E42 J29 G31:G32 G42:G43 J42 L29 O29 L31:L32 L42:L43 O42 Q29 T29 Q31:Q32 Q42:Q43 T42 L8 Q8 C8:C10 C31:C32 C42:C43 C29">
    <cfRule type="cellIs" dxfId="33" priority="165" operator="notEqual">
      <formula>""</formula>
    </cfRule>
  </conditionalFormatting>
  <conditionalFormatting sqref="E27:G27 T6 T27 J27:L27 O27:Q27 E6:G6 J6:L6 O6:Q6 B27:C27 B6:C6">
    <cfRule type="cellIs" dxfId="32" priority="154" operator="notEqual">
      <formula>""</formula>
    </cfRule>
  </conditionalFormatting>
  <conditionalFormatting sqref="B20:C20 B15:C15 B12:C12 D8:D9 B7:E7 B8:B11 D10:E10">
    <cfRule type="expression" dxfId="31" priority="140">
      <formula>$E$6="GREEN"</formula>
    </cfRule>
  </conditionalFormatting>
  <conditionalFormatting sqref="B20:C20 B15:C15 B12:C12 D8:D9 B7:E7 B8:B11 D10:E10">
    <cfRule type="expression" dxfId="30" priority="141">
      <formula>$E$6="ORANGE"</formula>
    </cfRule>
  </conditionalFormatting>
  <conditionalFormatting sqref="B20:C20 B15:C15 B12:C12 D8:D9 B7:E7 B8:B11 D10:E10">
    <cfRule type="expression" dxfId="29" priority="142">
      <formula>$E$6="RED"</formula>
    </cfRule>
    <cfRule type="expression" dxfId="28" priority="143">
      <formula>$E$6="YELLOW"</formula>
    </cfRule>
  </conditionalFormatting>
  <conditionalFormatting sqref="F7:J7 F8 I8:I9 I10:J10 F10:F12 F14:G14 F18:G18 I18:J18">
    <cfRule type="expression" dxfId="27" priority="25">
      <formula>$J$6="RED"</formula>
    </cfRule>
    <cfRule type="expression" dxfId="26" priority="27">
      <formula>$J$6="ORANGE"</formula>
    </cfRule>
    <cfRule type="expression" dxfId="25" priority="28">
      <formula>$J$6="YELLOW"</formula>
    </cfRule>
    <cfRule type="expression" dxfId="24" priority="29">
      <formula>$J$6="GREEN"</formula>
    </cfRule>
  </conditionalFormatting>
  <conditionalFormatting sqref="K7:O7 K8 N8:N9 N10:O10 K10:K12 K14:L14 K18:L18 N18:O18">
    <cfRule type="expression" dxfId="23" priority="21">
      <formula>$O$6="RED"</formula>
    </cfRule>
    <cfRule type="expression" dxfId="22" priority="22">
      <formula>$O$6="ORANGE"</formula>
    </cfRule>
    <cfRule type="expression" dxfId="21" priority="23">
      <formula>$O$6="YELLOW"</formula>
    </cfRule>
    <cfRule type="expression" dxfId="20" priority="24">
      <formula>$O$6="GREEN"</formula>
    </cfRule>
  </conditionalFormatting>
  <conditionalFormatting sqref="P7:T7 P8 S8:S9 S10:T10 P10:P12 P14:Q14 P18:Q18 S18:T18">
    <cfRule type="expression" dxfId="19" priority="17">
      <formula>$T$6="RED"</formula>
    </cfRule>
    <cfRule type="expression" dxfId="18" priority="18">
      <formula>$T$6="ORANGE"</formula>
    </cfRule>
    <cfRule type="expression" dxfId="17" priority="19">
      <formula>$T$6="YELLOW"</formula>
    </cfRule>
    <cfRule type="expression" dxfId="16" priority="20">
      <formula>$T$6="GREEN"</formula>
    </cfRule>
  </conditionalFormatting>
  <conditionalFormatting sqref="D29:D30 B28:E28 B29 D31:E31 B31:B33 B35:C35 B39:E39">
    <cfRule type="expression" dxfId="15" priority="13">
      <formula>$E$27="RED"</formula>
    </cfRule>
    <cfRule type="expression" dxfId="14" priority="14">
      <formula>$E$27="ORANGE"</formula>
    </cfRule>
    <cfRule type="expression" dxfId="13" priority="15">
      <formula>$E$27="YELLOW"</formula>
    </cfRule>
    <cfRule type="expression" dxfId="12" priority="16">
      <formula>$E$27="GREEN"</formula>
    </cfRule>
  </conditionalFormatting>
  <conditionalFormatting sqref="F28:J28 F29 I29:I30 I31:J31 F31:F33 F35:G35 F39:G39 I39:J39">
    <cfRule type="expression" dxfId="11" priority="9">
      <formula>$J$27="RED"</formula>
    </cfRule>
    <cfRule type="expression" dxfId="10" priority="10">
      <formula>$J$27="ORANGE"</formula>
    </cfRule>
    <cfRule type="expression" dxfId="9" priority="11">
      <formula>$J$27="YELLOW"</formula>
    </cfRule>
    <cfRule type="expression" dxfId="8" priority="12">
      <formula>$J$27="GREEN"</formula>
    </cfRule>
  </conditionalFormatting>
  <conditionalFormatting sqref="K28:O28 K29 N29:N30 N31:O31 K31:K33 K35:L35 K39:L39 N39:O39">
    <cfRule type="expression" dxfId="7" priority="5">
      <formula>$O$27="RED"</formula>
    </cfRule>
    <cfRule type="expression" dxfId="6" priority="6">
      <formula>$O$27="ORANGE"</formula>
    </cfRule>
    <cfRule type="expression" dxfId="5" priority="7">
      <formula>$O$27="YELLOW"</formula>
    </cfRule>
    <cfRule type="expression" dxfId="4" priority="8">
      <formula>$O$27="GREEN"</formula>
    </cfRule>
  </conditionalFormatting>
  <conditionalFormatting sqref="P28:T28 P29 S29:S30 S31:T31 P31:P33 P35:Q35 P39:Q39 S39:T39">
    <cfRule type="expression" dxfId="3" priority="1">
      <formula>$T$27="RED"</formula>
    </cfRule>
    <cfRule type="expression" dxfId="2" priority="2">
      <formula>$T$27="ORANGE"</formula>
    </cfRule>
    <cfRule type="expression" dxfId="1" priority="3">
      <formula>$T$27="YELLOW"</formula>
    </cfRule>
    <cfRule type="expression" dxfId="0" priority="4">
      <formula>$T$27="GREEN"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410" r:id="rId4" name="cbB1Task10"/>
    <control shapeId="1409" r:id="rId5" name="ddB1Task10"/>
    <control shapeId="1408" r:id="rId6" name="cbB1Task9"/>
    <control shapeId="1407" r:id="rId7" name="ddB1Task9"/>
    <control shapeId="1404" r:id="rId8" name="cbB1Task8"/>
    <control shapeId="1403" r:id="rId9" name="ddB1Task8"/>
    <control shapeId="1402" r:id="rId10" name="cbB1Task7"/>
    <control shapeId="1401" r:id="rId11" name="ddB1Task7"/>
    <control shapeId="1400" r:id="rId12" name="cbB1Task6"/>
    <control shapeId="1399" r:id="rId13" name="ddB1Task6"/>
    <control shapeId="1396" r:id="rId14" name="B8Clear"/>
    <control shapeId="1394" r:id="rId15" name="B7Clear"/>
    <control shapeId="1393" r:id="rId16" name="B6Clear"/>
    <control shapeId="1392" r:id="rId17" name="B5Clear"/>
    <control shapeId="1391" r:id="rId18" name="B4Clear"/>
    <control shapeId="1390" r:id="rId19" name="B3Clear"/>
    <control shapeId="1389" r:id="rId20" name="B2Clear"/>
    <control shapeId="1388" r:id="rId21" name="B1Clear"/>
    <control shapeId="1387" r:id="rId22" name="ddB8FrameMake"/>
    <control shapeId="1386" r:id="rId23" name="ddB8FrameModel"/>
    <control shapeId="1385" r:id="rId24" name="ddB8EngineMake"/>
    <control shapeId="1384" r:id="rId25" name="ddB8EngineModels"/>
    <control shapeId="1383" r:id="rId26" name="ddB8Customer"/>
    <control shapeId="1382" r:id="rId27" name="ddB8PartType"/>
    <control shapeId="1381" r:id="rId28" name="ddB8PartsProvider"/>
    <control shapeId="1380" r:id="rId29" name="cbB8Task5"/>
    <control shapeId="1379" r:id="rId30" name="ddB8Task5"/>
    <control shapeId="1378" r:id="rId31" name="cbB8Task4"/>
    <control shapeId="1377" r:id="rId32" name="ddB8Task4"/>
    <control shapeId="1376" r:id="rId33" name="cbB8Task3"/>
    <control shapeId="1375" r:id="rId34" name="ddB8Task3"/>
    <control shapeId="1374" r:id="rId35" name="cbB8Task2"/>
    <control shapeId="1373" r:id="rId36" name="ddB8Task2"/>
    <control shapeId="1372" r:id="rId37" name="cbB8Task1"/>
    <control shapeId="1371" r:id="rId38" name="ddB8Task1"/>
    <control shapeId="1370" r:id="rId39" name="ddB7FrameMake"/>
    <control shapeId="1369" r:id="rId40" name="ddB7FrameModel"/>
    <control shapeId="1368" r:id="rId41" name="ddB7EngineMake"/>
    <control shapeId="1367" r:id="rId42" name="ddB7EngineModels"/>
    <control shapeId="1366" r:id="rId43" name="ddB7Customer"/>
    <control shapeId="1365" r:id="rId44" name="ddB7PartType"/>
    <control shapeId="1364" r:id="rId45" name="ddB7PartsProvider"/>
    <control shapeId="1363" r:id="rId46" name="cbB7Task5"/>
    <control shapeId="1362" r:id="rId47" name="ddB7Task5"/>
    <control shapeId="1361" r:id="rId48" name="cbB7Task4"/>
    <control shapeId="1360" r:id="rId49" name="ddB7Task4"/>
    <control shapeId="1359" r:id="rId50" name="cbB7Task3"/>
    <control shapeId="1358" r:id="rId51" name="ddB7Task3"/>
    <control shapeId="1357" r:id="rId52" name="cbB7Task2"/>
    <control shapeId="1356" r:id="rId53" name="ddB7Task2"/>
    <control shapeId="1355" r:id="rId54" name="cbB7Task1"/>
    <control shapeId="1354" r:id="rId55" name="ddB7Task1"/>
    <control shapeId="1353" r:id="rId56" name="ddB6FrameMake"/>
    <control shapeId="1352" r:id="rId57" name="ddB6FrameModel"/>
    <control shapeId="1351" r:id="rId58" name="ddB6EngineMake"/>
    <control shapeId="1350" r:id="rId59" name="ddB6EngineModels"/>
    <control shapeId="1349" r:id="rId60" name="ddB6Customer"/>
    <control shapeId="1348" r:id="rId61" name="ddB6PartType"/>
    <control shapeId="1347" r:id="rId62" name="ddB6PartsProvider"/>
    <control shapeId="1346" r:id="rId63" name="cbB6Task5"/>
    <control shapeId="1345" r:id="rId64" name="ddB6Task5"/>
    <control shapeId="1344" r:id="rId65" name="cbB6Task4"/>
    <control shapeId="1343" r:id="rId66" name="ddB6Task4"/>
    <control shapeId="1342" r:id="rId67" name="cbB6Task3"/>
    <control shapeId="1341" r:id="rId68" name="ddB6Task3"/>
    <control shapeId="1340" r:id="rId69" name="cbB6Task2"/>
    <control shapeId="1339" r:id="rId70" name="ddB6Task2"/>
    <control shapeId="1338" r:id="rId71" name="cbB6Task1"/>
    <control shapeId="1337" r:id="rId72" name="ddB6Task1"/>
    <control shapeId="1336" r:id="rId73" name="ComboBox120"/>
    <control shapeId="1335" r:id="rId74" name="ComboBox119"/>
    <control shapeId="1334" r:id="rId75" name="ComboBox118"/>
    <control shapeId="1333" r:id="rId76" name="ComboBox117"/>
    <control shapeId="1332" r:id="rId77" name="ComboBox116"/>
    <control shapeId="1331" r:id="rId78" name="ComboBox115"/>
    <control shapeId="1330" r:id="rId79" name="ComboBox114"/>
    <control shapeId="1329" r:id="rId80" name="CheckBox50"/>
    <control shapeId="1328" r:id="rId81" name="ComboBox113"/>
    <control shapeId="1327" r:id="rId82" name="CheckBox49"/>
    <control shapeId="1326" r:id="rId83" name="ComboBox112"/>
    <control shapeId="1325" r:id="rId84" name="CheckBox48"/>
    <control shapeId="1324" r:id="rId85" name="ComboBox111"/>
    <control shapeId="1323" r:id="rId86" name="CheckBox47"/>
    <control shapeId="1322" r:id="rId87" name="ComboBox110"/>
    <control shapeId="1321" r:id="rId88" name="CheckBox46"/>
    <control shapeId="1320" r:id="rId89" name="ComboBox109"/>
    <control shapeId="1319" r:id="rId90" name="ComboBox108"/>
    <control shapeId="1318" r:id="rId91" name="ComboBox107"/>
    <control shapeId="1317" r:id="rId92" name="ComboBox106"/>
    <control shapeId="1316" r:id="rId93" name="ComboBox105"/>
    <control shapeId="1315" r:id="rId94" name="ComboBox104"/>
    <control shapeId="1312" r:id="rId95" name="CheckBox45"/>
    <control shapeId="1311" r:id="rId96" name="ComboBox101"/>
    <control shapeId="1310" r:id="rId97" name="CheckBox44"/>
    <control shapeId="1309" r:id="rId98" name="ComboBox100"/>
    <control shapeId="1308" r:id="rId99" name="CheckBox43"/>
    <control shapeId="1307" r:id="rId100" name="ComboBox99"/>
    <control shapeId="1306" r:id="rId101" name="CheckBox42"/>
    <control shapeId="1305" r:id="rId102" name="ComboBox98"/>
    <control shapeId="1304" r:id="rId103" name="CheckBox41"/>
    <control shapeId="1303" r:id="rId104" name="ComboBox97"/>
    <control shapeId="1302" r:id="rId105" name="ComboBox96"/>
    <control shapeId="1301" r:id="rId106" name="ComboBox95"/>
    <control shapeId="1300" r:id="rId107" name="ComboBox94"/>
    <control shapeId="1299" r:id="rId108" name="ComboBox93"/>
    <control shapeId="1298" r:id="rId109" name="ComboBox92"/>
    <control shapeId="1297" r:id="rId110" name="ComboBox91"/>
    <control shapeId="1296" r:id="rId111" name="ComboBox90"/>
    <control shapeId="1295" r:id="rId112" name="CheckBox40"/>
    <control shapeId="1294" r:id="rId113" name="ComboBox89"/>
    <control shapeId="1293" r:id="rId114" name="CheckBox39"/>
    <control shapeId="1292" r:id="rId115" name="ComboBox88"/>
    <control shapeId="1291" r:id="rId116" name="CheckBox38"/>
    <control shapeId="1290" r:id="rId117" name="ComboBox87"/>
    <control shapeId="1289" r:id="rId118" name="CheckBox37"/>
    <control shapeId="1288" r:id="rId119" name="ComboBox86"/>
    <control shapeId="1287" r:id="rId120" name="CheckBox36"/>
    <control shapeId="1286" r:id="rId121" name="ComboBox85"/>
    <control shapeId="1285" r:id="rId122" name="ddB5FrameMake"/>
    <control shapeId="1284" r:id="rId123" name="ddB5FrameModel"/>
    <control shapeId="1283" r:id="rId124" name="ddB5EngineMake"/>
    <control shapeId="1282" r:id="rId125" name="ddB5EngineModels"/>
    <control shapeId="1281" r:id="rId126" name="ddB5Customer"/>
    <control shapeId="1280" r:id="rId127" name="ddB5PartType"/>
    <control shapeId="1279" r:id="rId128" name="ddB5PartsProvider"/>
    <control shapeId="1278" r:id="rId129" name="cbB5Task5"/>
    <control shapeId="1277" r:id="rId130" name="ddB5Task5"/>
    <control shapeId="1276" r:id="rId131" name="cbB5Task4"/>
    <control shapeId="1275" r:id="rId132" name="ddB5Task4"/>
    <control shapeId="1274" r:id="rId133" name="cbB5Task3"/>
    <control shapeId="1273" r:id="rId134" name="ddB5Task3"/>
    <control shapeId="1272" r:id="rId135" name="cbB5Task2"/>
    <control shapeId="1271" r:id="rId136" name="ddB5Task2"/>
    <control shapeId="1270" r:id="rId137" name="cbB5Task1"/>
    <control shapeId="1269" r:id="rId138" name="ddB5Task1"/>
    <control shapeId="1268" r:id="rId139" name="ddB4FrameMake"/>
    <control shapeId="1267" r:id="rId140" name="ddB4FrameModel"/>
    <control shapeId="1266" r:id="rId141" name="ddB4EngineMake"/>
    <control shapeId="1265" r:id="rId142" name="ddB4EngineModels"/>
    <control shapeId="1264" r:id="rId143" name="ddB4Customer"/>
    <control shapeId="1263" r:id="rId144" name="ddB4PartType"/>
    <control shapeId="1262" r:id="rId145" name="ddB4PartsProvider"/>
    <control shapeId="1261" r:id="rId146" name="cbB4Task5"/>
    <control shapeId="1260" r:id="rId147" name="ddB4Task5"/>
    <control shapeId="1259" r:id="rId148" name="cbB4Task4"/>
    <control shapeId="1258" r:id="rId149" name="ddB4Task4"/>
    <control shapeId="1257" r:id="rId150" name="cbB4Task3"/>
    <control shapeId="1256" r:id="rId151" name="ddB4Task3"/>
    <control shapeId="1255" r:id="rId152" name="cbB4Task2"/>
    <control shapeId="1254" r:id="rId153" name="ddB4Task2"/>
    <control shapeId="1253" r:id="rId154" name="cbB4Task1"/>
    <control shapeId="1252" r:id="rId155" name="ddB4Task1"/>
    <control shapeId="1251" r:id="rId156" name="ddB3FrameMake"/>
    <control shapeId="1250" r:id="rId157" name="ddB3FrameModel"/>
    <control shapeId="1249" r:id="rId158" name="ddB3EngineMake"/>
    <control shapeId="1248" r:id="rId159" name="ddB3EngineModels"/>
    <control shapeId="1247" r:id="rId160" name="ddB3Customer"/>
    <control shapeId="1246" r:id="rId161" name="ddB3PartType"/>
    <control shapeId="1245" r:id="rId162" name="ddB3PartsProvider"/>
    <control shapeId="1244" r:id="rId163" name="cbB3Task5"/>
    <control shapeId="1243" r:id="rId164" name="ddB3Task5"/>
    <control shapeId="1242" r:id="rId165" name="cbB3Task4"/>
    <control shapeId="1241" r:id="rId166" name="ddB3Task4"/>
    <control shapeId="1240" r:id="rId167" name="cbB3Task3"/>
    <control shapeId="1239" r:id="rId168" name="ddB3Task3"/>
    <control shapeId="1238" r:id="rId169" name="cbB3Task2"/>
    <control shapeId="1237" r:id="rId170" name="ddB3Task2"/>
    <control shapeId="1236" r:id="rId171" name="cbB3Task1"/>
    <control shapeId="1235" r:id="rId172" name="ddB3Task1"/>
    <control shapeId="1234" r:id="rId173" name="ddB2FrameMake"/>
    <control shapeId="1233" r:id="rId174" name="ddB2FrameModel"/>
    <control shapeId="1232" r:id="rId175" name="ddB2EngineMake"/>
    <control shapeId="1231" r:id="rId176" name="ddB2EngineModels"/>
    <control shapeId="1230" r:id="rId177" name="ddB2Customer"/>
    <control shapeId="1229" r:id="rId178" name="ddB2PartType"/>
    <control shapeId="1228" r:id="rId179" name="ddB2PartsProvider"/>
    <control shapeId="1227" r:id="rId180" name="cbB2Task5"/>
    <control shapeId="1226" r:id="rId181" name="ddB2Task5"/>
    <control shapeId="1225" r:id="rId182" name="cbB2Task4"/>
    <control shapeId="1224" r:id="rId183" name="ddB2Task4"/>
    <control shapeId="1223" r:id="rId184" name="cbB2Task3"/>
    <control shapeId="1222" r:id="rId185" name="ddB2Task3"/>
    <control shapeId="1221" r:id="rId186" name="cbB2Task2"/>
    <control shapeId="1220" r:id="rId187" name="ddB2Task2"/>
    <control shapeId="1219" r:id="rId188" name="cbB2Task1"/>
    <control shapeId="1218" r:id="rId189" name="ddB2Task1"/>
    <control shapeId="1149" r:id="rId190" name="ComboBox36"/>
    <control shapeId="1148" r:id="rId191" name="ComboBox35"/>
    <control shapeId="1147" r:id="rId192" name="ComboBox34"/>
    <control shapeId="1146" r:id="rId193" name="ComboBox33"/>
    <control shapeId="1145" r:id="rId194" name="ComboBox32"/>
    <control shapeId="1144" r:id="rId195" name="ComboBox31"/>
    <control shapeId="1143" r:id="rId196" name="ComboBox30"/>
    <control shapeId="1142" r:id="rId197" name="CheckBox15"/>
    <control shapeId="1141" r:id="rId198" name="ComboBox29"/>
    <control shapeId="1140" r:id="rId199" name="CheckBox14"/>
    <control shapeId="1139" r:id="rId200" name="ComboBox28"/>
    <control shapeId="1138" r:id="rId201" name="CheckBox13"/>
    <control shapeId="1137" r:id="rId202" name="ComboBox27"/>
    <control shapeId="1136" r:id="rId203" name="CheckBox12"/>
    <control shapeId="1135" r:id="rId204" name="ComboBox26"/>
    <control shapeId="1134" r:id="rId205" name="CheckBox11"/>
    <control shapeId="1133" r:id="rId206" name="ComboBox25"/>
    <control shapeId="1132" r:id="rId207" name="ComboBox24"/>
    <control shapeId="1131" r:id="rId208" name="ComboBox23"/>
    <control shapeId="1130" r:id="rId209" name="ComboBox22"/>
    <control shapeId="1129" r:id="rId210" name="ComboBox21"/>
    <control shapeId="1128" r:id="rId211" name="ComboBox20"/>
    <control shapeId="1125" r:id="rId212" name="CheckBox10"/>
    <control shapeId="1124" r:id="rId213" name="ComboBox17"/>
    <control shapeId="1123" r:id="rId214" name="CheckBox9"/>
    <control shapeId="1122" r:id="rId215" name="ComboBox16"/>
    <control shapeId="1121" r:id="rId216" name="CheckBox8"/>
    <control shapeId="1120" r:id="rId217" name="ComboBox15"/>
    <control shapeId="1119" r:id="rId218" name="CheckBox7"/>
    <control shapeId="1118" r:id="rId219" name="ComboBox14"/>
    <control shapeId="1117" r:id="rId220" name="CheckBox6"/>
    <control shapeId="1116" r:id="rId221" name="ComboBox13"/>
    <control shapeId="1115" r:id="rId222" name="ComboBox12"/>
    <control shapeId="1114" r:id="rId223" name="ComboBox11"/>
    <control shapeId="1113" r:id="rId224" name="ComboBox10"/>
    <control shapeId="1112" r:id="rId225" name="ComboBox9"/>
    <control shapeId="1111" r:id="rId226" name="ComboBox8"/>
    <control shapeId="1110" r:id="rId227" name="ComboBox7"/>
    <control shapeId="1109" r:id="rId228" name="ComboBox6"/>
    <control shapeId="1108" r:id="rId229" name="CheckBox5"/>
    <control shapeId="1107" r:id="rId230" name="ComboBox5"/>
    <control shapeId="1106" r:id="rId231" name="CheckBox4"/>
    <control shapeId="1105" r:id="rId232" name="ComboBox4"/>
    <control shapeId="1104" r:id="rId233" name="CheckBox3"/>
    <control shapeId="1103" r:id="rId234" name="ComboBox3"/>
    <control shapeId="1102" r:id="rId235" name="CheckBox2"/>
    <control shapeId="1101" r:id="rId236" name="ComboBox2"/>
    <control shapeId="1100" r:id="rId237" name="CheckBox1"/>
    <control shapeId="1099" r:id="rId238" name="ComboBox1"/>
    <control shapeId="1060" r:id="rId239" name="ddB1FrameMake"/>
    <control shapeId="1059" r:id="rId240" name="ddB1FrameModel"/>
    <control shapeId="1058" r:id="rId241" name="ddB1EngineMake"/>
    <control shapeId="1057" r:id="rId242" name="ddB1EngineModels"/>
    <control shapeId="1056" r:id="rId243" name="ddB1Customer"/>
    <control shapeId="1054" r:id="rId244" name="ddB1PartType"/>
    <control shapeId="1053" r:id="rId245" name="ddB1PartsProvider"/>
    <control shapeId="1039" r:id="rId246" name="cbB1Task5"/>
    <control shapeId="1038" r:id="rId247" name="ddB1Task5"/>
    <control shapeId="1037" r:id="rId248" name="cbB1Task4"/>
    <control shapeId="1036" r:id="rId249" name="ddB1Task4"/>
    <control shapeId="1035" r:id="rId250" name="cbB1Task3"/>
    <control shapeId="1034" r:id="rId251" name="ddB1Task3"/>
    <control shapeId="1033" r:id="rId252" name="cbB1Task2"/>
    <control shapeId="1032" r:id="rId253" name="ddB1Task2"/>
    <control shapeId="1031" r:id="rId254" name="cbB1Task1"/>
    <control shapeId="1030" r:id="rId255" name="ddB1Task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8"/>
  <sheetViews>
    <sheetView showGridLines="0" workbookViewId="0">
      <selection activeCell="C5" sqref="C5"/>
    </sheetView>
  </sheetViews>
  <sheetFormatPr defaultRowHeight="15"/>
  <cols>
    <col min="1" max="1" width="29.7109375" style="58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7" t="s">
        <v>99</v>
      </c>
      <c r="C1" t="s">
        <v>105</v>
      </c>
      <c r="E1" t="s">
        <v>108</v>
      </c>
      <c r="G1" t="s">
        <v>123</v>
      </c>
      <c r="I1" s="63" t="s">
        <v>124</v>
      </c>
      <c r="K1" t="s">
        <v>179</v>
      </c>
      <c r="M1" t="s">
        <v>180</v>
      </c>
      <c r="O1" t="s">
        <v>181</v>
      </c>
      <c r="Q1" t="s">
        <v>182</v>
      </c>
      <c r="S1" t="s">
        <v>183</v>
      </c>
      <c r="T1" t="s">
        <v>184</v>
      </c>
    </row>
    <row r="2" spans="1:20" ht="15.75">
      <c r="A2" s="57" t="s">
        <v>101</v>
      </c>
      <c r="C2" t="s">
        <v>104</v>
      </c>
      <c r="E2" t="s">
        <v>202</v>
      </c>
      <c r="G2" s="98" t="s">
        <v>122</v>
      </c>
      <c r="I2" s="63" t="s">
        <v>125</v>
      </c>
      <c r="K2" s="99" t="s">
        <v>270</v>
      </c>
      <c r="M2" s="99" t="s">
        <v>275</v>
      </c>
      <c r="O2" s="99" t="s">
        <v>280</v>
      </c>
      <c r="Q2" s="100">
        <v>42370</v>
      </c>
      <c r="S2">
        <v>-1000</v>
      </c>
      <c r="T2" t="s">
        <v>185</v>
      </c>
    </row>
    <row r="3" spans="1:20" ht="15.75">
      <c r="A3" s="57" t="s">
        <v>100</v>
      </c>
      <c r="C3" t="s">
        <v>106</v>
      </c>
      <c r="E3" t="s">
        <v>110</v>
      </c>
      <c r="G3" s="98" t="s">
        <v>120</v>
      </c>
      <c r="I3" s="63" t="s">
        <v>266</v>
      </c>
      <c r="K3" s="99" t="s">
        <v>271</v>
      </c>
      <c r="M3" s="99" t="s">
        <v>276</v>
      </c>
      <c r="O3" s="99" t="s">
        <v>281</v>
      </c>
      <c r="Q3" s="100">
        <v>42520</v>
      </c>
      <c r="S3" s="56">
        <v>2</v>
      </c>
      <c r="T3" s="56" t="s">
        <v>187</v>
      </c>
    </row>
    <row r="4" spans="1:20" ht="15.75">
      <c r="A4" s="57" t="s">
        <v>191</v>
      </c>
      <c r="C4" t="s">
        <v>309</v>
      </c>
      <c r="E4" t="s">
        <v>109</v>
      </c>
      <c r="G4" s="98" t="s">
        <v>121</v>
      </c>
      <c r="I4" s="63" t="s">
        <v>126</v>
      </c>
      <c r="K4" s="99" t="s">
        <v>272</v>
      </c>
      <c r="M4" s="99" t="s">
        <v>222</v>
      </c>
      <c r="O4" s="99" t="s">
        <v>282</v>
      </c>
      <c r="Q4" s="100">
        <v>42555</v>
      </c>
      <c r="S4" s="56">
        <v>4</v>
      </c>
      <c r="T4" s="56" t="s">
        <v>186</v>
      </c>
    </row>
    <row r="5" spans="1:20" ht="15.75">
      <c r="A5" s="57" t="s">
        <v>90</v>
      </c>
      <c r="E5" t="s">
        <v>203</v>
      </c>
      <c r="G5" s="98" t="s">
        <v>204</v>
      </c>
      <c r="I5" s="63" t="s">
        <v>127</v>
      </c>
      <c r="K5" s="99" t="s">
        <v>273</v>
      </c>
      <c r="M5" s="99" t="s">
        <v>277</v>
      </c>
      <c r="O5" s="99" t="s">
        <v>283</v>
      </c>
      <c r="Q5" s="100">
        <v>42618</v>
      </c>
      <c r="S5" s="56">
        <v>7</v>
      </c>
      <c r="T5" s="56" t="s">
        <v>188</v>
      </c>
    </row>
    <row r="6" spans="1:20" ht="15.75">
      <c r="A6" s="57" t="s">
        <v>91</v>
      </c>
      <c r="G6" s="98" t="s">
        <v>205</v>
      </c>
      <c r="I6" s="63" t="s">
        <v>128</v>
      </c>
      <c r="K6" s="99" t="s">
        <v>274</v>
      </c>
      <c r="M6" s="99" t="s">
        <v>278</v>
      </c>
      <c r="O6" s="99" t="s">
        <v>284</v>
      </c>
      <c r="Q6" s="100">
        <v>42698</v>
      </c>
    </row>
    <row r="7" spans="1:20" ht="15.75">
      <c r="A7" s="57" t="s">
        <v>92</v>
      </c>
      <c r="G7" s="99" t="s">
        <v>206</v>
      </c>
      <c r="I7" s="63" t="s">
        <v>129</v>
      </c>
      <c r="M7" s="99" t="s">
        <v>279</v>
      </c>
      <c r="O7" s="99" t="s">
        <v>285</v>
      </c>
      <c r="Q7" s="100">
        <v>42729</v>
      </c>
    </row>
    <row r="8" spans="1:20" ht="15.75">
      <c r="A8" s="57" t="s">
        <v>93</v>
      </c>
      <c r="G8" s="99" t="s">
        <v>207</v>
      </c>
      <c r="I8" s="63" t="s">
        <v>130</v>
      </c>
      <c r="O8" s="99" t="s">
        <v>286</v>
      </c>
    </row>
    <row r="9" spans="1:20" ht="15.75">
      <c r="A9" s="57" t="s">
        <v>94</v>
      </c>
      <c r="G9" s="99" t="s">
        <v>208</v>
      </c>
      <c r="I9" s="63" t="s">
        <v>131</v>
      </c>
      <c r="O9" s="99" t="s">
        <v>287</v>
      </c>
    </row>
    <row r="10" spans="1:20" ht="15.75">
      <c r="A10" s="57" t="s">
        <v>192</v>
      </c>
      <c r="G10" s="99" t="s">
        <v>209</v>
      </c>
      <c r="I10" s="63" t="s">
        <v>132</v>
      </c>
      <c r="O10" s="99" t="s">
        <v>288</v>
      </c>
    </row>
    <row r="11" spans="1:20" ht="15.75">
      <c r="A11" s="57" t="s">
        <v>95</v>
      </c>
      <c r="G11" s="99" t="s">
        <v>209</v>
      </c>
      <c r="I11" s="63" t="s">
        <v>133</v>
      </c>
      <c r="O11" s="99" t="s">
        <v>289</v>
      </c>
    </row>
    <row r="12" spans="1:20" ht="15.75">
      <c r="A12" s="57" t="s">
        <v>96</v>
      </c>
      <c r="G12" s="99" t="s">
        <v>210</v>
      </c>
      <c r="I12" s="63" t="s">
        <v>134</v>
      </c>
      <c r="O12" s="99" t="s">
        <v>290</v>
      </c>
    </row>
    <row r="13" spans="1:20" ht="15.75">
      <c r="A13" s="57" t="s">
        <v>97</v>
      </c>
      <c r="G13" s="99" t="s">
        <v>211</v>
      </c>
      <c r="I13" s="63" t="s">
        <v>135</v>
      </c>
      <c r="O13" s="99" t="s">
        <v>291</v>
      </c>
    </row>
    <row r="14" spans="1:20" ht="15.75">
      <c r="A14" s="57" t="s">
        <v>193</v>
      </c>
      <c r="G14" s="99" t="s">
        <v>212</v>
      </c>
      <c r="I14" s="63" t="s">
        <v>136</v>
      </c>
      <c r="O14" s="99" t="s">
        <v>292</v>
      </c>
    </row>
    <row r="15" spans="1:20" ht="15.75">
      <c r="A15" s="57" t="s">
        <v>98</v>
      </c>
      <c r="G15" s="99" t="s">
        <v>213</v>
      </c>
      <c r="I15" s="63" t="s">
        <v>137</v>
      </c>
      <c r="O15" s="99" t="s">
        <v>292</v>
      </c>
    </row>
    <row r="16" spans="1:20" ht="15.75">
      <c r="A16" s="96" t="s">
        <v>194</v>
      </c>
      <c r="G16" s="99" t="s">
        <v>214</v>
      </c>
      <c r="I16" s="63" t="s">
        <v>138</v>
      </c>
      <c r="O16" s="99" t="s">
        <v>293</v>
      </c>
    </row>
    <row r="17" spans="1:15" ht="15.75">
      <c r="A17" s="57" t="s">
        <v>195</v>
      </c>
      <c r="G17" s="99" t="s">
        <v>215</v>
      </c>
      <c r="I17" s="63" t="s">
        <v>139</v>
      </c>
      <c r="O17" s="99" t="s">
        <v>294</v>
      </c>
    </row>
    <row r="18" spans="1:15" ht="15.75">
      <c r="A18" s="57" t="s">
        <v>196</v>
      </c>
      <c r="G18" s="99" t="s">
        <v>216</v>
      </c>
      <c r="I18" s="63" t="s">
        <v>267</v>
      </c>
      <c r="O18" s="99" t="s">
        <v>295</v>
      </c>
    </row>
    <row r="19" spans="1:15" ht="15.75">
      <c r="A19" s="57" t="s">
        <v>197</v>
      </c>
      <c r="G19" s="99" t="s">
        <v>217</v>
      </c>
      <c r="I19" s="63" t="s">
        <v>268</v>
      </c>
      <c r="O19" s="99" t="s">
        <v>296</v>
      </c>
    </row>
    <row r="20" spans="1:15" ht="15.75">
      <c r="A20" s="57" t="s">
        <v>198</v>
      </c>
      <c r="G20" s="99">
        <v>3508</v>
      </c>
      <c r="I20" s="63" t="s">
        <v>269</v>
      </c>
      <c r="O20" s="99" t="s">
        <v>297</v>
      </c>
    </row>
    <row r="21" spans="1:15" ht="15.75">
      <c r="A21" s="57" t="s">
        <v>199</v>
      </c>
      <c r="G21" s="99">
        <v>3512</v>
      </c>
      <c r="I21" s="63" t="s">
        <v>140</v>
      </c>
      <c r="O21" s="99" t="s">
        <v>298</v>
      </c>
    </row>
    <row r="22" spans="1:15" ht="15.75">
      <c r="A22" s="57" t="s">
        <v>200</v>
      </c>
      <c r="G22" s="99">
        <v>3516</v>
      </c>
      <c r="I22" s="63" t="s">
        <v>141</v>
      </c>
      <c r="O22" s="99" t="s">
        <v>299</v>
      </c>
    </row>
    <row r="23" spans="1:15" ht="15.75">
      <c r="A23" s="57" t="s">
        <v>201</v>
      </c>
      <c r="G23" s="99">
        <v>3520</v>
      </c>
      <c r="I23" s="63" t="s">
        <v>142</v>
      </c>
      <c r="O23" s="99" t="s">
        <v>300</v>
      </c>
    </row>
    <row r="24" spans="1:15">
      <c r="G24" s="99">
        <v>3606</v>
      </c>
      <c r="I24" s="63" t="s">
        <v>143</v>
      </c>
      <c r="O24" s="99" t="s">
        <v>301</v>
      </c>
    </row>
    <row r="25" spans="1:15">
      <c r="G25" s="99">
        <v>3608</v>
      </c>
      <c r="I25" s="63" t="s">
        <v>144</v>
      </c>
      <c r="O25" s="99" t="s">
        <v>302</v>
      </c>
    </row>
    <row r="26" spans="1:15">
      <c r="G26" s="99">
        <v>3612</v>
      </c>
      <c r="I26" s="63" t="s">
        <v>145</v>
      </c>
      <c r="O26" s="99" t="s">
        <v>303</v>
      </c>
    </row>
    <row r="27" spans="1:15">
      <c r="G27" s="99">
        <v>3616</v>
      </c>
      <c r="I27" s="63" t="s">
        <v>146</v>
      </c>
      <c r="O27" s="99" t="s">
        <v>304</v>
      </c>
    </row>
    <row r="28" spans="1:15">
      <c r="G28" s="99" t="s">
        <v>218</v>
      </c>
      <c r="I28" s="63" t="s">
        <v>147</v>
      </c>
      <c r="O28" s="99" t="s">
        <v>305</v>
      </c>
    </row>
    <row r="29" spans="1:15">
      <c r="G29" s="99" t="s">
        <v>219</v>
      </c>
      <c r="I29" s="63" t="s">
        <v>148</v>
      </c>
      <c r="O29" s="99" t="s">
        <v>306</v>
      </c>
    </row>
    <row r="30" spans="1:15">
      <c r="G30" s="99" t="s">
        <v>220</v>
      </c>
      <c r="I30" s="63" t="s">
        <v>149</v>
      </c>
      <c r="O30" s="99" t="s">
        <v>307</v>
      </c>
    </row>
    <row r="31" spans="1:15">
      <c r="G31" s="99" t="s">
        <v>221</v>
      </c>
      <c r="I31" s="63" t="s">
        <v>150</v>
      </c>
      <c r="O31" s="99" t="s">
        <v>308</v>
      </c>
    </row>
    <row r="32" spans="1:15">
      <c r="G32" s="99" t="s">
        <v>222</v>
      </c>
      <c r="I32" s="63" t="s">
        <v>151</v>
      </c>
    </row>
    <row r="33" spans="7:9">
      <c r="G33" s="99">
        <v>145</v>
      </c>
      <c r="I33" s="63" t="s">
        <v>152</v>
      </c>
    </row>
    <row r="34" spans="7:9">
      <c r="G34" s="99">
        <v>817</v>
      </c>
      <c r="I34" s="63" t="s">
        <v>153</v>
      </c>
    </row>
    <row r="35" spans="7:9">
      <c r="G35" s="99">
        <v>1197</v>
      </c>
      <c r="I35" s="63" t="s">
        <v>154</v>
      </c>
    </row>
    <row r="36" spans="7:9">
      <c r="G36" s="99" t="s">
        <v>223</v>
      </c>
      <c r="I36" s="63" t="s">
        <v>155</v>
      </c>
    </row>
    <row r="37" spans="7:9">
      <c r="G37" s="99" t="s">
        <v>224</v>
      </c>
      <c r="I37" s="63" t="s">
        <v>156</v>
      </c>
    </row>
    <row r="38" spans="7:9">
      <c r="G38" s="99" t="s">
        <v>225</v>
      </c>
      <c r="I38" s="63" t="s">
        <v>157</v>
      </c>
    </row>
    <row r="39" spans="7:9">
      <c r="G39" s="99" t="s">
        <v>226</v>
      </c>
      <c r="I39" s="63" t="s">
        <v>158</v>
      </c>
    </row>
    <row r="40" spans="7:9">
      <c r="G40" s="99" t="s">
        <v>227</v>
      </c>
      <c r="I40" s="63" t="s">
        <v>159</v>
      </c>
    </row>
    <row r="41" spans="7:9">
      <c r="G41" s="99" t="s">
        <v>228</v>
      </c>
      <c r="I41" s="63" t="s">
        <v>160</v>
      </c>
    </row>
    <row r="42" spans="7:9">
      <c r="G42" s="99" t="s">
        <v>229</v>
      </c>
      <c r="I42" s="63" t="s">
        <v>161</v>
      </c>
    </row>
    <row r="43" spans="7:9">
      <c r="G43" s="99" t="s">
        <v>230</v>
      </c>
      <c r="I43" s="63" t="s">
        <v>162</v>
      </c>
    </row>
    <row r="44" spans="7:9">
      <c r="G44" s="99" t="s">
        <v>231</v>
      </c>
      <c r="I44" s="63" t="s">
        <v>163</v>
      </c>
    </row>
    <row r="45" spans="7:9">
      <c r="G45" s="99" t="s">
        <v>232</v>
      </c>
      <c r="I45" s="63" t="s">
        <v>164</v>
      </c>
    </row>
    <row r="46" spans="7:9">
      <c r="G46" s="99" t="s">
        <v>233</v>
      </c>
      <c r="I46" s="63" t="s">
        <v>165</v>
      </c>
    </row>
    <row r="47" spans="7:9">
      <c r="G47" s="99" t="s">
        <v>234</v>
      </c>
      <c r="I47" s="63" t="s">
        <v>166</v>
      </c>
    </row>
    <row r="48" spans="7:9">
      <c r="G48" s="99" t="s">
        <v>235</v>
      </c>
      <c r="I48" s="63" t="s">
        <v>167</v>
      </c>
    </row>
    <row r="49" spans="7:9">
      <c r="G49" s="99" t="s">
        <v>236</v>
      </c>
      <c r="I49" s="63" t="s">
        <v>168</v>
      </c>
    </row>
    <row r="50" spans="7:9">
      <c r="G50" s="99" t="s">
        <v>237</v>
      </c>
      <c r="I50" s="63" t="s">
        <v>169</v>
      </c>
    </row>
    <row r="51" spans="7:9">
      <c r="G51" s="99" t="s">
        <v>238</v>
      </c>
      <c r="I51" s="63" t="s">
        <v>170</v>
      </c>
    </row>
    <row r="52" spans="7:9">
      <c r="G52" s="99" t="s">
        <v>239</v>
      </c>
      <c r="I52" s="63" t="s">
        <v>171</v>
      </c>
    </row>
    <row r="53" spans="7:9">
      <c r="G53" s="99" t="s">
        <v>240</v>
      </c>
      <c r="I53" s="63" t="s">
        <v>172</v>
      </c>
    </row>
    <row r="54" spans="7:9">
      <c r="G54" s="99" t="s">
        <v>241</v>
      </c>
      <c r="I54" s="63" t="s">
        <v>173</v>
      </c>
    </row>
    <row r="55" spans="7:9">
      <c r="G55" s="99" t="s">
        <v>242</v>
      </c>
      <c r="I55" s="63" t="s">
        <v>174</v>
      </c>
    </row>
    <row r="56" spans="7:9">
      <c r="G56" s="99" t="s">
        <v>243</v>
      </c>
      <c r="I56" s="63" t="s">
        <v>175</v>
      </c>
    </row>
    <row r="57" spans="7:9">
      <c r="G57" s="99" t="s">
        <v>244</v>
      </c>
      <c r="I57" s="63" t="s">
        <v>176</v>
      </c>
    </row>
    <row r="58" spans="7:9">
      <c r="G58" s="99" t="s">
        <v>245</v>
      </c>
      <c r="I58" s="63" t="s">
        <v>177</v>
      </c>
    </row>
    <row r="59" spans="7:9">
      <c r="G59" s="99" t="s">
        <v>246</v>
      </c>
    </row>
    <row r="60" spans="7:9">
      <c r="G60" s="99" t="s">
        <v>247</v>
      </c>
    </row>
    <row r="61" spans="7:9">
      <c r="G61" s="99" t="s">
        <v>248</v>
      </c>
    </row>
    <row r="62" spans="7:9">
      <c r="G62" s="99" t="s">
        <v>249</v>
      </c>
    </row>
    <row r="63" spans="7:9">
      <c r="G63" s="99" t="s">
        <v>250</v>
      </c>
    </row>
    <row r="64" spans="7:9">
      <c r="G64" s="99" t="s">
        <v>251</v>
      </c>
    </row>
    <row r="65" spans="7:7">
      <c r="G65" s="99" t="s">
        <v>252</v>
      </c>
    </row>
    <row r="66" spans="7:7">
      <c r="G66" s="99" t="s">
        <v>253</v>
      </c>
    </row>
    <row r="67" spans="7:7">
      <c r="G67" s="99" t="s">
        <v>254</v>
      </c>
    </row>
    <row r="68" spans="7:7">
      <c r="G68" s="99" t="s">
        <v>255</v>
      </c>
    </row>
    <row r="69" spans="7:7">
      <c r="G69" s="99" t="s">
        <v>256</v>
      </c>
    </row>
    <row r="70" spans="7:7">
      <c r="G70" s="99" t="s">
        <v>257</v>
      </c>
    </row>
    <row r="71" spans="7:7">
      <c r="G71" s="99" t="s">
        <v>258</v>
      </c>
    </row>
    <row r="72" spans="7:7">
      <c r="G72" s="99" t="s">
        <v>259</v>
      </c>
    </row>
    <row r="73" spans="7:7">
      <c r="G73" s="99" t="s">
        <v>260</v>
      </c>
    </row>
    <row r="74" spans="7:7">
      <c r="G74" s="99" t="s">
        <v>261</v>
      </c>
    </row>
    <row r="75" spans="7:7">
      <c r="G75" s="99" t="s">
        <v>262</v>
      </c>
    </row>
    <row r="76" spans="7:7">
      <c r="G76" s="99" t="s">
        <v>263</v>
      </c>
    </row>
    <row r="77" spans="7:7">
      <c r="G77" s="99" t="s">
        <v>264</v>
      </c>
    </row>
    <row r="78" spans="7:7">
      <c r="G78" s="99" t="s">
        <v>265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2016-07-11T21:46:04Z</dcterms:modified>
</cp:coreProperties>
</file>