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activeX/activeX148.xml" ContentType="application/vnd.ms-office.activeX+xml"/>
  <Override PartName="/xl/activeX/activeX195.xml" ContentType="application/vnd.ms-office.activeX+xml"/>
  <Override PartName="/xl/activeX/activeX211.xml" ContentType="application/vnd.ms-office.activeX+xml"/>
  <Override PartName="/xl/styles.xml" ContentType="application/vnd.openxmlformats-officedocument.spreadsheetml.styles+xml"/>
  <Override PartName="/xl/activeX/activeX32.bin" ContentType="application/vnd.ms-office.activeX"/>
  <Override PartName="/xl/activeX/activeX77.xml" ContentType="application/vnd.ms-office.activeX+xml"/>
  <Override PartName="/xl/activeX/activeX103.bin" ContentType="application/vnd.ms-office.activeX"/>
  <Override PartName="/xl/activeX/activeX150.bin" ContentType="application/vnd.ms-office.activeX"/>
  <Override PartName="/xl/activeX/activeX5.xml" ContentType="application/vnd.ms-office.activeX+xml"/>
  <Override PartName="/xl/activeX/activeX55.xml" ContentType="application/vnd.ms-office.activeX+xml"/>
  <Override PartName="/xl/activeX/activeX126.xml" ContentType="application/vnd.ms-office.activeX+xml"/>
  <Override PartName="/xl/activeX/activeX173.xml" ContentType="application/vnd.ms-office.activeX+xml"/>
  <Override PartName="/xl/activeX/activeX226.bin" ContentType="application/vnd.ms-office.activeX"/>
  <Default Extension="xml" ContentType="application/xml"/>
  <Override PartName="/xl/activeX/activeX10.bin" ContentType="application/vnd.ms-office.activeX"/>
  <Override PartName="/xl/activeX/activeX104.xml" ContentType="application/vnd.ms-office.activeX+xml"/>
  <Override PartName="/xl/activeX/activeX151.xml" ContentType="application/vnd.ms-office.activeX+xml"/>
  <Override PartName="/xl/activeX/activeX204.bin" ContentType="application/vnd.ms-office.activeX"/>
  <Override PartName="/xl/activeX/activeX33.xml" ContentType="application/vnd.ms-office.activeX+xml"/>
  <Override PartName="/xl/activeX/activeX80.xml" ContentType="application/vnd.ms-office.activeX+xml"/>
  <Override PartName="/xl/activeX/activeX188.bin" ContentType="application/vnd.ms-office.activeX"/>
  <Override PartName="/xl/activeX/activeX227.xml" ContentType="application/vnd.ms-office.activeX+xml"/>
  <Override PartName="/xl/activeX/activeX11.xml" ContentType="application/vnd.ms-office.activeX+xml"/>
  <Override PartName="/xl/activeX/activeX48.bin" ContentType="application/vnd.ms-office.activeX"/>
  <Override PartName="/xl/activeX/activeX95.bin" ContentType="application/vnd.ms-office.activeX"/>
  <Override PartName="/xl/activeX/activeX119.bin" ContentType="application/vnd.ms-office.activeX"/>
  <Override PartName="/xl/activeX/activeX166.bin" ContentType="application/vnd.ms-office.activeX"/>
  <Override PartName="/xl/activeX/activeX205.xml" ContentType="application/vnd.ms-office.activeX+xml"/>
  <Override PartName="/xl/activeX/activeX144.bin" ContentType="application/vnd.ms-office.activeX"/>
  <Override PartName="/xl/activeX/activeX189.xml" ContentType="application/vnd.ms-office.activeX+xml"/>
  <Override PartName="/xl/activeX/activeX191.bin" ContentType="application/vnd.ms-office.activeX"/>
  <Override PartName="/xl/activeX/activeX230.xml" ContentType="application/vnd.ms-office.activeX+xml"/>
  <Override PartName="/xl/tables/table5.xml" ContentType="application/vnd.openxmlformats-officedocument.spreadsheetml.table+xml"/>
  <Override PartName="/xl/activeX/activeX26.bin" ContentType="application/vnd.ms-office.activeX"/>
  <Override PartName="/xl/activeX/activeX73.bin" ContentType="application/vnd.ms-office.activeX"/>
  <Override PartName="/xl/activeX/activeX167.xml" ContentType="application/vnd.ms-office.activeX+xml"/>
  <Override PartName="/xl/activeX/activeX1.bin" ContentType="application/vnd.ms-office.activeX"/>
  <Override PartName="/xl/activeX/activeX49.xml" ContentType="application/vnd.ms-office.activeX+xml"/>
  <Override PartName="/xl/activeX/activeX51.bin" ContentType="application/vnd.ms-office.activeX"/>
  <Override PartName="/xl/activeX/activeX96.xml" ContentType="application/vnd.ms-office.activeX+xml"/>
  <Override PartName="/xl/activeX/activeX122.bin" ContentType="application/vnd.ms-office.activeX"/>
  <Override PartName="/xl/activeX/activeX27.xml" ContentType="application/vnd.ms-office.activeX+xml"/>
  <Override PartName="/xl/activeX/activeX74.xml" ContentType="application/vnd.ms-office.activeX+xml"/>
  <Override PartName="/xl/activeX/activeX100.bin" ContentType="application/vnd.ms-office.activeX"/>
  <Override PartName="/xl/activeX/activeX145.xml" ContentType="application/vnd.ms-office.activeX+xml"/>
  <Override PartName="/xl/activeX/activeX192.xml" ContentType="application/vnd.ms-office.activeX+xml"/>
  <Default Extension="emf" ContentType="image/x-emf"/>
  <Override PartName="/xl/activeX/activeX2.xml" ContentType="application/vnd.ms-office.activeX+xml"/>
  <Override PartName="/xl/activeX/activeX123.xml" ContentType="application/vnd.ms-office.activeX+xml"/>
  <Override PartName="/xl/activeX/activeX170.xml" ContentType="application/vnd.ms-office.activeX+xml"/>
  <Override PartName="/xl/activeX/activeX223.bin" ContentType="application/vnd.ms-office.activeX"/>
  <Override PartName="/xl/activeX/activeX52.xml" ContentType="application/vnd.ms-office.activeX+xml"/>
  <Override PartName="/xl/activeX/activeX89.bin" ContentType="application/vnd.ms-office.activeX"/>
  <Override PartName="/xl/activeX/activeX30.xml" ContentType="application/vnd.ms-office.activeX+xml"/>
  <Override PartName="/xl/activeX/activeX101.xml" ContentType="application/vnd.ms-office.activeX+xml"/>
  <Override PartName="/xl/activeX/activeX138.bin" ContentType="application/vnd.ms-office.activeX"/>
  <Override PartName="/xl/activeX/activeX185.bin" ContentType="application/vnd.ms-office.activeX"/>
  <Override PartName="/xl/activeX/activeX201.bin" ContentType="application/vnd.ms-office.activeX"/>
  <Override PartName="/xl/calcChain.xml" ContentType="application/vnd.openxmlformats-officedocument.spreadsheetml.calcChain+xml"/>
  <Override PartName="/xl/activeX/activeX67.bin" ContentType="application/vnd.ms-office.activeX"/>
  <Override PartName="/xl/activeX/activeX224.xml" ContentType="application/vnd.ms-office.activeX+xml"/>
  <Override PartName="/xl/activeX/activeX45.bin" ContentType="application/vnd.ms-office.activeX"/>
  <Override PartName="/xl/activeX/activeX92.bin" ContentType="application/vnd.ms-office.activeX"/>
  <Override PartName="/xl/activeX/activeX116.bin" ContentType="application/vnd.ms-office.activeX"/>
  <Override PartName="/xl/activeX/activeX163.bin" ContentType="application/vnd.ms-office.activeX"/>
  <Override PartName="/xl/activeX/activeX202.xml" ContentType="application/vnd.ms-office.activeX+xml"/>
  <Override PartName="/xl/activeX/activeX68.xml" ContentType="application/vnd.ms-office.activeX+xml"/>
  <Override PartName="/xl/activeX/activeX139.xml" ContentType="application/vnd.ms-office.activeX+xml"/>
  <Override PartName="/xl/activeX/activeX186.xml" ContentType="application/vnd.ms-office.activeX+xml"/>
  <Override PartName="/xl/activeX/activeX239.bin" ContentType="application/vnd.ms-office.activeX"/>
  <Override PartName="/xl/activeX/activeX23.bin" ContentType="application/vnd.ms-office.activeX"/>
  <Override PartName="/xl/activeX/activeX70.bin" ContentType="application/vnd.ms-office.activeX"/>
  <Override PartName="/xl/activeX/activeX141.bin" ContentType="application/vnd.ms-office.activeX"/>
  <Override PartName="/xl/tables/table2.xml" ContentType="application/vnd.openxmlformats-officedocument.spreadsheetml.table+xml"/>
  <Override PartName="/xl/activeX/activeX46.xml" ContentType="application/vnd.ms-office.activeX+xml"/>
  <Override PartName="/xl/activeX/activeX93.xml" ContentType="application/vnd.ms-office.activeX+xml"/>
  <Override PartName="/xl/activeX/activeX117.xml" ContentType="application/vnd.ms-office.activeX+xml"/>
  <Override PartName="/xl/activeX/activeX164.xml" ContentType="application/vnd.ms-office.activeX+xml"/>
  <Override PartName="/xl/activeX/activeX217.bin" ContentType="application/vnd.ms-office.activeX"/>
  <Override PartName="/xl/activeX/activeX24.xml" ContentType="application/vnd.ms-office.activeX+xml"/>
  <Override PartName="/xl/activeX/activeX142.xml" ContentType="application/vnd.ms-office.activeX+xml"/>
  <Override PartName="/xl/activeX/activeX242.bin" ContentType="application/vnd.ms-office.activeX"/>
  <Override PartName="/xl/activeX/activeX71.xml" ContentType="application/vnd.ms-office.activeX+xml"/>
  <Override PartName="/xl/activeX/activeX179.bin" ContentType="application/vnd.ms-office.activeX"/>
  <Override PartName="/xl/activeX/activeX218.xml" ContentType="application/vnd.ms-office.activeX+xml"/>
  <Override PartName="/xl/activeX/activeX120.xml" ContentType="application/vnd.ms-office.activeX+xml"/>
  <Override PartName="/xl/activeX/activeX157.bin" ContentType="application/vnd.ms-office.activeX"/>
  <Override PartName="/xl/activeX/activeX220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46.bin" ContentType="application/vnd.ms-office.activeX"/>
  <Override PartName="/xl/activeX/activeX193.bin" ContentType="application/vnd.ms-office.activeX"/>
  <Override PartName="/xl/activeX/activeX232.xml" ContentType="application/vnd.ms-office.activeX+xml"/>
  <Override PartName="/xl/tables/table7.xml" ContentType="application/vnd.openxmlformats-officedocument.spreadsheetml.table+xml"/>
  <Override PartName="/xl/activeX/activeX17.bin" ContentType="application/vnd.ms-office.activeX"/>
  <Override PartName="/xl/activeX/activeX28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135.bin" ContentType="application/vnd.ms-office.activeX"/>
  <Override PartName="/xl/activeX/activeX169.xml" ContentType="application/vnd.ms-office.activeX+xml"/>
  <Override PartName="/xl/activeX/activeX182.bin" ContentType="application/vnd.ms-office.activeX"/>
  <Override PartName="/xl/activeX/activeX221.xml" ContentType="application/vnd.ms-office.activeX+xml"/>
  <Override PartName="/xl/activeX/activeX3.bin" ContentType="application/vnd.ms-office.activeX"/>
  <Override PartName="/xl/activeX/activeX53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113.bin" ContentType="application/vnd.ms-office.activeX"/>
  <Override PartName="/xl/activeX/activeX124.bin" ContentType="application/vnd.ms-office.activeX"/>
  <Override PartName="/xl/activeX/activeX158.xml" ContentType="application/vnd.ms-office.activeX+xml"/>
  <Override PartName="/xl/activeX/activeX160.bin" ContentType="application/vnd.ms-office.activeX"/>
  <Override PartName="/xl/activeX/activeX171.bin" ContentType="application/vnd.ms-office.activeX"/>
  <Override PartName="/xl/activeX/activeX210.xml" ContentType="application/vnd.ms-office.activeX+xml"/>
  <Override PartName="/xl/activeX/activeX29.xml" ContentType="application/vnd.ms-office.activeX+xml"/>
  <Override PartName="/xl/activeX/activeX42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activeX/activeX136.xml" ContentType="application/vnd.ms-office.activeX+xml"/>
  <Override PartName="/xl/activeX/activeX147.xml" ContentType="application/vnd.ms-office.activeX+xml"/>
  <Override PartName="/xl/activeX/activeX183.xml" ContentType="application/vnd.ms-office.activeX+xml"/>
  <Override PartName="/xl/activeX/activeX194.xml" ContentType="application/vnd.ms-office.activeX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65.xml" ContentType="application/vnd.ms-office.activeX+xml"/>
  <Override PartName="/xl/activeX/activeX125.xml" ContentType="application/vnd.ms-office.activeX+xml"/>
  <Override PartName="/xl/activeX/activeX172.xml" ContentType="application/vnd.ms-office.activeX+xml"/>
  <Override PartName="/xl/activeX/activeX225.bin" ContentType="application/vnd.ms-office.activeX"/>
  <Override PartName="/xl/activeX/activeX236.bin" ContentType="application/vnd.ms-office.activeX"/>
  <Override PartName="/xl/activeX/activeX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90.xml" ContentType="application/vnd.ms-office.activeX+xml"/>
  <Override PartName="/xl/activeX/activeX114.xml" ContentType="application/vnd.ms-office.activeX+xml"/>
  <Override PartName="/xl/activeX/activeX161.xml" ContentType="application/vnd.ms-office.activeX+xml"/>
  <Override PartName="/xl/activeX/activeX214.bin" ContentType="application/vnd.ms-office.activeX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activeX/activeX103.xml" ContentType="application/vnd.ms-office.activeX+xml"/>
  <Override PartName="/xl/activeX/activeX150.xml" ContentType="application/vnd.ms-office.activeX+xml"/>
  <Override PartName="/xl/activeX/activeX198.bin" ContentType="application/vnd.ms-office.activeX"/>
  <Override PartName="/xl/activeX/activeX203.bin" ContentType="application/vnd.ms-office.activeX"/>
  <Override PartName="/xl/activeX/activeX237.xml" ContentType="application/vnd.ms-office.activeX+xml"/>
  <Override PartName="/xl/activeX/activeX21.xml" ContentType="application/vnd.ms-office.activeX+xml"/>
  <Override PartName="/xl/activeX/activeX69.bin" ContentType="application/vnd.ms-office.activeX"/>
  <Override PartName="/xl/activeX/activeX129.bin" ContentType="application/vnd.ms-office.activeX"/>
  <Override PartName="/xl/activeX/activeX176.bin" ContentType="application/vnd.ms-office.activeX"/>
  <Override PartName="/xl/activeX/activeX187.bin" ContentType="application/vnd.ms-office.activeX"/>
  <Override PartName="/xl/activeX/activeX226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activeX/activeX118.bin" ContentType="application/vnd.ms-office.activeX"/>
  <Override PartName="/xl/activeX/activeX165.bin" ContentType="application/vnd.ms-office.activeX"/>
  <Override PartName="/xl/activeX/activeX199.xml" ContentType="application/vnd.ms-office.activeX+xml"/>
  <Override PartName="/xl/activeX/activeX204.xml" ContentType="application/vnd.ms-office.activeX+xml"/>
  <Override PartName="/xl/activeX/activeX215.xml" ContentType="application/vnd.ms-office.activeX+xml"/>
  <Override PartName="/xl/activeX/activeX36.bin" ContentType="application/vnd.ms-office.activeX"/>
  <Override PartName="/xl/activeX/activeX47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107.bin" ContentType="application/vnd.ms-office.activeX"/>
  <Override PartName="/xl/activeX/activeX154.bin" ContentType="application/vnd.ms-office.activeX"/>
  <Override PartName="/xl/activeX/activeX188.xml" ContentType="application/vnd.ms-office.activeX+xml"/>
  <Override PartName="/xl/activeX/activeX240.xml" ContentType="application/vnd.ms-office.activeX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32.bin" ContentType="application/vnd.ms-office.activeX"/>
  <Override PartName="/xl/activeX/activeX143.bin" ContentType="application/vnd.ms-office.activeX"/>
  <Override PartName="/xl/activeX/activeX177.xml" ContentType="application/vnd.ms-office.activeX+xml"/>
  <Override PartName="/xl/activeX/activeX190.bin" ContentType="application/vnd.ms-office.activeX"/>
  <Override PartName="/xl/tables/table4.xml" ContentType="application/vnd.openxmlformats-officedocument.spreadsheetml.table+xml"/>
  <Override PartName="/xl/activeX/activeX14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activeX/activeX119.xml" ContentType="application/vnd.ms-office.activeX+xml"/>
  <Override PartName="/xl/activeX/activeX121.bin" ContentType="application/vnd.ms-office.activeX"/>
  <Override PartName="/xl/activeX/activeX155.xml" ContentType="application/vnd.ms-office.activeX+xml"/>
  <Override PartName="/xl/activeX/activeX166.xml" ContentType="application/vnd.ms-office.activeX+xml"/>
  <Override PartName="/xl/activeX/activeX208.bin" ContentType="application/vnd.ms-office.activeX"/>
  <Override PartName="/xl/activeX/activeX219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activeX/activeX144.xml" ContentType="application/vnd.ms-office.activeX+xml"/>
  <Override PartName="/xl/activeX/activeX191.xml" ContentType="application/vnd.ms-office.activeX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activeX/activeX133.xml" ContentType="application/vnd.ms-office.activeX+xml"/>
  <Override PartName="/xl/activeX/activeX180.xml" ContentType="application/vnd.ms-office.activeX+xml"/>
  <Override PartName="/xl/activeX/activeX233.bin" ContentType="application/vnd.ms-office.activeX"/>
  <Override PartName="/xl/tables/table10.xml" ContentType="application/vnd.openxmlformats-officedocument.spreadsheetml.table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xl/activeX/activeX122.xml" ContentType="application/vnd.ms-office.activeX+xml"/>
  <Override PartName="/xl/activeX/activeX159.bin" ContentType="application/vnd.ms-office.activeX"/>
  <Override PartName="/xl/activeX/activeX209.xml" ContentType="application/vnd.ms-office.activeX+xml"/>
  <Override PartName="/xl/activeX/activeX222.bin" ContentType="application/vnd.ms-office.activeX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activeX/activeX148.bin" ContentType="application/vnd.ms-office.activeX"/>
  <Override PartName="/xl/activeX/activeX195.bin" ContentType="application/vnd.ms-office.activeX"/>
  <Override PartName="/xl/activeX/activeX200.bin" ContentType="application/vnd.ms-office.activeX"/>
  <Override PartName="/xl/activeX/activeX211.bin" ContentType="application/vnd.ms-office.activeX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137.bin" ContentType="application/vnd.ms-office.activeX"/>
  <Override PartName="/xl/activeX/activeX184.bin" ContentType="application/vnd.ms-office.activeX"/>
  <Override PartName="/xl/activeX/activeX223.xml" ContentType="application/vnd.ms-office.activeX+xml"/>
  <Override PartName="/xl/activeX/activeX234.xml" ContentType="application/vnd.ms-office.activeX+xml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Override PartName="/xl/activeX/activeX115.bin" ContentType="application/vnd.ms-office.activeX"/>
  <Override PartName="/xl/activeX/activeX126.bin" ContentType="application/vnd.ms-office.activeX"/>
  <Override PartName="/xl/activeX/activeX162.bin" ContentType="application/vnd.ms-office.activeX"/>
  <Override PartName="/xl/activeX/activeX173.bin" ContentType="application/vnd.ms-office.activeX"/>
  <Override PartName="/xl/activeX/activeX212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138.xml" ContentType="application/vnd.ms-office.activeX+xml"/>
  <Override PartName="/xl/activeX/activeX149.xml" ContentType="application/vnd.ms-office.activeX+xml"/>
  <Override PartName="/xl/activeX/activeX151.bin" ContentType="application/vnd.ms-office.activeX"/>
  <Override PartName="/xl/activeX/activeX185.xml" ContentType="application/vnd.ms-office.activeX+xml"/>
  <Override PartName="/xl/activeX/activeX196.xml" ContentType="application/vnd.ms-office.activeX+xml"/>
  <Override PartName="/xl/activeX/activeX201.xml" ContentType="application/vnd.ms-office.activeX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127.xml" ContentType="application/vnd.ms-office.activeX+xml"/>
  <Override PartName="/xl/activeX/activeX140.bin" ContentType="application/vnd.ms-office.activeX"/>
  <Override PartName="/xl/activeX/activeX174.xml" ContentType="application/vnd.ms-office.activeX+xml"/>
  <Override PartName="/xl/activeX/activeX227.bin" ContentType="application/vnd.ms-office.activeX"/>
  <Override PartName="/xl/activeX/activeX238.bin" ContentType="application/vnd.ms-office.activeX"/>
  <Override PartName="/xl/tables/table1.xml" ContentType="application/vnd.openxmlformats-officedocument.spreadsheetml.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activeX/activeX116.xml" ContentType="application/vnd.ms-office.activeX+xml"/>
  <Override PartName="/xl/activeX/activeX163.xml" ContentType="application/vnd.ms-office.activeX+xml"/>
  <Override PartName="/xl/activeX/activeX216.bin" ContentType="application/vnd.ms-office.activeX"/>
  <Override PartName="/xl/workbook.xml" ContentType="application/vnd.ms-excel.sheet.macroEnabled.main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activeX/activeX152.xml" ContentType="application/vnd.ms-office.activeX+xml"/>
  <Override PartName="/xl/activeX/activeX205.bin" ContentType="application/vnd.ms-office.activeX"/>
  <Override PartName="/xl/activeX/activeX239.xml" ContentType="application/vnd.ms-office.activeX+xml"/>
  <Override PartName="/xl/activeX/activeX23.xml" ContentType="application/vnd.ms-office.activeX+xml"/>
  <Override PartName="/xl/activeX/activeX70.xml" ContentType="application/vnd.ms-office.activeX+xml"/>
  <Override PartName="/xl/activeX/activeX130.xml" ContentType="application/vnd.ms-office.activeX+xml"/>
  <Override PartName="/xl/activeX/activeX141.xml" ContentType="application/vnd.ms-office.activeX+xml"/>
  <Override PartName="/xl/activeX/activeX178.bin" ContentType="application/vnd.ms-office.activeX"/>
  <Override PartName="/xl/activeX/activeX189.bin" ContentType="application/vnd.ms-office.activeX"/>
  <Override PartName="/xl/activeX/activeX228.xml" ContentType="application/vnd.ms-office.activeX+xml"/>
  <Override PartName="/xl/activeX/activeX230.bin" ContentType="application/vnd.ms-office.activeX"/>
  <Override PartName="/xl/activeX/activeX241.bin" ContentType="application/vnd.ms-office.activeX"/>
  <Default Extension="vml" ContentType="application/vnd.openxmlformats-officedocument.vmlDrawing"/>
  <Override PartName="/xl/activeX/activeX12.xml" ContentType="application/vnd.ms-office.activeX+xml"/>
  <Override PartName="/xl/activeX/activeX167.bin" ContentType="application/vnd.ms-office.activeX"/>
  <Override PartName="/xl/activeX/activeX206.xml" ContentType="application/vnd.ms-office.activeX+xml"/>
  <Override PartName="/xl/activeX/activeX217.xml" ContentType="application/vnd.ms-office.activeX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156.bin" ContentType="application/vnd.ms-office.activeX"/>
  <Override PartName="/xl/activeX/activeX242.xml" ContentType="application/vnd.ms-office.activeX+xml"/>
  <Override PartName="/xl/activeX/activeX27.bin" ContentType="application/vnd.ms-office.activeX"/>
  <Override PartName="/xl/activeX/activeX74.bin" ContentType="application/vnd.ms-office.activeX"/>
  <Override PartName="/xl/activeX/activeX134.bin" ContentType="application/vnd.ms-office.activeX"/>
  <Override PartName="/xl/activeX/activeX145.bin" ContentType="application/vnd.ms-office.activeX"/>
  <Override PartName="/xl/activeX/activeX179.xml" ContentType="application/vnd.ms-office.activeX+xml"/>
  <Override PartName="/xl/activeX/activeX181.bin" ContentType="application/vnd.ms-office.activeX"/>
  <Override PartName="/xl/activeX/activeX192.bin" ContentType="application/vnd.ms-office.activeX"/>
  <Override PartName="/xl/activeX/activeX231.xml" ContentType="application/vnd.ms-office.activeX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xl/activeX/activeX123.bin" ContentType="application/vnd.ms-office.activeX"/>
  <Override PartName="/xl/activeX/activeX157.xml" ContentType="application/vnd.ms-office.activeX+xml"/>
  <Override PartName="/xl/activeX/activeX168.xml" ContentType="application/vnd.ms-office.activeX+xml"/>
  <Override PartName="/xl/activeX/activeX170.bin" ContentType="application/vnd.ms-office.activeX"/>
  <Override PartName="/xl/activeX/activeX220.xml" ContentType="application/vnd.ms-office.activeX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activeX/activeX112.bin" ContentType="application/vnd.ms-office.activeX"/>
  <Override PartName="/xl/activeX/activeX146.xml" ContentType="application/vnd.ms-office.activeX+xml"/>
  <Override PartName="/xl/activeX/activeX193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activeX/activeX101.bin" ContentType="application/vnd.ms-office.activeX"/>
  <Override PartName="/xl/activeX/activeX135.xml" ContentType="application/vnd.ms-office.activeX+xml"/>
  <Override PartName="/xl/activeX/activeX182.xml" ContentType="application/vnd.ms-office.activeX+xml"/>
  <Override PartName="/xl/activeX/activeX235.bin" ContentType="application/vnd.ms-office.activeX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  <Override PartName="/xl/activeX/activeX113.xml" ContentType="application/vnd.ms-office.activeX+xml"/>
  <Override PartName="/xl/activeX/activeX124.xml" ContentType="application/vnd.ms-office.activeX+xml"/>
  <Override PartName="/xl/activeX/activeX160.xml" ContentType="application/vnd.ms-office.activeX+xml"/>
  <Override PartName="/xl/activeX/activeX171.xml" ContentType="application/vnd.ms-office.activeX+xml"/>
  <Override PartName="/xl/activeX/activeX224.bin" ContentType="application/vnd.ms-office.activeX"/>
  <Override PartName="/xl/activeX/activeX42.xml" ContentType="application/vnd.ms-office.activeX+xml"/>
  <Override PartName="/xl/activeX/activeX102.xml" ContentType="application/vnd.ms-office.activeX+xml"/>
  <Override PartName="/xl/activeX/activeX197.bin" ContentType="application/vnd.ms-office.activeX"/>
  <Override PartName="/xl/activeX/activeX202.bin" ContentType="application/vnd.ms-office.activeX"/>
  <Override PartName="/xl/activeX/activeX213.bin" ContentType="application/vnd.ms-office.activeX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139.bin" ContentType="application/vnd.ms-office.activeX"/>
  <Override PartName="/xl/activeX/activeX186.bin" ContentType="application/vnd.ms-office.activeX"/>
  <Override PartName="/xl/activeX/activeX225.xml" ContentType="application/vnd.ms-office.activeX+xml"/>
  <Override PartName="/xl/activeX/activeX236.xml" ContentType="application/vnd.ms-office.activeX+xml"/>
  <Override PartName="/xl/activeX/activeX7.bin" ContentType="application/vnd.ms-office.activeX"/>
  <Override PartName="/xl/activeX/activeX57.bin" ContentType="application/vnd.ms-office.activeX"/>
  <Override PartName="/xl/activeX/activeX128.bin" ContentType="application/vnd.ms-office.activeX"/>
  <Override PartName="/xl/activeX/activeX175.bin" ContentType="application/vnd.ms-office.activeX"/>
  <Override PartName="/xl/activeX/activeX214.xml" ContentType="application/vnd.ms-office.activeX+xml"/>
  <Override PartName="/xl/activeX/activeX46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117.bin" ContentType="application/vnd.ms-office.activeX"/>
  <Override PartName="/xl/activeX/activeX153.bin" ContentType="application/vnd.ms-office.activeX"/>
  <Override PartName="/xl/activeX/activeX164.bin" ContentType="application/vnd.ms-office.activeX"/>
  <Override PartName="/xl/activeX/activeX198.xml" ContentType="application/vnd.ms-office.activeX+xml"/>
  <Override PartName="/xl/activeX/activeX203.xml" ContentType="application/vnd.ms-office.activeX+xml"/>
  <Override PartName="/xl/activeX/activeX35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129.xml" ContentType="application/vnd.ms-office.activeX+xml"/>
  <Override PartName="/xl/activeX/activeX142.bin" ContentType="application/vnd.ms-office.activeX"/>
  <Override PartName="/xl/activeX/activeX176.xml" ContentType="application/vnd.ms-office.activeX+xml"/>
  <Override PartName="/xl/activeX/activeX187.xml" ContentType="application/vnd.ms-office.activeX+xml"/>
  <Override PartName="/xl/activeX/activeX229.bin" ContentType="application/vnd.ms-office.activeX"/>
  <Override PartName="/xl/tables/table3.xml" ContentType="application/vnd.openxmlformats-officedocument.spreadsheetml.table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118.xml" ContentType="application/vnd.ms-office.activeX+xml"/>
  <Override PartName="/xl/activeX/activeX131.bin" ContentType="application/vnd.ms-office.activeX"/>
  <Override PartName="/xl/activeX/activeX165.xml" ContentType="application/vnd.ms-office.activeX+xml"/>
  <Override PartName="/xl/activeX/activeX218.bin" ContentType="application/vnd.ms-office.activeX"/>
  <Default Extension="jpeg" ContentType="image/jpeg"/>
  <Override PartName="/xl/activeX/activeX36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activeX/activeX107.xml" ContentType="application/vnd.ms-office.activeX+xml"/>
  <Override PartName="/xl/activeX/activeX120.bin" ContentType="application/vnd.ms-office.activeX"/>
  <Override PartName="/xl/activeX/activeX154.xml" ContentType="application/vnd.ms-office.activeX+xml"/>
  <Override PartName="/xl/activeX/activeX207.bin" ContentType="application/vnd.ms-office.activeX"/>
  <Override PartName="/xl/activeX/activeX25.xml" ContentType="application/vnd.ms-office.activeX+xml"/>
  <Override PartName="/xl/activeX/activeX72.xml" ContentType="application/vnd.ms-office.activeX+xml"/>
  <Override PartName="/xl/activeX/activeX132.xml" ContentType="application/vnd.ms-office.activeX+xml"/>
  <Override PartName="/xl/activeX/activeX143.xml" ContentType="application/vnd.ms-office.activeX+xml"/>
  <Override PartName="/xl/activeX/activeX190.xml" ContentType="application/vnd.ms-office.activeX+xml"/>
  <Override PartName="/xl/activeX/activeX14.xml" ContentType="application/vnd.ms-office.activeX+xml"/>
  <Override PartName="/xl/activeX/activeX61.xml" ContentType="application/vnd.ms-office.activeX+xml"/>
  <Override PartName="/xl/activeX/activeX121.xml" ContentType="application/vnd.ms-office.activeX+xml"/>
  <Override PartName="/xl/activeX/activeX169.bin" ContentType="application/vnd.ms-office.activeX"/>
  <Override PartName="/xl/activeX/activeX208.xml" ContentType="application/vnd.ms-office.activeX+xml"/>
  <Override PartName="/xl/activeX/activeX219.xml" ContentType="application/vnd.ms-office.activeX+xml"/>
  <Override PartName="/xl/activeX/activeX221.bin" ContentType="application/vnd.ms-office.activeX"/>
  <Override PartName="/xl/activeX/activeX232.bin" ContentType="application/vnd.ms-office.activeX"/>
  <Override PartName="/xl/activeX/activeX50.xml" ContentType="application/vnd.ms-office.activeX+xml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158.bin" ContentType="application/vnd.ms-office.activeX"/>
  <Override PartName="/xl/activeX/activeX210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36.bin" ContentType="application/vnd.ms-office.activeX"/>
  <Override PartName="/xl/activeX/activeX147.bin" ContentType="application/vnd.ms-office.activeX"/>
  <Override PartName="/xl/activeX/activeX183.bin" ContentType="application/vnd.ms-office.activeX"/>
  <Override PartName="/xl/activeX/activeX194.bin" ContentType="application/vnd.ms-office.activeX"/>
  <Override PartName="/xl/activeX/activeX233.xml" ContentType="application/vnd.ms-office.activeX+xml"/>
  <Override PartName="/xl/tables/table8.xml" ContentType="application/vnd.openxmlformats-officedocument.spreadsheetml.table+xml"/>
  <Override PartName="/xl/activeX/activeX18.bin" ContentType="application/vnd.ms-office.activeX"/>
  <Override PartName="/xl/activeX/activeX65.bin" ContentType="application/vnd.ms-office.activeX"/>
  <Override PartName="/xl/activeX/activeX99.xml" ContentType="application/vnd.ms-office.activeX+xml"/>
  <Override PartName="/xl/activeX/activeX125.bin" ContentType="application/vnd.ms-office.activeX"/>
  <Override PartName="/xl/activeX/activeX159.xml" ContentType="application/vnd.ms-office.activeX+xml"/>
  <Override PartName="/xl/activeX/activeX172.bin" ContentType="application/vnd.ms-office.activeX"/>
  <Override PartName="/xl/activeX/activeX222.xml" ContentType="application/vnd.ms-office.activeX+xml"/>
  <Override PartName="/xl/activeX/activeX43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activeX/activeX114.bin" ContentType="application/vnd.ms-office.activeX"/>
  <Override PartName="/xl/activeX/activeX161.bin" ContentType="application/vnd.ms-office.activeX"/>
  <Override PartName="/xl/activeX/activeX200.xml" ContentType="application/vnd.ms-office.activeX+xml"/>
  <Override PartName="/xl/activeX/activeX19.xml" ContentType="application/vnd.ms-office.activeX+xml"/>
  <Override PartName="/xl/activeX/activeX66.xml" ContentType="application/vnd.ms-office.activeX+xml"/>
  <Override PartName="/xl/activeX/activeX137.xml" ContentType="application/vnd.ms-office.activeX+xml"/>
  <Override PartName="/xl/activeX/activeX184.xml" ContentType="application/vnd.ms-office.activeX+xml"/>
  <Override PartName="/xl/activeX/activeX237.bin" ContentType="application/vnd.ms-office.activeX"/>
  <Override PartName="/xl/activeX/activeX21.bin" ContentType="application/vnd.ms-office.activeX"/>
  <Override PartName="/xl/activeX/activeX115.xml" ContentType="application/vnd.ms-office.activeX+xml"/>
  <Override PartName="/xl/activeX/activeX162.xml" ContentType="application/vnd.ms-office.activeX+xml"/>
  <Override PartName="/xl/drawings/drawing2.xml" ContentType="application/vnd.openxmlformats-officedocument.drawing+xml"/>
  <Override PartName="/xl/activeX/activeX44.xml" ContentType="application/vnd.ms-office.activeX+xml"/>
  <Override PartName="/xl/activeX/activeX91.xml" ContentType="application/vnd.ms-office.activeX+xml"/>
  <Override PartName="/xl/activeX/activeX199.bin" ContentType="application/vnd.ms-office.activeX"/>
  <Override PartName="/xl/activeX/activeX215.bin" ContentType="application/vnd.ms-office.activeX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140.xml" ContentType="application/vnd.ms-office.activeX+xml"/>
  <Override PartName="/xl/activeX/activeX238.xml" ContentType="application/vnd.ms-office.activeX+xml"/>
  <Override PartName="/xl/activeX/activeX240.bin" ContentType="application/vnd.ms-office.activeX"/>
  <Override PartName="/xl/activeX/activeX9.bin" ContentType="application/vnd.ms-office.activeX"/>
  <Override PartName="/xl/activeX/activeX59.bin" ContentType="application/vnd.ms-office.activeX"/>
  <Override PartName="/xl/activeX/activeX177.bin" ContentType="application/vnd.ms-office.activeX"/>
  <Override PartName="/xl/activeX/activeX216.xml" ContentType="application/vnd.ms-office.activeX+xml"/>
  <Override PartName="/xl/activeX/activeX108.bin" ContentType="application/vnd.ms-office.activeX"/>
  <Override PartName="/xl/activeX/activeX155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activeX/activeX178.xml" ContentType="application/vnd.ms-office.activeX+xml"/>
  <Override PartName="/xl/activeX/activeX241.xml" ContentType="application/vnd.ms-office.activeX+xml"/>
  <Override PartName="/xl/activeX/activeX15.bin" ContentType="application/vnd.ms-office.activeX"/>
  <Override PartName="/xl/activeX/activeX62.bin" ContentType="application/vnd.ms-office.activeX"/>
  <Override PartName="/xl/activeX/activeX133.bin" ContentType="application/vnd.ms-office.activeX"/>
  <Override PartName="/xl/activeX/activeX180.bin" ContentType="application/vnd.ms-office.activeX"/>
  <Override PartName="/xl/activeX/activeX38.xml" ContentType="application/vnd.ms-office.activeX+xml"/>
  <Override PartName="/xl/activeX/activeX85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activeX/activeX156.xml" ContentType="application/vnd.ms-office.activeX+xml"/>
  <Override PartName="/xl/activeX/activeX209.bin" ContentType="application/vnd.ms-office.activeX"/>
  <Override PartName="/xl/activeX/activeX40.bin" ContentType="application/vnd.ms-office.activeX"/>
  <Override PartName="/xl/activeX/activeX134.xml" ContentType="application/vnd.ms-office.activeX+xml"/>
  <Override PartName="/xl/activeX/activeX181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activeX/activeX234.bin" ContentType="application/vnd.ms-office.activeX"/>
  <Override PartName="/docProps/app.xml" ContentType="application/vnd.openxmlformats-officedocument.extended-properties+xml"/>
  <Override PartName="/xl/activeX/activeX41.xml" ContentType="application/vnd.ms-office.activeX+xml"/>
  <Override PartName="/xl/activeX/activeX112.xml" ContentType="application/vnd.ms-office.activeX+xml"/>
  <Override PartName="/xl/activeX/activeX212.bin" ContentType="application/vnd.ms-office.activeX"/>
  <Override PartName="/xl/activeX/activeX78.bin" ContentType="application/vnd.ms-office.activeX"/>
  <Override PartName="/xl/activeX/activeX149.bin" ContentType="application/vnd.ms-office.activeX"/>
  <Override PartName="/xl/activeX/activeX196.bin" ContentType="application/vnd.ms-office.activeX"/>
  <Override PartName="/xl/activeX/activeX235.xml" ContentType="application/vnd.ms-office.activeX+xml"/>
  <Override PartName="/xl/activeX/activeX127.bin" ContentType="application/vnd.ms-office.activeX"/>
  <Override PartName="/xl/activeX/activeX174.bin" ContentType="application/vnd.ms-office.activeX"/>
  <Override PartName="/xl/activeX/activeX6.bin" ContentType="application/vnd.ms-office.activeX"/>
  <Override PartName="/xl/activeX/activeX56.bin" ContentType="application/vnd.ms-office.activeX"/>
  <Override PartName="/xl/activeX/activeX197.xml" ContentType="application/vnd.ms-office.activeX+xml"/>
  <Override PartName="/xl/activeX/activeX213.xml" ContentType="application/vnd.ms-office.activeX+xml"/>
  <Override PartName="/xl/activeX/activeX34.bin" ContentType="application/vnd.ms-office.activeX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152.bin" ContentType="application/vnd.ms-office.activeX"/>
  <Override PartName="/xl/activeX/activeX7.xml" ContentType="application/vnd.ms-office.activeX+xml"/>
  <Override PartName="/xl/activeX/activeX57.xml" ContentType="application/vnd.ms-office.activeX+xml"/>
  <Override PartName="/xl/activeX/activeX128.xml" ContentType="application/vnd.ms-office.activeX+xml"/>
  <Override PartName="/xl/activeX/activeX130.bin" ContentType="application/vnd.ms-office.activeX"/>
  <Override PartName="/xl/activeX/activeX175.xml" ContentType="application/vnd.ms-office.activeX+xml"/>
  <Override PartName="/xl/activeX/activeX228.bin" ContentType="application/vnd.ms-office.activeX"/>
  <Override PartName="/xl/activeX/activeX12.bin" ContentType="application/vnd.ms-office.activeX"/>
  <Override PartName="/xl/activeX/activeX106.xml" ContentType="application/vnd.ms-office.activeX+xml"/>
  <Override PartName="/xl/activeX/activeX153.xml" ContentType="application/vnd.ms-office.activeX+xml"/>
  <Override PartName="/xl/activeX/activeX206.bin" ContentType="application/vnd.ms-office.activeX"/>
  <Override PartName="/xl/activeX/activeX35.xml" ContentType="application/vnd.ms-office.activeX+xml"/>
  <Override PartName="/xl/activeX/activeX82.xml" ContentType="application/vnd.ms-office.activeX+xml"/>
  <Override PartName="/xl/activeX/activeX229.xml" ContentType="application/vnd.ms-office.activeX+xml"/>
  <Override PartName="/xl/activeX/activeX13.xml" ContentType="application/vnd.ms-office.activeX+xml"/>
  <Override PartName="/xl/activeX/activeX60.xml" ContentType="application/vnd.ms-office.activeX+xml"/>
  <Override PartName="/xl/activeX/activeX131.xml" ContentType="application/vnd.ms-office.activeX+xml"/>
  <Override PartName="/xl/activeX/activeX231.bin" ContentType="application/vnd.ms-office.activeX"/>
  <Override PartName="/xl/activeX/activeX97.bin" ContentType="application/vnd.ms-office.activeX"/>
  <Override PartName="/xl/activeX/activeX168.bin" ContentType="application/vnd.ms-office.activeX"/>
  <Override PartName="/xl/activeX/activeX20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840" windowHeight="12075" activeTab="1"/>
  </bookViews>
  <sheets>
    <sheet name="arriving" sheetId="1" r:id="rId1"/>
    <sheet name="dashboard" sheetId="2" r:id="rId2"/>
    <sheet name="dropdowns" sheetId="3" r:id="rId3"/>
  </sheets>
  <functionGroups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/>
  <c r="C6" s="1"/>
  <c r="R6"/>
  <c r="R29"/>
  <c r="R23" s="1"/>
  <c r="M29"/>
  <c r="M23" s="1"/>
  <c r="P23" s="1"/>
  <c r="H29"/>
  <c r="H23" s="1"/>
  <c r="K23" s="1"/>
  <c r="C29"/>
  <c r="C23" s="1"/>
  <c r="R12"/>
  <c r="M12"/>
  <c r="M6" s="1"/>
  <c r="H12"/>
  <c r="H6" s="1"/>
  <c r="Q24"/>
  <c r="L24"/>
  <c r="G24"/>
  <c r="B24"/>
  <c r="Q7"/>
  <c r="L7"/>
  <c r="G7"/>
  <c r="P6" l="1"/>
  <c r="U6"/>
  <c r="K6"/>
  <c r="F6"/>
  <c r="F23"/>
  <c r="U23"/>
  <c r="B7"/>
</calcChain>
</file>

<file path=xl/sharedStrings.xml><?xml version="1.0" encoding="utf-8"?>
<sst xmlns="http://schemas.openxmlformats.org/spreadsheetml/2006/main" count="735" uniqueCount="310">
  <si>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</si>
  <si>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</si>
  <si>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</si>
  <si>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</si>
  <si>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</si>
  <si>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</si>
  <si>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</si>
  <si>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</si>
  <si>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</si>
  <si>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</si>
  <si>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</si>
  <si>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</si>
  <si>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</si>
  <si>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</si>
  <si>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</si>
  <si>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</si>
  <si>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</si>
  <si>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</si>
  <si>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</si>
  <si>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</si>
  <si>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</si>
  <si>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</si>
  <si>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</si>
  <si>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</si>
  <si>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</si>
  <si>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</si>
  <si>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</si>
  <si>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</si>
  <si>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</si>
  <si>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</si>
  <si>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</si>
  <si>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</si>
  <si>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</si>
  <si>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</si>
  <si>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</si>
  <si>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</si>
  <si>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</si>
  <si>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</si>
  <si>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</si>
  <si>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</si>
  <si>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</si>
  <si>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</si>
  <si>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</si>
  <si>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</si>
  <si>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</si>
  <si>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</si>
  <si>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</si>
  <si>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</si>
  <si>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</si>
  <si>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</si>
  <si>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</si>
  <si>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</si>
  <si>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</si>
  <si>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</si>
  <si>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</si>
  <si>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</si>
  <si>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</si>
  <si>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</si>
  <si>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</si>
  <si>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</si>
  <si>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</si>
  <si>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</si>
  <si>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</si>
  <si>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</si>
  <si>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</si>
  <si>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</si>
  <si>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</si>
  <si>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</si>
  <si>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</si>
  <si>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</si>
  <si>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</si>
  <si>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</si>
  <si>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</si>
  <si>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</si>
  <si>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</si>
  <si>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</si>
  <si>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</si>
  <si>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</si>
  <si>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</si>
  <si>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</si>
  <si>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</si>
  <si>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</si>
  <si>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</si>
  <si>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</si>
  <si>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</si>
  <si>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</si>
  <si>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</si>
  <si>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</si>
  <si>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</si>
  <si>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</si>
  <si>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Scrubber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</si>
  <si>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</si>
  <si>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</si>
  <si>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</si>
  <si>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</si>
  <si>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</si>
  <si>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</si>
  <si>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</si>
  <si>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</si>
  <si>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</si>
  <si>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</si>
  <si>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</si>
  <si>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</si>
  <si>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</si>
  <si>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</si>
  <si>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</si>
  <si>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</si>
  <si>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</si>
  <si>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</si>
  <si>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</si>
  <si>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</si>
  <si>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</si>
  <si>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</si>
  <si>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</si>
  <si>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</si>
  <si>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</si>
  <si>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</si>
  <si>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</si>
  <si>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</si>
  <si>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</si>
  <si>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</si>
  <si>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</si>
  <si>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</si>
  <si>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</si>
  <si>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</si>
  <si>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</si>
  <si>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</si>
  <si>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</si>
  <si>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</si>
  <si>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</si>
  <si>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</si>
  <si>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</si>
  <si>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</si>
  <si>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</si>
  <si>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</si>
  <si>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</si>
  <si>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</si>
  <si>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</si>
  <si>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</si>
  <si>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</si>
  <si>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</si>
  <si>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</si>
  <si>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</si>
  <si>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</si>
  <si>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</si>
  <si>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</si>
  <si>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</si>
  <si>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</si>
  <si>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</si>
  <si>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</si>
  <si>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</si>
  <si>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</si>
  <si>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</si>
  <si>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</si>
  <si>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</si>
  <si>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</si>
  <si>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</si>
  <si>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</si>
  <si>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</si>
  <si>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</si>
  <si>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</si>
  <si>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</si>
  <si>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</si>
  <si>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</si>
  <si>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</si>
  <si>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</si>
  <si>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</si>
  <si>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</si>
  <si>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</si>
  <si>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</si>
  <si>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</si>
  <si>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</si>
  <si>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</si>
  <si>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</si>
  <si>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</si>
  <si>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</si>
  <si>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</si>
  <si>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</si>
  <si>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</si>
  <si>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</si>
  <si>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</si>
  <si>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</si>
  <si>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</si>
  <si>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</si>
  <si>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</si>
  <si>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</si>
  <si>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</si>
  <si>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</si>
  <si>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</si>
  <si>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</si>
  <si>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</si>
  <si>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Clutch Repair</t>
  </si>
  <si>
    <t>Cylinder Repiar</t>
  </si>
  <si>
    <t>Panel Door Repair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</si>
  <si>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</si>
  <si>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</si>
  <si>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</si>
  <si>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</si>
  <si>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</si>
  <si>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EICS Installation</t>
  </si>
  <si>
    <t>EICS Repair</t>
  </si>
  <si>
    <t>Catalyst Repair</t>
  </si>
  <si>
    <t>Outside servie</t>
  </si>
  <si>
    <t>IPD</t>
  </si>
  <si>
    <t>Mix OEM/IPD</t>
  </si>
  <si>
    <t>3306TAA</t>
  </si>
  <si>
    <t>3406NA</t>
  </si>
  <si>
    <t>3406TA</t>
  </si>
  <si>
    <t>3408NA</t>
  </si>
  <si>
    <t>3408TA</t>
  </si>
  <si>
    <t>3412TA</t>
  </si>
  <si>
    <t>342NA</t>
  </si>
  <si>
    <t>342TA</t>
  </si>
  <si>
    <t>379NA</t>
  </si>
  <si>
    <t>379TAA</t>
  </si>
  <si>
    <t>398NA</t>
  </si>
  <si>
    <t>398TAA</t>
  </si>
  <si>
    <t>399NA</t>
  </si>
  <si>
    <t>399TAA</t>
  </si>
  <si>
    <t>VRG 210</t>
  </si>
  <si>
    <t>VRG 220</t>
  </si>
  <si>
    <t>VRG 280</t>
  </si>
  <si>
    <t>VRG 330</t>
  </si>
  <si>
    <t>AJAX</t>
  </si>
  <si>
    <t>F18</t>
  </si>
  <si>
    <t>7042GU</t>
  </si>
  <si>
    <t>7042GSI</t>
  </si>
  <si>
    <t>7044GU</t>
  </si>
  <si>
    <t>7044GSI</t>
  </si>
  <si>
    <t>9390 GSI</t>
  </si>
  <si>
    <t>9390 GL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</si>
  <si>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</si>
  <si>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</si>
  <si>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</si>
  <si>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</si>
  <si>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</si>
  <si>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</si>
  <si>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</si>
  <si>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</si>
  <si>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</si>
  <si>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</si>
  <si>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</si>
  <si>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</si>
  <si>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</si>
  <si>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</si>
  <si>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</si>
  <si>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</si>
  <si>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</si>
  <si>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</si>
  <si>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</si>
  <si>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</si>
  <si>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</si>
  <si>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</si>
  <si>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</si>
  <si>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</si>
  <si>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</si>
  <si>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</si>
  <si>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</si>
  <si>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2201 STD/LE</t>
  </si>
  <si>
    <t>2801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</si>
  <si>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</si>
  <si>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</si>
  <si>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</si>
  <si>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</si>
  <si>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</si>
  <si>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</si>
  <si>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</si>
  <si>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BLUESTONE</t>
  </si>
  <si>
    <t>EOG-MIDLAND</t>
  </si>
  <si>
    <t>EOG-BOWIE</t>
  </si>
  <si>
    <t>EOG-ALVARADO/GODLEY</t>
  </si>
  <si>
    <t>Caterpillar</t>
  </si>
  <si>
    <t>Waukesha</t>
  </si>
  <si>
    <t>Ajax</t>
  </si>
  <si>
    <t>WHITE SUPERIOR</t>
  </si>
  <si>
    <t>ARROW</t>
  </si>
  <si>
    <t>GE</t>
  </si>
  <si>
    <t>ARIEL</t>
  </si>
  <si>
    <t>CIP</t>
  </si>
  <si>
    <t>INGERSOLL</t>
  </si>
  <si>
    <t>WORTHINGTON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</si>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</sst>
</file>

<file path=xl/styles.xml><?xml version="1.0" encoding="utf-8"?>
<styleSheet xmlns="http://schemas.openxmlformats.org/spreadsheetml/2006/main">
  <numFmts count="1">
    <numFmt numFmtId="43" formatCode="_(* #,##0.00_);_(* \(#,##0.00\);_(* &quot;-&quot;??_);_(@_)"/>
  </numFmts>
  <fonts count="25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family val="2"/>
      <scheme val="major"/>
    </font>
    <font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Border="1"/>
    <xf numFmtId="0" fontId="17" fillId="0" borderId="0" xfId="0" applyFont="1" applyAlignment="1"/>
    <xf numFmtId="0" fontId="18" fillId="0" borderId="0" xfId="0" applyFont="1"/>
    <xf numFmtId="15" fontId="21" fillId="9" borderId="11" xfId="4" quotePrefix="1" applyNumberFormat="1" applyFont="1" applyBorder="1" applyAlignment="1">
      <alignment horizontal="center"/>
    </xf>
    <xf numFmtId="3" fontId="21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0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3" fontId="21" fillId="9" borderId="12" xfId="4" quotePrefix="1" applyNumberFormat="1" applyFont="1" applyBorder="1" applyAlignment="1">
      <alignment horizontal="center"/>
    </xf>
    <xf numFmtId="0" fontId="21" fillId="9" borderId="15" xfId="4" quotePrefix="1" applyFont="1" applyBorder="1" applyAlignment="1">
      <alignment horizontal="center"/>
    </xf>
    <xf numFmtId="43" fontId="20" fillId="10" borderId="16" xfId="1" applyFont="1" applyFill="1" applyBorder="1" applyAlignment="1">
      <alignment horizontal="left"/>
    </xf>
    <xf numFmtId="0" fontId="21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19" fillId="0" borderId="16" xfId="1" applyFont="1" applyBorder="1"/>
    <xf numFmtId="43" fontId="19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1" fillId="9" borderId="28" xfId="4" quotePrefix="1" applyNumberFormat="1" applyFont="1" applyBorder="1" applyAlignment="1">
      <alignment horizontal="center"/>
    </xf>
    <xf numFmtId="0" fontId="19" fillId="0" borderId="4" xfId="0" applyFont="1" applyBorder="1"/>
    <xf numFmtId="0" fontId="19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19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1" fillId="9" borderId="34" xfId="4" quotePrefix="1" applyNumberFormat="1" applyFont="1" applyBorder="1" applyAlignment="1">
      <alignment horizontal="center"/>
    </xf>
    <xf numFmtId="0" fontId="21" fillId="9" borderId="35" xfId="4" applyFont="1" applyBorder="1" applyAlignment="1">
      <alignment horizontal="center"/>
    </xf>
    <xf numFmtId="3" fontId="21" fillId="9" borderId="12" xfId="4" applyNumberFormat="1" applyFont="1" applyBorder="1" applyAlignment="1">
      <alignment horizontal="center"/>
    </xf>
    <xf numFmtId="0" fontId="21" fillId="9" borderId="34" xfId="4" applyNumberFormat="1" applyFont="1" applyBorder="1" applyAlignment="1">
      <alignment horizontal="center"/>
    </xf>
    <xf numFmtId="0" fontId="22" fillId="0" borderId="0" xfId="0" applyFont="1" applyBorder="1" applyAlignment="1"/>
    <xf numFmtId="0" fontId="16" fillId="0" borderId="0" xfId="0" applyFont="1"/>
    <xf numFmtId="0" fontId="0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5" fontId="2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numFmt numFmtId="20" formatCode="d\-mmm\-yy"/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relativeIndent="255" justifyLastLine="0" shrinkToFit="0" mergeCell="0" readingOrder="0"/>
    </dxf>
    <dxf>
      <border outline="0">
        <bottom style="thin">
          <color auto="1"/>
        </bottom>
      </border>
    </dxf>
    <dxf>
      <alignment horizontal="left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12121"/>
        <name val="Calibri"/>
        <scheme val="minor"/>
      </font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indent="0" relativeIndent="0" justifyLastLine="0" shrinkToFit="0" mergeCell="0" readingOrder="0"/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9" Type="http://schemas.openxmlformats.org/officeDocument/2006/relationships/image" Target="../media/image40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34" Type="http://schemas.openxmlformats.org/officeDocument/2006/relationships/image" Target="../media/image35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33" Type="http://schemas.openxmlformats.org/officeDocument/2006/relationships/image" Target="../media/image34.emf"/><Relationship Id="rId38" Type="http://schemas.openxmlformats.org/officeDocument/2006/relationships/image" Target="../media/image39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29" Type="http://schemas.openxmlformats.org/officeDocument/2006/relationships/image" Target="../media/image30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32" Type="http://schemas.openxmlformats.org/officeDocument/2006/relationships/image" Target="../media/image33.emf"/><Relationship Id="rId37" Type="http://schemas.openxmlformats.org/officeDocument/2006/relationships/image" Target="../media/image38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9.emf"/><Relationship Id="rId36" Type="http://schemas.openxmlformats.org/officeDocument/2006/relationships/image" Target="../media/image37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31" Type="http://schemas.openxmlformats.org/officeDocument/2006/relationships/image" Target="../media/image32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Relationship Id="rId30" Type="http://schemas.openxmlformats.org/officeDocument/2006/relationships/image" Target="../media/image31.emf"/><Relationship Id="rId35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sks" displayName="tasks" ref="A1:A23" totalsRowShown="0" headerRowDxfId="17" dataDxfId="16">
  <autoFilter ref="A1:A23"/>
  <tableColumns count="1">
    <tableColumn id="1" name="Task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5" totalsRowShown="0">
  <autoFilter ref="E1:E5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14">
  <autoFilter ref="G1:G78"/>
  <tableColumns count="1">
    <tableColumn id="1" name="Engine Model List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12" dataDxfId="10" headerRowBorderDxfId="11" tableBorderDxfId="9" headerRowCellStyle="Comma" dataCellStyle="Comma">
  <autoFilter ref="I1:I58"/>
  <tableColumns count="1">
    <tableColumn id="1" name="Customer Name" dataDxfId="8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6" totalsRowShown="0" dataDxfId="7">
  <autoFilter ref="K1:K6"/>
  <tableColumns count="1">
    <tableColumn id="1" name="Engine Makes" dataDxfId="6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7" totalsRowShown="0" dataDxfId="5">
  <autoFilter ref="M1:M7"/>
  <tableColumns count="1">
    <tableColumn id="1" name="Frame Makes" dataDxfId="4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">
  <autoFilter ref="O1:O31"/>
  <tableColumns count="1">
    <tableColumn id="1" name="Frame Models" dataDxfId="2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1">
  <autoFilter ref="Q1:Q7"/>
  <tableColumns count="1">
    <tableColumn id="1" name="Holidays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14.xml"/><Relationship Id="rId21" Type="http://schemas.openxmlformats.org/officeDocument/2006/relationships/control" Target="../activeX/activeX18.xml"/><Relationship Id="rId42" Type="http://schemas.openxmlformats.org/officeDocument/2006/relationships/control" Target="../activeX/activeX39.xml"/><Relationship Id="rId63" Type="http://schemas.openxmlformats.org/officeDocument/2006/relationships/control" Target="../activeX/activeX60.xml"/><Relationship Id="rId84" Type="http://schemas.openxmlformats.org/officeDocument/2006/relationships/control" Target="../activeX/activeX81.xml"/><Relationship Id="rId138" Type="http://schemas.openxmlformats.org/officeDocument/2006/relationships/control" Target="../activeX/activeX135.xml"/><Relationship Id="rId159" Type="http://schemas.openxmlformats.org/officeDocument/2006/relationships/control" Target="../activeX/activeX156.xml"/><Relationship Id="rId170" Type="http://schemas.openxmlformats.org/officeDocument/2006/relationships/control" Target="../activeX/activeX167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26" Type="http://schemas.openxmlformats.org/officeDocument/2006/relationships/control" Target="../activeX/activeX223.xml"/><Relationship Id="rId107" Type="http://schemas.openxmlformats.org/officeDocument/2006/relationships/control" Target="../activeX/activeX104.xml"/><Relationship Id="rId11" Type="http://schemas.openxmlformats.org/officeDocument/2006/relationships/control" Target="../activeX/activeX8.xml"/><Relationship Id="rId32" Type="http://schemas.openxmlformats.org/officeDocument/2006/relationships/control" Target="../activeX/activeX29.xml"/><Relationship Id="rId53" Type="http://schemas.openxmlformats.org/officeDocument/2006/relationships/control" Target="../activeX/activeX50.xml"/><Relationship Id="rId74" Type="http://schemas.openxmlformats.org/officeDocument/2006/relationships/control" Target="../activeX/activeX71.xml"/><Relationship Id="rId128" Type="http://schemas.openxmlformats.org/officeDocument/2006/relationships/control" Target="../activeX/activeX125.xml"/><Relationship Id="rId149" Type="http://schemas.openxmlformats.org/officeDocument/2006/relationships/control" Target="../activeX/activeX146.xml"/><Relationship Id="rId5" Type="http://schemas.openxmlformats.org/officeDocument/2006/relationships/control" Target="../activeX/activeX2.xml"/><Relationship Id="rId95" Type="http://schemas.openxmlformats.org/officeDocument/2006/relationships/control" Target="../activeX/activeX92.xml"/><Relationship Id="rId160" Type="http://schemas.openxmlformats.org/officeDocument/2006/relationships/control" Target="../activeX/activeX157.xml"/><Relationship Id="rId181" Type="http://schemas.openxmlformats.org/officeDocument/2006/relationships/control" Target="../activeX/activeX178.xml"/><Relationship Id="rId216" Type="http://schemas.openxmlformats.org/officeDocument/2006/relationships/control" Target="../activeX/activeX213.xml"/><Relationship Id="rId237" Type="http://schemas.openxmlformats.org/officeDocument/2006/relationships/control" Target="../activeX/activeX234.xml"/><Relationship Id="rId22" Type="http://schemas.openxmlformats.org/officeDocument/2006/relationships/control" Target="../activeX/activeX19.xml"/><Relationship Id="rId43" Type="http://schemas.openxmlformats.org/officeDocument/2006/relationships/control" Target="../activeX/activeX40.xml"/><Relationship Id="rId64" Type="http://schemas.openxmlformats.org/officeDocument/2006/relationships/control" Target="../activeX/activeX61.xml"/><Relationship Id="rId118" Type="http://schemas.openxmlformats.org/officeDocument/2006/relationships/control" Target="../activeX/activeX115.xml"/><Relationship Id="rId139" Type="http://schemas.openxmlformats.org/officeDocument/2006/relationships/control" Target="../activeX/activeX136.xml"/><Relationship Id="rId85" Type="http://schemas.openxmlformats.org/officeDocument/2006/relationships/control" Target="../activeX/activeX82.xml"/><Relationship Id="rId150" Type="http://schemas.openxmlformats.org/officeDocument/2006/relationships/control" Target="../activeX/activeX147.xml"/><Relationship Id="rId171" Type="http://schemas.openxmlformats.org/officeDocument/2006/relationships/control" Target="../activeX/activeX168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227" Type="http://schemas.openxmlformats.org/officeDocument/2006/relationships/control" Target="../activeX/activeX224.xml"/><Relationship Id="rId201" Type="http://schemas.openxmlformats.org/officeDocument/2006/relationships/control" Target="../activeX/activeX198.xml"/><Relationship Id="rId222" Type="http://schemas.openxmlformats.org/officeDocument/2006/relationships/control" Target="../activeX/activeX219.xml"/><Relationship Id="rId243" Type="http://schemas.openxmlformats.org/officeDocument/2006/relationships/control" Target="../activeX/activeX240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33" Type="http://schemas.openxmlformats.org/officeDocument/2006/relationships/control" Target="../activeX/activeX30.xml"/><Relationship Id="rId38" Type="http://schemas.openxmlformats.org/officeDocument/2006/relationships/control" Target="../activeX/activeX35.xml"/><Relationship Id="rId59" Type="http://schemas.openxmlformats.org/officeDocument/2006/relationships/control" Target="../activeX/activeX56.xml"/><Relationship Id="rId103" Type="http://schemas.openxmlformats.org/officeDocument/2006/relationships/control" Target="../activeX/activeX100.xml"/><Relationship Id="rId108" Type="http://schemas.openxmlformats.org/officeDocument/2006/relationships/control" Target="../activeX/activeX105.xml"/><Relationship Id="rId124" Type="http://schemas.openxmlformats.org/officeDocument/2006/relationships/control" Target="../activeX/activeX121.xml"/><Relationship Id="rId129" Type="http://schemas.openxmlformats.org/officeDocument/2006/relationships/control" Target="../activeX/activeX126.xml"/><Relationship Id="rId54" Type="http://schemas.openxmlformats.org/officeDocument/2006/relationships/control" Target="../activeX/activeX51.xml"/><Relationship Id="rId70" Type="http://schemas.openxmlformats.org/officeDocument/2006/relationships/control" Target="../activeX/activeX67.xml"/><Relationship Id="rId75" Type="http://schemas.openxmlformats.org/officeDocument/2006/relationships/control" Target="../activeX/activeX72.xml"/><Relationship Id="rId91" Type="http://schemas.openxmlformats.org/officeDocument/2006/relationships/control" Target="../activeX/activeX88.xml"/><Relationship Id="rId96" Type="http://schemas.openxmlformats.org/officeDocument/2006/relationships/control" Target="../activeX/activeX93.xml"/><Relationship Id="rId140" Type="http://schemas.openxmlformats.org/officeDocument/2006/relationships/control" Target="../activeX/activeX137.xml"/><Relationship Id="rId145" Type="http://schemas.openxmlformats.org/officeDocument/2006/relationships/control" Target="../activeX/activeX142.xml"/><Relationship Id="rId161" Type="http://schemas.openxmlformats.org/officeDocument/2006/relationships/control" Target="../activeX/activeX158.xml"/><Relationship Id="rId166" Type="http://schemas.openxmlformats.org/officeDocument/2006/relationships/control" Target="../activeX/activeX163.xml"/><Relationship Id="rId182" Type="http://schemas.openxmlformats.org/officeDocument/2006/relationships/control" Target="../activeX/activeX179.xml"/><Relationship Id="rId187" Type="http://schemas.openxmlformats.org/officeDocument/2006/relationships/control" Target="../activeX/activeX184.xml"/><Relationship Id="rId217" Type="http://schemas.openxmlformats.org/officeDocument/2006/relationships/control" Target="../activeX/activeX2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212" Type="http://schemas.openxmlformats.org/officeDocument/2006/relationships/control" Target="../activeX/activeX209.xml"/><Relationship Id="rId233" Type="http://schemas.openxmlformats.org/officeDocument/2006/relationships/control" Target="../activeX/activeX230.xml"/><Relationship Id="rId238" Type="http://schemas.openxmlformats.org/officeDocument/2006/relationships/control" Target="../activeX/activeX235.xml"/><Relationship Id="rId23" Type="http://schemas.openxmlformats.org/officeDocument/2006/relationships/control" Target="../activeX/activeX20.xml"/><Relationship Id="rId28" Type="http://schemas.openxmlformats.org/officeDocument/2006/relationships/control" Target="../activeX/activeX25.xml"/><Relationship Id="rId49" Type="http://schemas.openxmlformats.org/officeDocument/2006/relationships/control" Target="../activeX/activeX46.xml"/><Relationship Id="rId114" Type="http://schemas.openxmlformats.org/officeDocument/2006/relationships/control" Target="../activeX/activeX111.xml"/><Relationship Id="rId119" Type="http://schemas.openxmlformats.org/officeDocument/2006/relationships/control" Target="../activeX/activeX116.xml"/><Relationship Id="rId44" Type="http://schemas.openxmlformats.org/officeDocument/2006/relationships/control" Target="../activeX/activeX41.xml"/><Relationship Id="rId60" Type="http://schemas.openxmlformats.org/officeDocument/2006/relationships/control" Target="../activeX/activeX57.xml"/><Relationship Id="rId65" Type="http://schemas.openxmlformats.org/officeDocument/2006/relationships/control" Target="../activeX/activeX62.xml"/><Relationship Id="rId81" Type="http://schemas.openxmlformats.org/officeDocument/2006/relationships/control" Target="../activeX/activeX78.xml"/><Relationship Id="rId86" Type="http://schemas.openxmlformats.org/officeDocument/2006/relationships/control" Target="../activeX/activeX83.xml"/><Relationship Id="rId130" Type="http://schemas.openxmlformats.org/officeDocument/2006/relationships/control" Target="../activeX/activeX127.xml"/><Relationship Id="rId135" Type="http://schemas.openxmlformats.org/officeDocument/2006/relationships/control" Target="../activeX/activeX132.xml"/><Relationship Id="rId151" Type="http://schemas.openxmlformats.org/officeDocument/2006/relationships/control" Target="../activeX/activeX148.xml"/><Relationship Id="rId156" Type="http://schemas.openxmlformats.org/officeDocument/2006/relationships/control" Target="../activeX/activeX153.xml"/><Relationship Id="rId177" Type="http://schemas.openxmlformats.org/officeDocument/2006/relationships/control" Target="../activeX/activeX174.xml"/><Relationship Id="rId198" Type="http://schemas.openxmlformats.org/officeDocument/2006/relationships/control" Target="../activeX/activeX195.xml"/><Relationship Id="rId172" Type="http://schemas.openxmlformats.org/officeDocument/2006/relationships/control" Target="../activeX/activeX169.xml"/><Relationship Id="rId193" Type="http://schemas.openxmlformats.org/officeDocument/2006/relationships/control" Target="../activeX/activeX190.xml"/><Relationship Id="rId202" Type="http://schemas.openxmlformats.org/officeDocument/2006/relationships/control" Target="../activeX/activeX199.xml"/><Relationship Id="rId207" Type="http://schemas.openxmlformats.org/officeDocument/2006/relationships/control" Target="../activeX/activeX204.xml"/><Relationship Id="rId223" Type="http://schemas.openxmlformats.org/officeDocument/2006/relationships/control" Target="../activeX/activeX220.xml"/><Relationship Id="rId228" Type="http://schemas.openxmlformats.org/officeDocument/2006/relationships/control" Target="../activeX/activeX225.xml"/><Relationship Id="rId244" Type="http://schemas.openxmlformats.org/officeDocument/2006/relationships/control" Target="../activeX/activeX241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9" Type="http://schemas.openxmlformats.org/officeDocument/2006/relationships/control" Target="../activeX/activeX36.xml"/><Relationship Id="rId109" Type="http://schemas.openxmlformats.org/officeDocument/2006/relationships/control" Target="../activeX/activeX106.xml"/><Relationship Id="rId34" Type="http://schemas.openxmlformats.org/officeDocument/2006/relationships/control" Target="../activeX/activeX31.xml"/><Relationship Id="rId50" Type="http://schemas.openxmlformats.org/officeDocument/2006/relationships/control" Target="../activeX/activeX47.xml"/><Relationship Id="rId55" Type="http://schemas.openxmlformats.org/officeDocument/2006/relationships/control" Target="../activeX/activeX52.xml"/><Relationship Id="rId76" Type="http://schemas.openxmlformats.org/officeDocument/2006/relationships/control" Target="../activeX/activeX73.xml"/><Relationship Id="rId97" Type="http://schemas.openxmlformats.org/officeDocument/2006/relationships/control" Target="../activeX/activeX94.xml"/><Relationship Id="rId104" Type="http://schemas.openxmlformats.org/officeDocument/2006/relationships/control" Target="../activeX/activeX101.xml"/><Relationship Id="rId120" Type="http://schemas.openxmlformats.org/officeDocument/2006/relationships/control" Target="../activeX/activeX117.xml"/><Relationship Id="rId125" Type="http://schemas.openxmlformats.org/officeDocument/2006/relationships/control" Target="../activeX/activeX122.xml"/><Relationship Id="rId141" Type="http://schemas.openxmlformats.org/officeDocument/2006/relationships/control" Target="../activeX/activeX138.xml"/><Relationship Id="rId146" Type="http://schemas.openxmlformats.org/officeDocument/2006/relationships/control" Target="../activeX/activeX143.xml"/><Relationship Id="rId167" Type="http://schemas.openxmlformats.org/officeDocument/2006/relationships/control" Target="../activeX/activeX164.xml"/><Relationship Id="rId188" Type="http://schemas.openxmlformats.org/officeDocument/2006/relationships/control" Target="../activeX/activeX185.xml"/><Relationship Id="rId7" Type="http://schemas.openxmlformats.org/officeDocument/2006/relationships/control" Target="../activeX/activeX4.xml"/><Relationship Id="rId71" Type="http://schemas.openxmlformats.org/officeDocument/2006/relationships/control" Target="../activeX/activeX68.xml"/><Relationship Id="rId92" Type="http://schemas.openxmlformats.org/officeDocument/2006/relationships/control" Target="../activeX/activeX89.xml"/><Relationship Id="rId162" Type="http://schemas.openxmlformats.org/officeDocument/2006/relationships/control" Target="../activeX/activeX159.xml"/><Relationship Id="rId183" Type="http://schemas.openxmlformats.org/officeDocument/2006/relationships/control" Target="../activeX/activeX180.xml"/><Relationship Id="rId213" Type="http://schemas.openxmlformats.org/officeDocument/2006/relationships/control" Target="../activeX/activeX210.xml"/><Relationship Id="rId218" Type="http://schemas.openxmlformats.org/officeDocument/2006/relationships/control" Target="../activeX/activeX215.xml"/><Relationship Id="rId234" Type="http://schemas.openxmlformats.org/officeDocument/2006/relationships/control" Target="../activeX/activeX231.xml"/><Relationship Id="rId239" Type="http://schemas.openxmlformats.org/officeDocument/2006/relationships/control" Target="../activeX/activeX236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1.xml"/><Relationship Id="rId40" Type="http://schemas.openxmlformats.org/officeDocument/2006/relationships/control" Target="../activeX/activeX37.xml"/><Relationship Id="rId45" Type="http://schemas.openxmlformats.org/officeDocument/2006/relationships/control" Target="../activeX/activeX42.xml"/><Relationship Id="rId66" Type="http://schemas.openxmlformats.org/officeDocument/2006/relationships/control" Target="../activeX/activeX63.xml"/><Relationship Id="rId87" Type="http://schemas.openxmlformats.org/officeDocument/2006/relationships/control" Target="../activeX/activeX84.xml"/><Relationship Id="rId110" Type="http://schemas.openxmlformats.org/officeDocument/2006/relationships/control" Target="../activeX/activeX107.xml"/><Relationship Id="rId115" Type="http://schemas.openxmlformats.org/officeDocument/2006/relationships/control" Target="../activeX/activeX112.xml"/><Relationship Id="rId131" Type="http://schemas.openxmlformats.org/officeDocument/2006/relationships/control" Target="../activeX/activeX128.xml"/><Relationship Id="rId136" Type="http://schemas.openxmlformats.org/officeDocument/2006/relationships/control" Target="../activeX/activeX133.xml"/><Relationship Id="rId157" Type="http://schemas.openxmlformats.org/officeDocument/2006/relationships/control" Target="../activeX/activeX154.xml"/><Relationship Id="rId178" Type="http://schemas.openxmlformats.org/officeDocument/2006/relationships/control" Target="../activeX/activeX175.xml"/><Relationship Id="rId61" Type="http://schemas.openxmlformats.org/officeDocument/2006/relationships/control" Target="../activeX/activeX58.xml"/><Relationship Id="rId82" Type="http://schemas.openxmlformats.org/officeDocument/2006/relationships/control" Target="../activeX/activeX79.xml"/><Relationship Id="rId152" Type="http://schemas.openxmlformats.org/officeDocument/2006/relationships/control" Target="../activeX/activeX149.xml"/><Relationship Id="rId173" Type="http://schemas.openxmlformats.org/officeDocument/2006/relationships/control" Target="../activeX/activeX170.xml"/><Relationship Id="rId194" Type="http://schemas.openxmlformats.org/officeDocument/2006/relationships/control" Target="../activeX/activeX191.xml"/><Relationship Id="rId199" Type="http://schemas.openxmlformats.org/officeDocument/2006/relationships/control" Target="../activeX/activeX196.xml"/><Relationship Id="rId203" Type="http://schemas.openxmlformats.org/officeDocument/2006/relationships/control" Target="../activeX/activeX200.xml"/><Relationship Id="rId208" Type="http://schemas.openxmlformats.org/officeDocument/2006/relationships/control" Target="../activeX/activeX205.xml"/><Relationship Id="rId229" Type="http://schemas.openxmlformats.org/officeDocument/2006/relationships/control" Target="../activeX/activeX226.xml"/><Relationship Id="rId19" Type="http://schemas.openxmlformats.org/officeDocument/2006/relationships/control" Target="../activeX/activeX16.xml"/><Relationship Id="rId224" Type="http://schemas.openxmlformats.org/officeDocument/2006/relationships/control" Target="../activeX/activeX221.xml"/><Relationship Id="rId240" Type="http://schemas.openxmlformats.org/officeDocument/2006/relationships/control" Target="../activeX/activeX237.xml"/><Relationship Id="rId245" Type="http://schemas.openxmlformats.org/officeDocument/2006/relationships/control" Target="../activeX/activeX242.xml"/><Relationship Id="rId14" Type="http://schemas.openxmlformats.org/officeDocument/2006/relationships/control" Target="../activeX/activeX11.xml"/><Relationship Id="rId30" Type="http://schemas.openxmlformats.org/officeDocument/2006/relationships/control" Target="../activeX/activeX27.xml"/><Relationship Id="rId35" Type="http://schemas.openxmlformats.org/officeDocument/2006/relationships/control" Target="../activeX/activeX32.xml"/><Relationship Id="rId56" Type="http://schemas.openxmlformats.org/officeDocument/2006/relationships/control" Target="../activeX/activeX53.xml"/><Relationship Id="rId77" Type="http://schemas.openxmlformats.org/officeDocument/2006/relationships/control" Target="../activeX/activeX74.xml"/><Relationship Id="rId100" Type="http://schemas.openxmlformats.org/officeDocument/2006/relationships/control" Target="../activeX/activeX97.xml"/><Relationship Id="rId105" Type="http://schemas.openxmlformats.org/officeDocument/2006/relationships/control" Target="../activeX/activeX102.xml"/><Relationship Id="rId126" Type="http://schemas.openxmlformats.org/officeDocument/2006/relationships/control" Target="../activeX/activeX123.xml"/><Relationship Id="rId147" Type="http://schemas.openxmlformats.org/officeDocument/2006/relationships/control" Target="../activeX/activeX144.xml"/><Relationship Id="rId168" Type="http://schemas.openxmlformats.org/officeDocument/2006/relationships/control" Target="../activeX/activeX165.xml"/><Relationship Id="rId8" Type="http://schemas.openxmlformats.org/officeDocument/2006/relationships/control" Target="../activeX/activeX5.xml"/><Relationship Id="rId51" Type="http://schemas.openxmlformats.org/officeDocument/2006/relationships/control" Target="../activeX/activeX48.xml"/><Relationship Id="rId72" Type="http://schemas.openxmlformats.org/officeDocument/2006/relationships/control" Target="../activeX/activeX69.xml"/><Relationship Id="rId93" Type="http://schemas.openxmlformats.org/officeDocument/2006/relationships/control" Target="../activeX/activeX90.xml"/><Relationship Id="rId98" Type="http://schemas.openxmlformats.org/officeDocument/2006/relationships/control" Target="../activeX/activeX95.xml"/><Relationship Id="rId121" Type="http://schemas.openxmlformats.org/officeDocument/2006/relationships/control" Target="../activeX/activeX118.xml"/><Relationship Id="rId142" Type="http://schemas.openxmlformats.org/officeDocument/2006/relationships/control" Target="../activeX/activeX139.xml"/><Relationship Id="rId163" Type="http://schemas.openxmlformats.org/officeDocument/2006/relationships/control" Target="../activeX/activeX160.xml"/><Relationship Id="rId184" Type="http://schemas.openxmlformats.org/officeDocument/2006/relationships/control" Target="../activeX/activeX181.xml"/><Relationship Id="rId189" Type="http://schemas.openxmlformats.org/officeDocument/2006/relationships/control" Target="../activeX/activeX186.xml"/><Relationship Id="rId219" Type="http://schemas.openxmlformats.org/officeDocument/2006/relationships/control" Target="../activeX/activeX216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211.xml"/><Relationship Id="rId230" Type="http://schemas.openxmlformats.org/officeDocument/2006/relationships/control" Target="../activeX/activeX227.xml"/><Relationship Id="rId235" Type="http://schemas.openxmlformats.org/officeDocument/2006/relationships/control" Target="../activeX/activeX232.xml"/><Relationship Id="rId25" Type="http://schemas.openxmlformats.org/officeDocument/2006/relationships/control" Target="../activeX/activeX22.xml"/><Relationship Id="rId46" Type="http://schemas.openxmlformats.org/officeDocument/2006/relationships/control" Target="../activeX/activeX43.xml"/><Relationship Id="rId67" Type="http://schemas.openxmlformats.org/officeDocument/2006/relationships/control" Target="../activeX/activeX64.xml"/><Relationship Id="rId116" Type="http://schemas.openxmlformats.org/officeDocument/2006/relationships/control" Target="../activeX/activeX113.xml"/><Relationship Id="rId137" Type="http://schemas.openxmlformats.org/officeDocument/2006/relationships/control" Target="../activeX/activeX134.xml"/><Relationship Id="rId158" Type="http://schemas.openxmlformats.org/officeDocument/2006/relationships/control" Target="../activeX/activeX155.xml"/><Relationship Id="rId20" Type="http://schemas.openxmlformats.org/officeDocument/2006/relationships/control" Target="../activeX/activeX17.xml"/><Relationship Id="rId41" Type="http://schemas.openxmlformats.org/officeDocument/2006/relationships/control" Target="../activeX/activeX38.xml"/><Relationship Id="rId62" Type="http://schemas.openxmlformats.org/officeDocument/2006/relationships/control" Target="../activeX/activeX59.xml"/><Relationship Id="rId83" Type="http://schemas.openxmlformats.org/officeDocument/2006/relationships/control" Target="../activeX/activeX80.xml"/><Relationship Id="rId88" Type="http://schemas.openxmlformats.org/officeDocument/2006/relationships/control" Target="../activeX/activeX85.xml"/><Relationship Id="rId111" Type="http://schemas.openxmlformats.org/officeDocument/2006/relationships/control" Target="../activeX/activeX108.xml"/><Relationship Id="rId132" Type="http://schemas.openxmlformats.org/officeDocument/2006/relationships/control" Target="../activeX/activeX129.xml"/><Relationship Id="rId153" Type="http://schemas.openxmlformats.org/officeDocument/2006/relationships/control" Target="../activeX/activeX150.xml"/><Relationship Id="rId174" Type="http://schemas.openxmlformats.org/officeDocument/2006/relationships/control" Target="../activeX/activeX171.xml"/><Relationship Id="rId179" Type="http://schemas.openxmlformats.org/officeDocument/2006/relationships/control" Target="../activeX/activeX176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20" Type="http://schemas.openxmlformats.org/officeDocument/2006/relationships/control" Target="../activeX/activeX217.xml"/><Relationship Id="rId225" Type="http://schemas.openxmlformats.org/officeDocument/2006/relationships/control" Target="../activeX/activeX222.xml"/><Relationship Id="rId241" Type="http://schemas.openxmlformats.org/officeDocument/2006/relationships/control" Target="../activeX/activeX238.xml"/><Relationship Id="rId15" Type="http://schemas.openxmlformats.org/officeDocument/2006/relationships/control" Target="../activeX/activeX12.xml"/><Relationship Id="rId36" Type="http://schemas.openxmlformats.org/officeDocument/2006/relationships/control" Target="../activeX/activeX33.xml"/><Relationship Id="rId57" Type="http://schemas.openxmlformats.org/officeDocument/2006/relationships/control" Target="../activeX/activeX54.xml"/><Relationship Id="rId106" Type="http://schemas.openxmlformats.org/officeDocument/2006/relationships/control" Target="../activeX/activeX103.xml"/><Relationship Id="rId127" Type="http://schemas.openxmlformats.org/officeDocument/2006/relationships/control" Target="../activeX/activeX124.xml"/><Relationship Id="rId10" Type="http://schemas.openxmlformats.org/officeDocument/2006/relationships/control" Target="../activeX/activeX7.xml"/><Relationship Id="rId31" Type="http://schemas.openxmlformats.org/officeDocument/2006/relationships/control" Target="../activeX/activeX28.xml"/><Relationship Id="rId52" Type="http://schemas.openxmlformats.org/officeDocument/2006/relationships/control" Target="../activeX/activeX49.xml"/><Relationship Id="rId73" Type="http://schemas.openxmlformats.org/officeDocument/2006/relationships/control" Target="../activeX/activeX70.xml"/><Relationship Id="rId78" Type="http://schemas.openxmlformats.org/officeDocument/2006/relationships/control" Target="../activeX/activeX75.xml"/><Relationship Id="rId94" Type="http://schemas.openxmlformats.org/officeDocument/2006/relationships/control" Target="../activeX/activeX91.xml"/><Relationship Id="rId99" Type="http://schemas.openxmlformats.org/officeDocument/2006/relationships/control" Target="../activeX/activeX96.xml"/><Relationship Id="rId101" Type="http://schemas.openxmlformats.org/officeDocument/2006/relationships/control" Target="../activeX/activeX98.xml"/><Relationship Id="rId122" Type="http://schemas.openxmlformats.org/officeDocument/2006/relationships/control" Target="../activeX/activeX119.xml"/><Relationship Id="rId143" Type="http://schemas.openxmlformats.org/officeDocument/2006/relationships/control" Target="../activeX/activeX140.xml"/><Relationship Id="rId148" Type="http://schemas.openxmlformats.org/officeDocument/2006/relationships/control" Target="../activeX/activeX145.xml"/><Relationship Id="rId164" Type="http://schemas.openxmlformats.org/officeDocument/2006/relationships/control" Target="../activeX/activeX161.xml"/><Relationship Id="rId169" Type="http://schemas.openxmlformats.org/officeDocument/2006/relationships/control" Target="../activeX/activeX166.xml"/><Relationship Id="rId185" Type="http://schemas.openxmlformats.org/officeDocument/2006/relationships/control" Target="../activeX/activeX18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80" Type="http://schemas.openxmlformats.org/officeDocument/2006/relationships/control" Target="../activeX/activeX177.xml"/><Relationship Id="rId210" Type="http://schemas.openxmlformats.org/officeDocument/2006/relationships/control" Target="../activeX/activeX207.xml"/><Relationship Id="rId215" Type="http://schemas.openxmlformats.org/officeDocument/2006/relationships/control" Target="../activeX/activeX212.xml"/><Relationship Id="rId236" Type="http://schemas.openxmlformats.org/officeDocument/2006/relationships/control" Target="../activeX/activeX233.xml"/><Relationship Id="rId26" Type="http://schemas.openxmlformats.org/officeDocument/2006/relationships/control" Target="../activeX/activeX23.xml"/><Relationship Id="rId231" Type="http://schemas.openxmlformats.org/officeDocument/2006/relationships/control" Target="../activeX/activeX228.xml"/><Relationship Id="rId47" Type="http://schemas.openxmlformats.org/officeDocument/2006/relationships/control" Target="../activeX/activeX44.xml"/><Relationship Id="rId68" Type="http://schemas.openxmlformats.org/officeDocument/2006/relationships/control" Target="../activeX/activeX65.xml"/><Relationship Id="rId89" Type="http://schemas.openxmlformats.org/officeDocument/2006/relationships/control" Target="../activeX/activeX86.xml"/><Relationship Id="rId112" Type="http://schemas.openxmlformats.org/officeDocument/2006/relationships/control" Target="../activeX/activeX109.xml"/><Relationship Id="rId133" Type="http://schemas.openxmlformats.org/officeDocument/2006/relationships/control" Target="../activeX/activeX130.xml"/><Relationship Id="rId154" Type="http://schemas.openxmlformats.org/officeDocument/2006/relationships/control" Target="../activeX/activeX151.xml"/><Relationship Id="rId175" Type="http://schemas.openxmlformats.org/officeDocument/2006/relationships/control" Target="../activeX/activeX172.xml"/><Relationship Id="rId196" Type="http://schemas.openxmlformats.org/officeDocument/2006/relationships/control" Target="../activeX/activeX193.xml"/><Relationship Id="rId200" Type="http://schemas.openxmlformats.org/officeDocument/2006/relationships/control" Target="../activeX/activeX197.xml"/><Relationship Id="rId16" Type="http://schemas.openxmlformats.org/officeDocument/2006/relationships/control" Target="../activeX/activeX13.xml"/><Relationship Id="rId221" Type="http://schemas.openxmlformats.org/officeDocument/2006/relationships/control" Target="../activeX/activeX218.xml"/><Relationship Id="rId242" Type="http://schemas.openxmlformats.org/officeDocument/2006/relationships/control" Target="../activeX/activeX239.xml"/><Relationship Id="rId37" Type="http://schemas.openxmlformats.org/officeDocument/2006/relationships/control" Target="../activeX/activeX34.xml"/><Relationship Id="rId58" Type="http://schemas.openxmlformats.org/officeDocument/2006/relationships/control" Target="../activeX/activeX55.xml"/><Relationship Id="rId79" Type="http://schemas.openxmlformats.org/officeDocument/2006/relationships/control" Target="../activeX/activeX76.xml"/><Relationship Id="rId102" Type="http://schemas.openxmlformats.org/officeDocument/2006/relationships/control" Target="../activeX/activeX99.xml"/><Relationship Id="rId123" Type="http://schemas.openxmlformats.org/officeDocument/2006/relationships/control" Target="../activeX/activeX120.xml"/><Relationship Id="rId144" Type="http://schemas.openxmlformats.org/officeDocument/2006/relationships/control" Target="../activeX/activeX141.xml"/><Relationship Id="rId90" Type="http://schemas.openxmlformats.org/officeDocument/2006/relationships/control" Target="../activeX/activeX87.xml"/><Relationship Id="rId165" Type="http://schemas.openxmlformats.org/officeDocument/2006/relationships/control" Target="../activeX/activeX162.xml"/><Relationship Id="rId186" Type="http://schemas.openxmlformats.org/officeDocument/2006/relationships/control" Target="../activeX/activeX183.xml"/><Relationship Id="rId211" Type="http://schemas.openxmlformats.org/officeDocument/2006/relationships/control" Target="../activeX/activeX208.xml"/><Relationship Id="rId232" Type="http://schemas.openxmlformats.org/officeDocument/2006/relationships/control" Target="../activeX/activeX229.xml"/><Relationship Id="rId27" Type="http://schemas.openxmlformats.org/officeDocument/2006/relationships/control" Target="../activeX/activeX24.xml"/><Relationship Id="rId48" Type="http://schemas.openxmlformats.org/officeDocument/2006/relationships/control" Target="../activeX/activeX45.xml"/><Relationship Id="rId69" Type="http://schemas.openxmlformats.org/officeDocument/2006/relationships/control" Target="../activeX/activeX66.xml"/><Relationship Id="rId113" Type="http://schemas.openxmlformats.org/officeDocument/2006/relationships/control" Target="../activeX/activeX110.xml"/><Relationship Id="rId134" Type="http://schemas.openxmlformats.org/officeDocument/2006/relationships/control" Target="../activeX/activeX131.xml"/><Relationship Id="rId80" Type="http://schemas.openxmlformats.org/officeDocument/2006/relationships/control" Target="../activeX/activeX77.xml"/><Relationship Id="rId155" Type="http://schemas.openxmlformats.org/officeDocument/2006/relationships/control" Target="../activeX/activeX152.xml"/><Relationship Id="rId176" Type="http://schemas.openxmlformats.org/officeDocument/2006/relationships/control" Target="../activeX/activeX173.xml"/><Relationship Id="rId197" Type="http://schemas.openxmlformats.org/officeDocument/2006/relationships/control" Target="../activeX/activeX19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zoomScaleNormal="100" workbookViewId="0">
      <selection activeCell="A39" sqref="A39:D39"/>
    </sheetView>
  </sheetViews>
  <sheetFormatPr defaultRowHeight="15.7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3"/>
      <c r="R1" s="103"/>
      <c r="S1" s="103"/>
      <c r="T1" s="103"/>
    </row>
    <row r="2" spans="1:20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R2" s="103"/>
      <c r="S2" s="103"/>
      <c r="T2" s="103"/>
    </row>
    <row r="3" spans="1:20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3"/>
      <c r="R3" s="103"/>
      <c r="S3" s="103"/>
      <c r="T3" s="103"/>
    </row>
    <row r="4" spans="1:20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3"/>
      <c r="R4" s="103"/>
      <c r="S4" s="103"/>
      <c r="T4" s="103"/>
    </row>
    <row r="5" spans="1:20">
      <c r="A5" s="102"/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3"/>
      <c r="R5" s="103"/>
      <c r="S5" s="103"/>
      <c r="T5" s="103"/>
    </row>
    <row r="6" spans="1:20">
      <c r="A6" s="102"/>
      <c r="B6" s="102"/>
      <c r="C6" s="102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3"/>
      <c r="R6" s="103"/>
      <c r="S6" s="103"/>
      <c r="T6" s="103"/>
    </row>
    <row r="7" spans="1:20" ht="24" customHeight="1">
      <c r="A7" s="111" t="s">
        <v>83</v>
      </c>
      <c r="B7" s="111"/>
      <c r="C7" s="111"/>
      <c r="D7" s="111"/>
      <c r="E7" s="106" t="s">
        <v>78</v>
      </c>
      <c r="F7" s="107"/>
      <c r="G7" s="107"/>
      <c r="H7" s="108"/>
      <c r="I7" s="106" t="s">
        <v>69</v>
      </c>
      <c r="J7" s="107"/>
      <c r="K7" s="107"/>
      <c r="L7" s="108"/>
      <c r="M7" s="106" t="s">
        <v>52</v>
      </c>
      <c r="N7" s="107"/>
      <c r="O7" s="107"/>
      <c r="P7" s="108"/>
      <c r="Q7" s="106" t="s">
        <v>63</v>
      </c>
      <c r="R7" s="107"/>
      <c r="S7" s="107"/>
      <c r="T7" s="108"/>
    </row>
    <row r="8" spans="1:20" s="4" customFormat="1" ht="18.75">
      <c r="A8" s="104" t="s">
        <v>84</v>
      </c>
      <c r="B8" s="105"/>
      <c r="C8" s="105"/>
      <c r="D8" s="105"/>
      <c r="E8" s="109" t="s">
        <v>79</v>
      </c>
      <c r="F8" s="110"/>
      <c r="G8" s="110"/>
      <c r="H8" s="110"/>
      <c r="I8" s="104" t="s">
        <v>61</v>
      </c>
      <c r="J8" s="105"/>
      <c r="K8" s="105"/>
      <c r="L8" s="105"/>
      <c r="M8" s="104" t="s">
        <v>26</v>
      </c>
      <c r="N8" s="105"/>
      <c r="O8" s="105"/>
      <c r="P8" s="105"/>
      <c r="Q8" s="104" t="s">
        <v>64</v>
      </c>
      <c r="R8" s="105"/>
      <c r="S8" s="105"/>
      <c r="T8" s="105"/>
    </row>
    <row r="9" spans="1:20" s="4" customFormat="1" ht="18.75">
      <c r="A9" s="121" t="s">
        <v>82</v>
      </c>
      <c r="B9" s="121"/>
      <c r="C9" s="121"/>
      <c r="D9" s="121"/>
      <c r="E9" s="122" t="s">
        <v>80</v>
      </c>
      <c r="F9" s="110"/>
      <c r="G9" s="110"/>
      <c r="H9" s="110"/>
      <c r="I9" s="122"/>
      <c r="J9" s="122"/>
      <c r="K9" s="122"/>
      <c r="L9" s="122"/>
      <c r="M9" s="121"/>
      <c r="N9" s="121"/>
      <c r="O9" s="121"/>
      <c r="P9" s="121"/>
      <c r="Q9" s="104" t="s">
        <v>65</v>
      </c>
      <c r="R9" s="123"/>
      <c r="S9" s="123"/>
      <c r="T9" s="123"/>
    </row>
    <row r="10" spans="1:20" s="23" customFormat="1" ht="1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>
      <c r="A17" s="124" t="s">
        <v>18</v>
      </c>
      <c r="B17" s="125"/>
      <c r="C17" s="125"/>
      <c r="D17" s="126"/>
      <c r="E17" s="118" t="s">
        <v>18</v>
      </c>
      <c r="F17" s="119"/>
      <c r="G17" s="119"/>
      <c r="H17" s="120"/>
      <c r="I17" s="118" t="s">
        <v>68</v>
      </c>
      <c r="J17" s="119"/>
      <c r="K17" s="119"/>
      <c r="L17" s="120"/>
      <c r="M17" s="118" t="s">
        <v>67</v>
      </c>
      <c r="N17" s="119"/>
      <c r="O17" s="119"/>
      <c r="P17" s="120"/>
      <c r="Q17" s="118" t="s">
        <v>18</v>
      </c>
      <c r="R17" s="119"/>
      <c r="S17" s="119"/>
      <c r="T17" s="120"/>
    </row>
    <row r="18" spans="1:20" s="4" customFormat="1" ht="18.75">
      <c r="A18" s="104" t="s">
        <v>59</v>
      </c>
      <c r="B18" s="105"/>
      <c r="C18" s="105"/>
      <c r="D18" s="105"/>
      <c r="E18" s="104" t="s">
        <v>48</v>
      </c>
      <c r="F18" s="105"/>
      <c r="G18" s="105"/>
      <c r="H18" s="105"/>
      <c r="I18" s="104" t="s">
        <v>46</v>
      </c>
      <c r="J18" s="105"/>
      <c r="K18" s="105"/>
      <c r="L18" s="105"/>
      <c r="M18" s="104" t="s">
        <v>53</v>
      </c>
      <c r="N18" s="105"/>
      <c r="O18" s="105"/>
      <c r="P18" s="105"/>
      <c r="Q18" s="104" t="s">
        <v>27</v>
      </c>
      <c r="R18" s="104"/>
      <c r="S18" s="104"/>
      <c r="T18" s="104"/>
    </row>
    <row r="19" spans="1:20" s="4" customFormat="1" ht="18.75">
      <c r="A19" s="104"/>
      <c r="B19" s="105"/>
      <c r="C19" s="105"/>
      <c r="D19" s="105"/>
      <c r="E19" s="109"/>
      <c r="F19" s="109"/>
      <c r="G19" s="109"/>
      <c r="H19" s="109"/>
      <c r="I19" s="109"/>
      <c r="J19" s="109"/>
      <c r="K19" s="109"/>
      <c r="L19" s="109"/>
      <c r="M19" s="104" t="s">
        <v>19</v>
      </c>
      <c r="N19" s="104"/>
      <c r="O19" s="104"/>
      <c r="P19" s="104"/>
      <c r="Q19" s="104" t="s">
        <v>19</v>
      </c>
      <c r="R19" s="104"/>
      <c r="S19" s="104"/>
      <c r="T19" s="104"/>
    </row>
    <row r="20" spans="1:20" s="23" customFormat="1" ht="1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>
      <c r="A27" s="112" t="s">
        <v>18</v>
      </c>
      <c r="B27" s="113"/>
      <c r="C27" s="113"/>
      <c r="D27" s="113"/>
      <c r="E27" s="114" t="s">
        <v>58</v>
      </c>
      <c r="F27" s="114"/>
      <c r="G27" s="114"/>
      <c r="H27" s="114"/>
      <c r="I27" s="114" t="s">
        <v>40</v>
      </c>
      <c r="J27" s="114"/>
      <c r="K27" s="114"/>
      <c r="L27" s="114"/>
      <c r="M27" s="114" t="s">
        <v>36</v>
      </c>
      <c r="N27" s="114"/>
      <c r="O27" s="114"/>
      <c r="P27" s="114"/>
      <c r="Q27" s="114" t="s">
        <v>18</v>
      </c>
      <c r="R27" s="114"/>
      <c r="S27" s="114"/>
      <c r="T27" s="114"/>
    </row>
    <row r="28" spans="1:20" s="4" customFormat="1" ht="18.75">
      <c r="A28" s="104"/>
      <c r="B28" s="105"/>
      <c r="C28" s="105"/>
      <c r="D28" s="105"/>
      <c r="E28" s="104"/>
      <c r="F28" s="105"/>
      <c r="G28" s="105"/>
      <c r="H28" s="105"/>
      <c r="I28" s="104"/>
      <c r="J28" s="105"/>
      <c r="K28" s="105"/>
      <c r="L28" s="105"/>
      <c r="M28" s="104"/>
      <c r="N28" s="105"/>
      <c r="O28" s="105"/>
      <c r="P28" s="105"/>
      <c r="Q28" s="104" t="s">
        <v>27</v>
      </c>
      <c r="R28" s="104"/>
      <c r="S28" s="104"/>
      <c r="T28" s="104"/>
    </row>
    <row r="29" spans="1:20" s="4" customFormat="1" ht="18.75">
      <c r="A29" s="104"/>
      <c r="B29" s="105"/>
      <c r="C29" s="105"/>
      <c r="D29" s="105"/>
      <c r="E29" s="104"/>
      <c r="F29" s="105"/>
      <c r="G29" s="105"/>
      <c r="H29" s="105"/>
      <c r="I29" s="104"/>
      <c r="J29" s="105"/>
      <c r="K29" s="105"/>
      <c r="L29" s="105"/>
      <c r="M29" s="104"/>
      <c r="N29" s="105"/>
      <c r="O29" s="105"/>
      <c r="P29" s="105"/>
      <c r="Q29" s="104"/>
      <c r="R29" s="104"/>
      <c r="S29" s="104"/>
      <c r="T29" s="104"/>
    </row>
    <row r="30" spans="1:20" s="23" customFormat="1" ht="1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>
      <c r="A37" s="115" t="s">
        <v>70</v>
      </c>
      <c r="B37" s="115"/>
      <c r="C37" s="115"/>
      <c r="D37" s="115"/>
      <c r="E37" s="116" t="s">
        <v>54</v>
      </c>
      <c r="F37" s="116"/>
      <c r="G37" s="116"/>
      <c r="H37" s="116"/>
      <c r="I37" s="116" t="s">
        <v>18</v>
      </c>
      <c r="J37" s="116"/>
      <c r="K37" s="116"/>
      <c r="L37" s="116"/>
      <c r="M37" s="116" t="s">
        <v>20</v>
      </c>
      <c r="N37" s="116"/>
      <c r="O37" s="116"/>
      <c r="P37" s="116"/>
      <c r="Q37" s="116" t="s">
        <v>18</v>
      </c>
      <c r="R37" s="116"/>
      <c r="S37" s="116"/>
      <c r="T37" s="116"/>
    </row>
    <row r="38" spans="1:20" s="4" customFormat="1" ht="18.75">
      <c r="A38" s="104" t="s">
        <v>71</v>
      </c>
      <c r="B38" s="105"/>
      <c r="C38" s="105"/>
      <c r="D38" s="105"/>
      <c r="E38" s="109"/>
      <c r="F38" s="109"/>
      <c r="G38" s="109"/>
      <c r="H38" s="109"/>
      <c r="I38" s="104" t="s">
        <v>16</v>
      </c>
      <c r="J38" s="104"/>
      <c r="K38" s="104"/>
      <c r="L38" s="104"/>
      <c r="M38" s="117" t="s">
        <v>26</v>
      </c>
      <c r="N38" s="117"/>
      <c r="O38" s="117"/>
      <c r="P38" s="117"/>
      <c r="Q38" s="104" t="s">
        <v>24</v>
      </c>
      <c r="R38" s="104"/>
      <c r="S38" s="104"/>
      <c r="T38" s="104"/>
    </row>
    <row r="39" spans="1:20" s="4" customFormat="1" ht="18.75">
      <c r="A39" s="109" t="s">
        <v>72</v>
      </c>
      <c r="B39" s="110"/>
      <c r="C39" s="110"/>
      <c r="D39" s="110"/>
      <c r="E39" s="127"/>
      <c r="F39" s="128"/>
      <c r="G39" s="128"/>
      <c r="H39" s="129"/>
      <c r="I39" s="130" t="s">
        <v>14</v>
      </c>
      <c r="J39" s="131"/>
      <c r="K39" s="131"/>
      <c r="L39" s="132"/>
      <c r="M39" s="133" t="s">
        <v>14</v>
      </c>
      <c r="N39" s="134"/>
      <c r="O39" s="134"/>
      <c r="P39" s="135"/>
      <c r="Q39" s="130" t="s">
        <v>14</v>
      </c>
      <c r="R39" s="131"/>
      <c r="S39" s="131"/>
      <c r="T39" s="132"/>
    </row>
    <row r="40" spans="1:20" s="23" customFormat="1" ht="1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39:D39"/>
    <mergeCell ref="E39:H39"/>
    <mergeCell ref="I39:L39"/>
    <mergeCell ref="M39:P39"/>
    <mergeCell ref="Q39:T39"/>
    <mergeCell ref="A29:D29"/>
    <mergeCell ref="E29:H29"/>
    <mergeCell ref="I29:L29"/>
    <mergeCell ref="M29:P29"/>
    <mergeCell ref="Q29:T29"/>
    <mergeCell ref="E19:H19"/>
    <mergeCell ref="I19:L19"/>
    <mergeCell ref="M19:P19"/>
    <mergeCell ref="Q19:T19"/>
    <mergeCell ref="A17:D17"/>
    <mergeCell ref="E17:H17"/>
    <mergeCell ref="I17:L17"/>
    <mergeCell ref="A9:D9"/>
    <mergeCell ref="E9:H9"/>
    <mergeCell ref="I9:L9"/>
    <mergeCell ref="M7:P7"/>
    <mergeCell ref="Q9:T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A1:T6"/>
    <mergeCell ref="A8:D8"/>
    <mergeCell ref="E7:H7"/>
    <mergeCell ref="I7:L7"/>
    <mergeCell ref="E8:H8"/>
    <mergeCell ref="I8:L8"/>
    <mergeCell ref="A7:D7"/>
    <mergeCell ref="M8:P8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U40"/>
  <sheetViews>
    <sheetView showGridLines="0" tabSelected="1" zoomScale="74" zoomScaleNormal="74" workbookViewId="0">
      <selection activeCell="F34" sqref="F34"/>
    </sheetView>
  </sheetViews>
  <sheetFormatPr defaultRowHeight="1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  <col min="22" max="22" width="3.28515625" customWidth="1"/>
  </cols>
  <sheetData>
    <row r="2" spans="2:21">
      <c r="U2" s="98" t="b">
        <v>1</v>
      </c>
    </row>
    <row r="6" spans="2:21" ht="15.75" thickBot="1">
      <c r="B6" s="65">
        <v>1</v>
      </c>
      <c r="C6" s="65" t="str">
        <f ca="1">IFERROR(NETWORKDAYS(TODAY(),C12,holidays[])-1,"x")</f>
        <v>x</v>
      </c>
      <c r="F6" s="65">
        <f ca="1">IFERROR(VLOOKUP(C6,Table10[],2,1),0)</f>
        <v>0</v>
      </c>
      <c r="G6" s="65">
        <v>2</v>
      </c>
      <c r="H6" s="65" t="str">
        <f ca="1">IFERROR(NETWORKDAYS(TODAY(),H12,holidays[])-1,"x")</f>
        <v>x</v>
      </c>
      <c r="K6" s="65">
        <f ca="1">IFERROR(VLOOKUP(H6,Table10[],2,1),0)</f>
        <v>0</v>
      </c>
      <c r="L6" s="65">
        <v>3</v>
      </c>
      <c r="M6" s="65" t="str">
        <f ca="1">IFERROR(NETWORKDAYS(TODAY(),M12,holidays[])-1,"x")</f>
        <v>x</v>
      </c>
      <c r="P6" s="65">
        <f ca="1">IFERROR(VLOOKUP(M6,Table10[],2,1),0)</f>
        <v>0</v>
      </c>
      <c r="Q6" s="65">
        <v>4</v>
      </c>
      <c r="R6" s="65" t="str">
        <f ca="1">IFERROR(NETWORKDAYS(TODAY(),R12,holidays[])-1,"x")</f>
        <v>x</v>
      </c>
      <c r="U6" s="65">
        <f ca="1">IFERROR(VLOOKUP(R6,Table10[],2,1),0)</f>
        <v>0</v>
      </c>
    </row>
    <row r="7" spans="2:21" ht="21" thickTop="1" thickBot="1">
      <c r="B7" s="76" t="str">
        <f>"BAY " &amp;B6</f>
        <v>BAY 1</v>
      </c>
      <c r="C7" s="77"/>
      <c r="D7" s="77"/>
      <c r="E7" s="77"/>
      <c r="F7" s="78"/>
      <c r="G7" s="76" t="str">
        <f>"BAY " &amp;G6</f>
        <v>BAY 2</v>
      </c>
      <c r="H7" s="77"/>
      <c r="I7" s="77"/>
      <c r="J7" s="77"/>
      <c r="K7" s="78"/>
      <c r="L7" s="76" t="str">
        <f>"BAY " &amp;L6</f>
        <v>BAY 3</v>
      </c>
      <c r="M7" s="77"/>
      <c r="N7" s="77"/>
      <c r="O7" s="77"/>
      <c r="P7" s="78"/>
      <c r="Q7" s="76" t="str">
        <f>"BAY " &amp;Q6</f>
        <v>BAY 4</v>
      </c>
      <c r="R7" s="77"/>
      <c r="S7" s="77"/>
      <c r="T7" s="77"/>
      <c r="U7" s="78"/>
    </row>
    <row r="8" spans="2:21" ht="15.75" thickTop="1">
      <c r="B8" s="67" t="s">
        <v>117</v>
      </c>
      <c r="C8" s="66"/>
      <c r="D8" s="56"/>
      <c r="E8" s="62" t="s">
        <v>86</v>
      </c>
      <c r="F8" s="68"/>
      <c r="G8" s="67" t="s">
        <v>117</v>
      </c>
      <c r="H8" s="66"/>
      <c r="I8" s="56"/>
      <c r="J8" s="62" t="s">
        <v>86</v>
      </c>
      <c r="K8" s="68"/>
      <c r="L8" s="67" t="s">
        <v>117</v>
      </c>
      <c r="M8" s="66"/>
      <c r="N8" s="56"/>
      <c r="O8" s="62" t="s">
        <v>86</v>
      </c>
      <c r="P8" s="68"/>
      <c r="Q8" s="67" t="s">
        <v>117</v>
      </c>
      <c r="R8" s="66"/>
      <c r="S8" s="56"/>
      <c r="T8" s="62" t="s">
        <v>86</v>
      </c>
      <c r="U8" s="68"/>
    </row>
    <row r="9" spans="2:21">
      <c r="B9" s="69"/>
      <c r="C9" s="56"/>
      <c r="D9" s="56"/>
      <c r="E9" s="62" t="s">
        <v>106</v>
      </c>
      <c r="F9" s="70"/>
      <c r="G9" s="69"/>
      <c r="H9" s="56"/>
      <c r="I9" s="56"/>
      <c r="J9" s="62" t="s">
        <v>106</v>
      </c>
      <c r="K9" s="70"/>
      <c r="L9" s="69"/>
      <c r="M9" s="56"/>
      <c r="N9" s="56"/>
      <c r="O9" s="62" t="s">
        <v>106</v>
      </c>
      <c r="P9" s="70"/>
      <c r="Q9" s="69"/>
      <c r="R9" s="56"/>
      <c r="S9" s="56"/>
      <c r="T9" s="62" t="s">
        <v>106</v>
      </c>
      <c r="U9" s="70"/>
    </row>
    <row r="10" spans="2:21">
      <c r="B10" s="67" t="s">
        <v>87</v>
      </c>
      <c r="C10" s="59"/>
      <c r="D10" s="56"/>
      <c r="E10" s="64" t="s">
        <v>89</v>
      </c>
      <c r="F10" s="88"/>
      <c r="G10" s="67" t="s">
        <v>87</v>
      </c>
      <c r="H10" s="59"/>
      <c r="I10" s="56"/>
      <c r="J10" s="64" t="s">
        <v>89</v>
      </c>
      <c r="K10" s="88"/>
      <c r="L10" s="67" t="s">
        <v>87</v>
      </c>
      <c r="M10" s="59"/>
      <c r="N10" s="56"/>
      <c r="O10" s="64" t="s">
        <v>89</v>
      </c>
      <c r="P10" s="88"/>
      <c r="Q10" s="67" t="s">
        <v>87</v>
      </c>
      <c r="R10" s="59"/>
      <c r="S10" s="56"/>
      <c r="T10" s="64" t="s">
        <v>89</v>
      </c>
      <c r="U10" s="88"/>
    </row>
    <row r="11" spans="2:21">
      <c r="B11" s="67" t="s">
        <v>88</v>
      </c>
      <c r="C11" s="60"/>
      <c r="D11" s="56"/>
      <c r="E11" s="86"/>
      <c r="F11" s="71"/>
      <c r="G11" s="67" t="s">
        <v>88</v>
      </c>
      <c r="H11" s="60"/>
      <c r="I11" s="56"/>
      <c r="J11" s="86"/>
      <c r="K11" s="71"/>
      <c r="L11" s="67" t="s">
        <v>88</v>
      </c>
      <c r="M11" s="60"/>
      <c r="N11" s="56"/>
      <c r="O11" s="86"/>
      <c r="P11" s="71"/>
      <c r="Q11" s="67" t="s">
        <v>88</v>
      </c>
      <c r="R11" s="60"/>
      <c r="S11" s="56"/>
      <c r="T11" s="86"/>
      <c r="U11" s="71"/>
    </row>
    <row r="12" spans="2:21">
      <c r="B12" s="67" t="s">
        <v>116</v>
      </c>
      <c r="C12" s="61" t="str">
        <f>IF(C10&lt;&gt;0,WORKDAY(C10,C11, holidays[]),"")</f>
        <v/>
      </c>
      <c r="D12" s="56"/>
      <c r="E12" s="86"/>
      <c r="F12" s="71"/>
      <c r="G12" s="67" t="s">
        <v>116</v>
      </c>
      <c r="H12" s="61" t="str">
        <f>IF(H10&lt;&gt;0,WORKDAY(H10,H11, holidays[]),"")</f>
        <v/>
      </c>
      <c r="I12" s="56"/>
      <c r="J12" s="86"/>
      <c r="K12" s="71"/>
      <c r="L12" s="67" t="s">
        <v>116</v>
      </c>
      <c r="M12" s="61" t="str">
        <f>IF(M10&lt;&gt;0,WORKDAY(M10,M11, holidays[]),"")</f>
        <v/>
      </c>
      <c r="N12" s="56"/>
      <c r="O12" s="86"/>
      <c r="P12" s="71"/>
      <c r="Q12" s="67" t="s">
        <v>116</v>
      </c>
      <c r="R12" s="61" t="str">
        <f>IF(R10&lt;&gt;0,WORKDAY(R10,R11, holidays[]),"")</f>
        <v/>
      </c>
      <c r="S12" s="56"/>
      <c r="T12" s="86"/>
      <c r="U12" s="71"/>
    </row>
    <row r="13" spans="2:21">
      <c r="B13" s="69"/>
      <c r="C13" s="56"/>
      <c r="D13" s="56"/>
      <c r="E13" s="86"/>
      <c r="F13" s="71"/>
      <c r="G13" s="69"/>
      <c r="H13" s="56"/>
      <c r="I13" s="56"/>
      <c r="J13" s="86"/>
      <c r="K13" s="71"/>
      <c r="L13" s="69"/>
      <c r="M13" s="56"/>
      <c r="N13" s="56"/>
      <c r="O13" s="86"/>
      <c r="P13" s="71"/>
      <c r="Q13" s="69"/>
      <c r="R13" s="56"/>
      <c r="S13" s="56"/>
      <c r="T13" s="86"/>
      <c r="U13" s="71"/>
    </row>
    <row r="14" spans="2:21">
      <c r="B14" s="89" t="s">
        <v>102</v>
      </c>
      <c r="C14" s="80"/>
      <c r="D14" s="56"/>
      <c r="E14" s="86"/>
      <c r="F14" s="71"/>
      <c r="G14" s="89" t="s">
        <v>102</v>
      </c>
      <c r="H14" s="80"/>
      <c r="I14" s="56"/>
      <c r="J14" s="86"/>
      <c r="K14" s="71"/>
      <c r="L14" s="89" t="s">
        <v>102</v>
      </c>
      <c r="M14" s="80"/>
      <c r="N14" s="56"/>
      <c r="O14" s="86"/>
      <c r="P14" s="71"/>
      <c r="Q14" s="89" t="s">
        <v>102</v>
      </c>
      <c r="R14" s="80"/>
      <c r="S14" s="56"/>
      <c r="T14" s="86"/>
      <c r="U14" s="71"/>
    </row>
    <row r="15" spans="2:21">
      <c r="B15" s="72" t="s">
        <v>103</v>
      </c>
      <c r="C15" s="81"/>
      <c r="D15" s="56"/>
      <c r="E15" s="86"/>
      <c r="F15" s="71"/>
      <c r="G15" s="72" t="s">
        <v>103</v>
      </c>
      <c r="H15" s="81"/>
      <c r="I15" s="56"/>
      <c r="J15" s="86"/>
      <c r="K15" s="71"/>
      <c r="L15" s="72" t="s">
        <v>103</v>
      </c>
      <c r="M15" s="81"/>
      <c r="N15" s="56"/>
      <c r="O15" s="86"/>
      <c r="P15" s="71"/>
      <c r="Q15" s="72" t="s">
        <v>103</v>
      </c>
      <c r="R15" s="81"/>
      <c r="S15" s="56"/>
      <c r="T15" s="86"/>
      <c r="U15" s="71"/>
    </row>
    <row r="16" spans="2:21">
      <c r="B16" s="90" t="s">
        <v>107</v>
      </c>
      <c r="C16" s="82"/>
      <c r="D16" s="56"/>
      <c r="E16" s="87"/>
      <c r="F16" s="91"/>
      <c r="G16" s="90" t="s">
        <v>107</v>
      </c>
      <c r="H16" s="82"/>
      <c r="I16" s="56"/>
      <c r="J16" s="87"/>
      <c r="K16" s="91"/>
      <c r="L16" s="90" t="s">
        <v>107</v>
      </c>
      <c r="M16" s="82"/>
      <c r="N16" s="56"/>
      <c r="O16" s="87"/>
      <c r="P16" s="91"/>
      <c r="Q16" s="90" t="s">
        <v>107</v>
      </c>
      <c r="R16" s="82"/>
      <c r="S16" s="56"/>
      <c r="T16" s="87"/>
      <c r="U16" s="91"/>
    </row>
    <row r="17" spans="2:21">
      <c r="B17" s="69"/>
      <c r="C17" s="56"/>
      <c r="D17" s="56"/>
      <c r="E17" s="56"/>
      <c r="F17" s="71"/>
      <c r="G17" s="69"/>
      <c r="H17" s="56"/>
      <c r="I17" s="56"/>
      <c r="J17" s="56"/>
      <c r="K17" s="71"/>
      <c r="L17" s="69"/>
      <c r="M17" s="56"/>
      <c r="N17" s="56"/>
      <c r="O17" s="56"/>
      <c r="P17" s="71"/>
      <c r="Q17" s="69"/>
      <c r="R17" s="56"/>
      <c r="S17" s="56"/>
      <c r="T17" s="56"/>
      <c r="U17" s="71"/>
    </row>
    <row r="18" spans="2:21">
      <c r="B18" s="89" t="s">
        <v>118</v>
      </c>
      <c r="C18" s="80"/>
      <c r="D18" s="56"/>
      <c r="E18" s="79" t="s">
        <v>111</v>
      </c>
      <c r="F18" s="92"/>
      <c r="G18" s="89" t="s">
        <v>118</v>
      </c>
      <c r="H18" s="80"/>
      <c r="I18" s="56"/>
      <c r="J18" s="79" t="s">
        <v>111</v>
      </c>
      <c r="K18" s="92"/>
      <c r="L18" s="89" t="s">
        <v>118</v>
      </c>
      <c r="M18" s="80"/>
      <c r="N18" s="56"/>
      <c r="O18" s="79" t="s">
        <v>111</v>
      </c>
      <c r="P18" s="92"/>
      <c r="Q18" s="89" t="s">
        <v>118</v>
      </c>
      <c r="R18" s="80"/>
      <c r="S18" s="56"/>
      <c r="T18" s="79" t="s">
        <v>111</v>
      </c>
      <c r="U18" s="92"/>
    </row>
    <row r="19" spans="2:21" ht="15.75" customHeight="1">
      <c r="B19" s="72" t="s">
        <v>112</v>
      </c>
      <c r="C19" s="81"/>
      <c r="D19" s="56"/>
      <c r="E19" s="84" t="s">
        <v>115</v>
      </c>
      <c r="F19" s="71"/>
      <c r="G19" s="72" t="s">
        <v>112</v>
      </c>
      <c r="H19" s="81"/>
      <c r="I19" s="56"/>
      <c r="J19" s="84" t="s">
        <v>115</v>
      </c>
      <c r="K19" s="71"/>
      <c r="L19" s="72" t="s">
        <v>112</v>
      </c>
      <c r="M19" s="81"/>
      <c r="N19" s="56"/>
      <c r="O19" s="84" t="s">
        <v>115</v>
      </c>
      <c r="P19" s="71"/>
      <c r="Q19" s="72" t="s">
        <v>112</v>
      </c>
      <c r="R19" s="81"/>
      <c r="S19" s="56"/>
      <c r="T19" s="84" t="s">
        <v>115</v>
      </c>
      <c r="U19" s="71"/>
    </row>
    <row r="20" spans="2:21" ht="15.75" customHeight="1">
      <c r="B20" s="72" t="s">
        <v>113</v>
      </c>
      <c r="C20" s="81"/>
      <c r="D20" s="56"/>
      <c r="E20" s="84" t="s">
        <v>178</v>
      </c>
      <c r="F20" s="71"/>
      <c r="G20" s="72" t="s">
        <v>113</v>
      </c>
      <c r="H20" s="81"/>
      <c r="I20" s="56"/>
      <c r="J20" s="84" t="s">
        <v>178</v>
      </c>
      <c r="K20" s="71"/>
      <c r="L20" s="72" t="s">
        <v>113</v>
      </c>
      <c r="M20" s="81"/>
      <c r="N20" s="56"/>
      <c r="O20" s="84" t="s">
        <v>178</v>
      </c>
      <c r="P20" s="71"/>
      <c r="Q20" s="72" t="s">
        <v>113</v>
      </c>
      <c r="R20" s="81"/>
      <c r="S20" s="56"/>
      <c r="T20" s="84" t="s">
        <v>178</v>
      </c>
      <c r="U20" s="71"/>
    </row>
    <row r="21" spans="2:21">
      <c r="B21" s="72" t="s">
        <v>119</v>
      </c>
      <c r="C21" s="83"/>
      <c r="D21" s="56"/>
      <c r="E21" s="85" t="s">
        <v>114</v>
      </c>
      <c r="F21" s="96"/>
      <c r="G21" s="72" t="s">
        <v>119</v>
      </c>
      <c r="H21" s="83"/>
      <c r="I21" s="56"/>
      <c r="J21" s="85" t="s">
        <v>114</v>
      </c>
      <c r="K21" s="93"/>
      <c r="L21" s="72" t="s">
        <v>119</v>
      </c>
      <c r="M21" s="83"/>
      <c r="N21" s="56"/>
      <c r="O21" s="85" t="s">
        <v>114</v>
      </c>
      <c r="P21" s="93"/>
      <c r="Q21" s="72" t="s">
        <v>119</v>
      </c>
      <c r="R21" s="83"/>
      <c r="S21" s="56"/>
      <c r="T21" s="85" t="s">
        <v>114</v>
      </c>
      <c r="U21" s="93"/>
    </row>
    <row r="22" spans="2:21" ht="15.75" thickBot="1">
      <c r="B22" s="73" t="s">
        <v>114</v>
      </c>
      <c r="C22" s="94"/>
      <c r="D22" s="74"/>
      <c r="E22" s="74"/>
      <c r="F22" s="75"/>
      <c r="G22" s="73" t="s">
        <v>114</v>
      </c>
      <c r="H22" s="94"/>
      <c r="I22" s="74"/>
      <c r="J22" s="74"/>
      <c r="K22" s="75"/>
      <c r="L22" s="73" t="s">
        <v>114</v>
      </c>
      <c r="M22" s="94"/>
      <c r="N22" s="74"/>
      <c r="O22" s="74"/>
      <c r="P22" s="75"/>
      <c r="Q22" s="73" t="s">
        <v>114</v>
      </c>
      <c r="R22" s="94"/>
      <c r="S22" s="74"/>
      <c r="T22" s="74"/>
      <c r="U22" s="75"/>
    </row>
    <row r="23" spans="2:21" ht="16.5" thickTop="1" thickBot="1">
      <c r="B23" s="65">
        <v>5</v>
      </c>
      <c r="C23" s="65" t="str">
        <f ca="1">IFERROR(NETWORKDAYS(TODAY(),C29,holidays[])-1,"x")</f>
        <v>x</v>
      </c>
      <c r="F23" s="65">
        <f ca="1">IFERROR(VLOOKUP(C23,Table10[],2,1),0)</f>
        <v>0</v>
      </c>
      <c r="G23" s="65">
        <v>6</v>
      </c>
      <c r="H23" s="65" t="str">
        <f ca="1">IFERROR(NETWORKDAYS(TODAY(),H29,holidays[])-1,"x")</f>
        <v>x</v>
      </c>
      <c r="K23" s="65">
        <f ca="1">IFERROR(VLOOKUP(H23,Table10[],2,1),0)</f>
        <v>0</v>
      </c>
      <c r="L23" s="95" t="s">
        <v>189</v>
      </c>
      <c r="M23" s="65" t="str">
        <f ca="1">IFERROR(NETWORKDAYS(TODAY(),M29,holidays[])-1,"x")</f>
        <v>x</v>
      </c>
      <c r="P23" s="65">
        <f ca="1">IFERROR(VLOOKUP(M23,Table10[],2,1),0)</f>
        <v>0</v>
      </c>
      <c r="Q23" s="95" t="s">
        <v>190</v>
      </c>
      <c r="R23" s="65" t="str">
        <f ca="1">IFERROR(NETWORKDAYS(TODAY(),R29,holidays[])-1,"x")</f>
        <v>x</v>
      </c>
      <c r="U23" s="65">
        <f ca="1">IFERROR(VLOOKUP(R23,Table10[],2,1),0)</f>
        <v>0</v>
      </c>
    </row>
    <row r="24" spans="2:21" ht="21" thickTop="1" thickBot="1">
      <c r="B24" s="76" t="str">
        <f>"BAY " &amp;B23</f>
        <v>BAY 5</v>
      </c>
      <c r="C24" s="77"/>
      <c r="D24" s="77"/>
      <c r="E24" s="77"/>
      <c r="F24" s="78"/>
      <c r="G24" s="76" t="str">
        <f>"BAY " &amp;G23</f>
        <v>BAY 6</v>
      </c>
      <c r="H24" s="77"/>
      <c r="I24" s="77"/>
      <c r="J24" s="77"/>
      <c r="K24" s="78"/>
      <c r="L24" s="76" t="str">
        <f>"BAY " &amp;L23</f>
        <v>BAY Special 1</v>
      </c>
      <c r="M24" s="77"/>
      <c r="N24" s="77"/>
      <c r="O24" s="77"/>
      <c r="P24" s="78"/>
      <c r="Q24" s="76" t="str">
        <f>"BAY " &amp;Q23</f>
        <v>BAY Special 2</v>
      </c>
      <c r="R24" s="77"/>
      <c r="S24" s="77"/>
      <c r="T24" s="77"/>
      <c r="U24" s="78"/>
    </row>
    <row r="25" spans="2:21" ht="15.75" thickTop="1">
      <c r="B25" s="67" t="s">
        <v>117</v>
      </c>
      <c r="C25" s="66"/>
      <c r="D25" s="56"/>
      <c r="E25" s="62" t="s">
        <v>86</v>
      </c>
      <c r="F25" s="68"/>
      <c r="G25" s="67" t="s">
        <v>117</v>
      </c>
      <c r="H25" s="66"/>
      <c r="I25" s="56"/>
      <c r="J25" s="62" t="s">
        <v>86</v>
      </c>
      <c r="K25" s="68"/>
      <c r="L25" s="67" t="s">
        <v>117</v>
      </c>
      <c r="M25" s="66"/>
      <c r="N25" s="56"/>
      <c r="O25" s="62" t="s">
        <v>86</v>
      </c>
      <c r="P25" s="68"/>
      <c r="Q25" s="67" t="s">
        <v>117</v>
      </c>
      <c r="R25" s="66"/>
      <c r="S25" s="56"/>
      <c r="T25" s="62" t="s">
        <v>86</v>
      </c>
      <c r="U25" s="68"/>
    </row>
    <row r="26" spans="2:21">
      <c r="B26" s="69"/>
      <c r="C26" s="56"/>
      <c r="D26" s="56"/>
      <c r="E26" s="62" t="s">
        <v>106</v>
      </c>
      <c r="F26" s="70"/>
      <c r="G26" s="69"/>
      <c r="H26" s="56"/>
      <c r="I26" s="56"/>
      <c r="J26" s="62" t="s">
        <v>106</v>
      </c>
      <c r="K26" s="70"/>
      <c r="L26" s="69"/>
      <c r="M26" s="56"/>
      <c r="N26" s="56"/>
      <c r="O26" s="62" t="s">
        <v>106</v>
      </c>
      <c r="P26" s="70"/>
      <c r="Q26" s="69"/>
      <c r="R26" s="56"/>
      <c r="S26" s="56"/>
      <c r="T26" s="62" t="s">
        <v>106</v>
      </c>
      <c r="U26" s="70"/>
    </row>
    <row r="27" spans="2:21">
      <c r="B27" s="67" t="s">
        <v>87</v>
      </c>
      <c r="C27" s="59"/>
      <c r="D27" s="56"/>
      <c r="E27" s="64" t="s">
        <v>89</v>
      </c>
      <c r="F27" s="88"/>
      <c r="G27" s="67" t="s">
        <v>87</v>
      </c>
      <c r="H27" s="59"/>
      <c r="I27" s="56"/>
      <c r="J27" s="64" t="s">
        <v>89</v>
      </c>
      <c r="K27" s="88"/>
      <c r="L27" s="67" t="s">
        <v>87</v>
      </c>
      <c r="M27" s="59"/>
      <c r="N27" s="56"/>
      <c r="O27" s="64" t="s">
        <v>89</v>
      </c>
      <c r="P27" s="88"/>
      <c r="Q27" s="67" t="s">
        <v>87</v>
      </c>
      <c r="R27" s="59"/>
      <c r="S27" s="56"/>
      <c r="T27" s="64" t="s">
        <v>89</v>
      </c>
      <c r="U27" s="88"/>
    </row>
    <row r="28" spans="2:21">
      <c r="B28" s="67" t="s">
        <v>88</v>
      </c>
      <c r="C28" s="60"/>
      <c r="D28" s="56"/>
      <c r="E28" s="86"/>
      <c r="F28" s="71"/>
      <c r="G28" s="67" t="s">
        <v>88</v>
      </c>
      <c r="H28" s="60"/>
      <c r="I28" s="56"/>
      <c r="J28" s="86"/>
      <c r="K28" s="71"/>
      <c r="L28" s="67" t="s">
        <v>88</v>
      </c>
      <c r="M28" s="60"/>
      <c r="N28" s="56"/>
      <c r="O28" s="86"/>
      <c r="P28" s="71"/>
      <c r="Q28" s="67" t="s">
        <v>88</v>
      </c>
      <c r="R28" s="60"/>
      <c r="S28" s="56"/>
      <c r="T28" s="86"/>
      <c r="U28" s="71"/>
    </row>
    <row r="29" spans="2:21">
      <c r="B29" s="67" t="s">
        <v>116</v>
      </c>
      <c r="C29" s="61" t="str">
        <f>IF(C27&lt;&gt;0,WORKDAY(C27,C28, holidays[]),"")</f>
        <v/>
      </c>
      <c r="D29" s="56"/>
      <c r="E29" s="86"/>
      <c r="F29" s="71"/>
      <c r="G29" s="67" t="s">
        <v>116</v>
      </c>
      <c r="H29" s="61" t="str">
        <f>IF(H27&lt;&gt;0,WORKDAY(H27,H28, holidays[]),"")</f>
        <v/>
      </c>
      <c r="I29" s="56"/>
      <c r="J29" s="86"/>
      <c r="K29" s="71"/>
      <c r="L29" s="67" t="s">
        <v>116</v>
      </c>
      <c r="M29" s="61" t="str">
        <f>IF(M27&lt;&gt;0,WORKDAY(M27,M28, holidays[]),"")</f>
        <v/>
      </c>
      <c r="N29" s="56"/>
      <c r="O29" s="86"/>
      <c r="P29" s="71"/>
      <c r="Q29" s="67" t="s">
        <v>116</v>
      </c>
      <c r="R29" s="61" t="str">
        <f>IF(R27&lt;&gt;0,WORKDAY(R27,R28, holidays[]),"")</f>
        <v/>
      </c>
      <c r="S29" s="56"/>
      <c r="T29" s="86"/>
      <c r="U29" s="71"/>
    </row>
    <row r="30" spans="2:21">
      <c r="B30" s="69"/>
      <c r="C30" s="56"/>
      <c r="D30" s="56"/>
      <c r="E30" s="86"/>
      <c r="F30" s="71"/>
      <c r="G30" s="69"/>
      <c r="H30" s="56"/>
      <c r="I30" s="56"/>
      <c r="J30" s="86"/>
      <c r="K30" s="71"/>
      <c r="L30" s="69"/>
      <c r="M30" s="56"/>
      <c r="N30" s="56"/>
      <c r="O30" s="86"/>
      <c r="P30" s="71"/>
      <c r="Q30" s="69"/>
      <c r="R30" s="56"/>
      <c r="S30" s="56"/>
      <c r="T30" s="86"/>
      <c r="U30" s="71"/>
    </row>
    <row r="31" spans="2:21">
      <c r="B31" s="89" t="s">
        <v>102</v>
      </c>
      <c r="C31" s="80"/>
      <c r="D31" s="56"/>
      <c r="E31" s="86"/>
      <c r="F31" s="71"/>
      <c r="G31" s="89" t="s">
        <v>102</v>
      </c>
      <c r="H31" s="80"/>
      <c r="I31" s="56"/>
      <c r="J31" s="86"/>
      <c r="K31" s="71"/>
      <c r="L31" s="89" t="s">
        <v>102</v>
      </c>
      <c r="M31" s="80"/>
      <c r="N31" s="56"/>
      <c r="O31" s="86"/>
      <c r="P31" s="71"/>
      <c r="Q31" s="89" t="s">
        <v>102</v>
      </c>
      <c r="R31" s="80"/>
      <c r="S31" s="56"/>
      <c r="T31" s="86"/>
      <c r="U31" s="71"/>
    </row>
    <row r="32" spans="2:21">
      <c r="B32" s="72" t="s">
        <v>103</v>
      </c>
      <c r="C32" s="81"/>
      <c r="D32" s="56"/>
      <c r="E32" s="86"/>
      <c r="F32" s="71"/>
      <c r="G32" s="72" t="s">
        <v>103</v>
      </c>
      <c r="H32" s="81"/>
      <c r="I32" s="56"/>
      <c r="J32" s="86"/>
      <c r="K32" s="71"/>
      <c r="L32" s="72" t="s">
        <v>103</v>
      </c>
      <c r="M32" s="81"/>
      <c r="N32" s="56"/>
      <c r="O32" s="86"/>
      <c r="P32" s="71"/>
      <c r="Q32" s="72" t="s">
        <v>103</v>
      </c>
      <c r="R32" s="81"/>
      <c r="S32" s="56"/>
      <c r="T32" s="86"/>
      <c r="U32" s="71"/>
    </row>
    <row r="33" spans="2:21">
      <c r="B33" s="90" t="s">
        <v>107</v>
      </c>
      <c r="C33" s="82"/>
      <c r="D33" s="56"/>
      <c r="E33" s="87"/>
      <c r="F33" s="91"/>
      <c r="G33" s="90" t="s">
        <v>107</v>
      </c>
      <c r="H33" s="82"/>
      <c r="I33" s="56"/>
      <c r="J33" s="87"/>
      <c r="K33" s="91"/>
      <c r="L33" s="90" t="s">
        <v>107</v>
      </c>
      <c r="M33" s="82"/>
      <c r="N33" s="56"/>
      <c r="O33" s="87"/>
      <c r="P33" s="91"/>
      <c r="Q33" s="90" t="s">
        <v>107</v>
      </c>
      <c r="R33" s="82"/>
      <c r="S33" s="56"/>
      <c r="T33" s="87"/>
      <c r="U33" s="91"/>
    </row>
    <row r="34" spans="2:21">
      <c r="B34" s="69"/>
      <c r="C34" s="56"/>
      <c r="D34" s="56"/>
      <c r="E34" s="56"/>
      <c r="F34" s="71"/>
      <c r="G34" s="69"/>
      <c r="H34" s="56"/>
      <c r="I34" s="56"/>
      <c r="J34" s="56"/>
      <c r="K34" s="71"/>
      <c r="L34" s="69"/>
      <c r="M34" s="56"/>
      <c r="N34" s="56"/>
      <c r="O34" s="56"/>
      <c r="P34" s="71"/>
      <c r="Q34" s="69"/>
      <c r="R34" s="56"/>
      <c r="S34" s="56"/>
      <c r="T34" s="56"/>
      <c r="U34" s="71"/>
    </row>
    <row r="35" spans="2:21">
      <c r="B35" s="89" t="s">
        <v>118</v>
      </c>
      <c r="C35" s="80"/>
      <c r="D35" s="56"/>
      <c r="E35" s="79" t="s">
        <v>111</v>
      </c>
      <c r="F35" s="92"/>
      <c r="G35" s="89" t="s">
        <v>118</v>
      </c>
      <c r="H35" s="80"/>
      <c r="I35" s="56"/>
      <c r="J35" s="79" t="s">
        <v>111</v>
      </c>
      <c r="K35" s="92"/>
      <c r="L35" s="89" t="s">
        <v>118</v>
      </c>
      <c r="M35" s="80"/>
      <c r="N35" s="56"/>
      <c r="O35" s="79" t="s">
        <v>111</v>
      </c>
      <c r="P35" s="92"/>
      <c r="Q35" s="89" t="s">
        <v>118</v>
      </c>
      <c r="R35" s="80"/>
      <c r="S35" s="56"/>
      <c r="T35" s="79" t="s">
        <v>111</v>
      </c>
      <c r="U35" s="92"/>
    </row>
    <row r="36" spans="2:21" ht="15.75" customHeight="1">
      <c r="B36" s="72" t="s">
        <v>112</v>
      </c>
      <c r="C36" s="81"/>
      <c r="D36" s="56"/>
      <c r="E36" s="84" t="s">
        <v>115</v>
      </c>
      <c r="F36" s="71"/>
      <c r="G36" s="72" t="s">
        <v>112</v>
      </c>
      <c r="H36" s="81"/>
      <c r="I36" s="56"/>
      <c r="J36" s="84" t="s">
        <v>115</v>
      </c>
      <c r="K36" s="71"/>
      <c r="L36" s="72" t="s">
        <v>112</v>
      </c>
      <c r="M36" s="81"/>
      <c r="N36" s="56"/>
      <c r="O36" s="84" t="s">
        <v>115</v>
      </c>
      <c r="P36" s="71"/>
      <c r="Q36" s="72" t="s">
        <v>112</v>
      </c>
      <c r="R36" s="81"/>
      <c r="S36" s="56"/>
      <c r="T36" s="84" t="s">
        <v>115</v>
      </c>
      <c r="U36" s="71"/>
    </row>
    <row r="37" spans="2:21" ht="15.75" customHeight="1">
      <c r="B37" s="72" t="s">
        <v>113</v>
      </c>
      <c r="C37" s="81"/>
      <c r="D37" s="56"/>
      <c r="E37" s="84" t="s">
        <v>178</v>
      </c>
      <c r="F37" s="71"/>
      <c r="G37" s="72" t="s">
        <v>113</v>
      </c>
      <c r="H37" s="81"/>
      <c r="I37" s="56"/>
      <c r="J37" s="84" t="s">
        <v>178</v>
      </c>
      <c r="K37" s="71"/>
      <c r="L37" s="72" t="s">
        <v>113</v>
      </c>
      <c r="M37" s="81"/>
      <c r="N37" s="56"/>
      <c r="O37" s="84" t="s">
        <v>178</v>
      </c>
      <c r="P37" s="71"/>
      <c r="Q37" s="72" t="s">
        <v>113</v>
      </c>
      <c r="R37" s="81"/>
      <c r="S37" s="56"/>
      <c r="T37" s="84" t="s">
        <v>178</v>
      </c>
      <c r="U37" s="71"/>
    </row>
    <row r="38" spans="2:21">
      <c r="B38" s="72" t="s">
        <v>119</v>
      </c>
      <c r="C38" s="83"/>
      <c r="D38" s="56"/>
      <c r="E38" s="85" t="s">
        <v>114</v>
      </c>
      <c r="F38" s="93"/>
      <c r="G38" s="72" t="s">
        <v>119</v>
      </c>
      <c r="H38" s="83"/>
      <c r="I38" s="56"/>
      <c r="J38" s="85" t="s">
        <v>114</v>
      </c>
      <c r="K38" s="93"/>
      <c r="L38" s="72" t="s">
        <v>119</v>
      </c>
      <c r="M38" s="83"/>
      <c r="N38" s="56"/>
      <c r="O38" s="85" t="s">
        <v>114</v>
      </c>
      <c r="P38" s="93"/>
      <c r="Q38" s="72" t="s">
        <v>119</v>
      </c>
      <c r="R38" s="83"/>
      <c r="S38" s="56"/>
      <c r="T38" s="85" t="s">
        <v>114</v>
      </c>
      <c r="U38" s="93"/>
    </row>
    <row r="39" spans="2:21" ht="15.75" thickBot="1">
      <c r="B39" s="73" t="s">
        <v>114</v>
      </c>
      <c r="C39" s="94"/>
      <c r="D39" s="74"/>
      <c r="E39" s="74"/>
      <c r="F39" s="75"/>
      <c r="G39" s="73" t="s">
        <v>114</v>
      </c>
      <c r="H39" s="94"/>
      <c r="I39" s="74"/>
      <c r="J39" s="74"/>
      <c r="K39" s="75"/>
      <c r="L39" s="73" t="s">
        <v>114</v>
      </c>
      <c r="M39" s="94"/>
      <c r="N39" s="74"/>
      <c r="O39" s="74"/>
      <c r="P39" s="75"/>
      <c r="Q39" s="73" t="s">
        <v>114</v>
      </c>
      <c r="R39" s="94"/>
      <c r="S39" s="74"/>
      <c r="T39" s="74"/>
      <c r="U39" s="75"/>
    </row>
    <row r="40" spans="2:21" ht="15.75" thickTop="1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51" priority="165" operator="notEqual">
      <formula>""</formula>
    </cfRule>
  </conditionalFormatting>
  <conditionalFormatting sqref="F23:H23 U6 U23 K23:M23 P23:R23 B23:C23 B6:C6 F6:H6 K6:M6 P6:R6">
    <cfRule type="cellIs" dxfId="50" priority="154" operator="notEqual">
      <formula>""</formula>
    </cfRule>
  </conditionalFormatting>
  <conditionalFormatting sqref="B7:F7 B8 E8:E9 B10:B12 E10 B18 B18 B18:C18 E18:F18 B14:C14 E10:F10">
    <cfRule type="expression" dxfId="49" priority="140">
      <formula>$F$6="GREEN"</formula>
    </cfRule>
  </conditionalFormatting>
  <conditionalFormatting sqref="B7:F7 B8 E8:E9 E10:F10 B10:B12 B14:C14 E18:F18 B18:C18">
    <cfRule type="expression" dxfId="48" priority="141">
      <formula>$F$6="ORANGE"</formula>
    </cfRule>
  </conditionalFormatting>
  <conditionalFormatting sqref="B7:F7 B8 E8:E9 E10:F10 B10:B12 B14:C14 B18:C18 E18:F18">
    <cfRule type="expression" dxfId="47" priority="142">
      <formula>$F$6="RED"</formula>
    </cfRule>
    <cfRule type="expression" dxfId="46" priority="143">
      <formula>$F$6="YELLOW"</formula>
    </cfRule>
  </conditionalFormatting>
  <conditionalFormatting sqref="G7:K7 G8 J8:J9 J10:K10 G10:G12 G14:H14 G18:H18 J18:K18">
    <cfRule type="expression" dxfId="45" priority="29">
      <formula>$K$6="GREEN"</formula>
    </cfRule>
    <cfRule type="expression" dxfId="44" priority="28">
      <formula>$K$6="YELLOW"</formula>
    </cfRule>
    <cfRule type="expression" dxfId="43" priority="27">
      <formula>$K$6="ORANGE"</formula>
    </cfRule>
    <cfRule type="expression" dxfId="42" priority="25">
      <formula>$K$6="RED"</formula>
    </cfRule>
  </conditionalFormatting>
  <conditionalFormatting sqref="L7:P7 L8 O8:O9 O10:P10 L10:L12 L14:M14 L18:M18 O18:P18">
    <cfRule type="expression" dxfId="41" priority="21">
      <formula>$P$6="RED"</formula>
    </cfRule>
    <cfRule type="expression" dxfId="40" priority="22">
      <formula>$P$6="ORANGE"</formula>
    </cfRule>
    <cfRule type="expression" dxfId="39" priority="23">
      <formula>$P$6="YELLOW"</formula>
    </cfRule>
    <cfRule type="expression" dxfId="38" priority="24">
      <formula>$P$6="GREEN"</formula>
    </cfRule>
  </conditionalFormatting>
  <conditionalFormatting sqref="Q7:U7 Q8 T8:T9 T10:U10 Q10:Q12 Q14:R14 Q18:R18 T18:U18">
    <cfRule type="expression" dxfId="37" priority="17">
      <formula>$U$6="RED"</formula>
    </cfRule>
    <cfRule type="expression" dxfId="36" priority="18">
      <formula>$U$6="ORANGE"</formula>
    </cfRule>
    <cfRule type="expression" dxfId="35" priority="19">
      <formula>$U$6="YELLOW"</formula>
    </cfRule>
    <cfRule type="expression" dxfId="34" priority="20">
      <formula>$U$6="GREEN"</formula>
    </cfRule>
  </conditionalFormatting>
  <conditionalFormatting sqref="B24:F24 B25 E25:E26 E27:F27 B27:B29 B31:C31 B35:C35 E35:F35">
    <cfRule type="expression" dxfId="33" priority="13">
      <formula>$F$23="RED"</formula>
    </cfRule>
    <cfRule type="expression" dxfId="32" priority="14">
      <formula>$F$23="ORANGE"</formula>
    </cfRule>
    <cfRule type="expression" dxfId="31" priority="15">
      <formula>$F$23="YELLOW"</formula>
    </cfRule>
    <cfRule type="expression" dxfId="30" priority="16">
      <formula>$F$23="GREEN"</formula>
    </cfRule>
  </conditionalFormatting>
  <conditionalFormatting sqref="G24:K24 G25 J25:J26 J27:K27 G27:G29 G31:H31 G35:H35 J35:K35">
    <cfRule type="expression" dxfId="29" priority="9">
      <formula>$K$23="RED"</formula>
    </cfRule>
    <cfRule type="expression" dxfId="28" priority="10">
      <formula>$K$23="ORANGE"</formula>
    </cfRule>
    <cfRule type="expression" dxfId="27" priority="11">
      <formula>$K$23="YELLOW"</formula>
    </cfRule>
    <cfRule type="expression" dxfId="26" priority="12">
      <formula>$K$23="GREEN"</formula>
    </cfRule>
  </conditionalFormatting>
  <conditionalFormatting sqref="L24:P24 L25 O25:O26 O27:P27 L27:L29 L31:M31 L35:M35 O35:P35">
    <cfRule type="expression" dxfId="25" priority="5">
      <formula>$P$23="RED"</formula>
    </cfRule>
    <cfRule type="expression" dxfId="24" priority="6">
      <formula>$P$23="ORANGE"</formula>
    </cfRule>
    <cfRule type="expression" dxfId="23" priority="7">
      <formula>$P$23="YELLOW"</formula>
    </cfRule>
    <cfRule type="expression" dxfId="22" priority="8">
      <formula>$P$23="GREEN"</formula>
    </cfRule>
  </conditionalFormatting>
  <conditionalFormatting sqref="Q24:U24 Q25 T25:T26 T27:U27 Q27:Q29 Q31:R31 Q35:R35 T35:U35">
    <cfRule type="expression" dxfId="21" priority="1">
      <formula>$U$23="RED"</formula>
    </cfRule>
    <cfRule type="expression" dxfId="20" priority="2">
      <formula>$U$23="ORANGE"</formula>
    </cfRule>
    <cfRule type="expression" dxfId="19" priority="3">
      <formula>$U$23="YELLOW"</formula>
    </cfRule>
    <cfRule type="expression" dxfId="18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control shapeId="1030" r:id="rId4" name="ddB1Task1"/>
    <control shapeId="1031" r:id="rId5" name="cbB1Task1"/>
    <control shapeId="1032" r:id="rId6" name="ddB1Task2"/>
    <control shapeId="1033" r:id="rId7" name="cbB1Task2"/>
    <control shapeId="1034" r:id="rId8" name="ddB1Task3"/>
    <control shapeId="1035" r:id="rId9" name="cbB1Task3"/>
    <control shapeId="1036" r:id="rId10" name="ddB1Task4"/>
    <control shapeId="1037" r:id="rId11" name="cbB1Task4"/>
    <control shapeId="1038" r:id="rId12" name="ddB1Task5"/>
    <control shapeId="1039" r:id="rId13" name="cbB1Task5"/>
    <control shapeId="1053" r:id="rId14" name="ddB1PartsProvider"/>
    <control shapeId="1054" r:id="rId15" name="ddB1PartType"/>
    <control shapeId="1056" r:id="rId16" name="ddB1Customer"/>
    <control shapeId="1057" r:id="rId17" name="ddB1EngineModels"/>
    <control shapeId="1058" r:id="rId18" name="ddB1EngineMake"/>
    <control shapeId="1059" r:id="rId19" name="ddB1FrameModel"/>
    <control shapeId="1060" r:id="rId20" name="ddB1FrameMake"/>
    <control shapeId="1099" r:id="rId21" name="ComboBox1"/>
    <control shapeId="1100" r:id="rId22" name="CheckBox1"/>
    <control shapeId="1101" r:id="rId23" name="ComboBox2"/>
    <control shapeId="1102" r:id="rId24" name="CheckBox2"/>
    <control shapeId="1103" r:id="rId25" name="ComboBox3"/>
    <control shapeId="1104" r:id="rId26" name="CheckBox3"/>
    <control shapeId="1105" r:id="rId27" name="ComboBox4"/>
    <control shapeId="1106" r:id="rId28" name="CheckBox4"/>
    <control shapeId="1107" r:id="rId29" name="ComboBox5"/>
    <control shapeId="1108" r:id="rId30" name="CheckBox5"/>
    <control shapeId="1109" r:id="rId31" name="ComboBox6"/>
    <control shapeId="1110" r:id="rId32" name="ComboBox7"/>
    <control shapeId="1111" r:id="rId33" name="ComboBox8"/>
    <control shapeId="1112" r:id="rId34" name="ComboBox9"/>
    <control shapeId="1113" r:id="rId35" name="ComboBox10"/>
    <control shapeId="1114" r:id="rId36" name="ComboBox11"/>
    <control shapeId="1115" r:id="rId37" name="ComboBox12"/>
    <control shapeId="1116" r:id="rId38" name="ComboBox13"/>
    <control shapeId="1117" r:id="rId39" name="CheckBox6"/>
    <control shapeId="1118" r:id="rId40" name="ComboBox14"/>
    <control shapeId="1119" r:id="rId41" name="CheckBox7"/>
    <control shapeId="1120" r:id="rId42" name="ComboBox15"/>
    <control shapeId="1121" r:id="rId43" name="CheckBox8"/>
    <control shapeId="1122" r:id="rId44" name="ComboBox16"/>
    <control shapeId="1123" r:id="rId45" name="CheckBox9"/>
    <control shapeId="1124" r:id="rId46" name="ComboBox17"/>
    <control shapeId="1125" r:id="rId47" name="CheckBox10"/>
    <control shapeId="1128" r:id="rId48" name="ComboBox20"/>
    <control shapeId="1129" r:id="rId49" name="ComboBox21"/>
    <control shapeId="1130" r:id="rId50" name="ComboBox22"/>
    <control shapeId="1131" r:id="rId51" name="ComboBox23"/>
    <control shapeId="1132" r:id="rId52" name="ComboBox24"/>
    <control shapeId="1133" r:id="rId53" name="ComboBox25"/>
    <control shapeId="1134" r:id="rId54" name="CheckBox11"/>
    <control shapeId="1135" r:id="rId55" name="ComboBox26"/>
    <control shapeId="1136" r:id="rId56" name="CheckBox12"/>
    <control shapeId="1137" r:id="rId57" name="ComboBox27"/>
    <control shapeId="1138" r:id="rId58" name="CheckBox13"/>
    <control shapeId="1139" r:id="rId59" name="ComboBox28"/>
    <control shapeId="1140" r:id="rId60" name="CheckBox14"/>
    <control shapeId="1141" r:id="rId61" name="ComboBox29"/>
    <control shapeId="1142" r:id="rId62" name="CheckBox15"/>
    <control shapeId="1143" r:id="rId63" name="ComboBox30"/>
    <control shapeId="1144" r:id="rId64" name="ComboBox31"/>
    <control shapeId="1145" r:id="rId65" name="ComboBox32"/>
    <control shapeId="1146" r:id="rId66" name="ComboBox33"/>
    <control shapeId="1147" r:id="rId67" name="ComboBox34"/>
    <control shapeId="1148" r:id="rId68" name="ComboBox35"/>
    <control shapeId="1149" r:id="rId69" name="ComboBox36"/>
    <control shapeId="1218" r:id="rId70" name="ddB2Task1"/>
    <control shapeId="1219" r:id="rId71" name="cbB2Task1"/>
    <control shapeId="1220" r:id="rId72" name="ddB2Task2"/>
    <control shapeId="1221" r:id="rId73" name="cbB2Task2"/>
    <control shapeId="1222" r:id="rId74" name="ddB2Task3"/>
    <control shapeId="1223" r:id="rId75" name="cbB2Task3"/>
    <control shapeId="1224" r:id="rId76" name="ddB2Task4"/>
    <control shapeId="1225" r:id="rId77" name="cbB2Task4"/>
    <control shapeId="1226" r:id="rId78" name="ddB2Task5"/>
    <control shapeId="1227" r:id="rId79" name="cbB2Task5"/>
    <control shapeId="1228" r:id="rId80" name="ddB2PartsProvider"/>
    <control shapeId="1229" r:id="rId81" name="ddB2PartType"/>
    <control shapeId="1230" r:id="rId82" name="ddB2Customer"/>
    <control shapeId="1231" r:id="rId83" name="ddB2EngineModels"/>
    <control shapeId="1232" r:id="rId84" name="ddB2EngineMake"/>
    <control shapeId="1233" r:id="rId85" name="ddB2FrameModel"/>
    <control shapeId="1234" r:id="rId86" name="ddB2FrameMake"/>
    <control shapeId="1235" r:id="rId87" name="ddB3Task1"/>
    <control shapeId="1236" r:id="rId88" name="cbB3Task1"/>
    <control shapeId="1237" r:id="rId89" name="ddB3Task2"/>
    <control shapeId="1238" r:id="rId90" name="cbB3Task2"/>
    <control shapeId="1239" r:id="rId91" name="ddB3Task3"/>
    <control shapeId="1240" r:id="rId92" name="cbB3Task3"/>
    <control shapeId="1241" r:id="rId93" name="ddB3Task4"/>
    <control shapeId="1242" r:id="rId94" name="cbB3Task4"/>
    <control shapeId="1243" r:id="rId95" name="ddB3Task5"/>
    <control shapeId="1244" r:id="rId96" name="cbB3Task5"/>
    <control shapeId="1245" r:id="rId97" name="ddB3PartsProvider"/>
    <control shapeId="1246" r:id="rId98" name="ddB3PartType"/>
    <control shapeId="1247" r:id="rId99" name="ddB3Customer"/>
    <control shapeId="1248" r:id="rId100" name="ddB3EngineModels"/>
    <control shapeId="1249" r:id="rId101" name="ddB3EngineMake"/>
    <control shapeId="1250" r:id="rId102" name="ddB3FrameModel"/>
    <control shapeId="1251" r:id="rId103" name="ddB3FrameMake"/>
    <control shapeId="1252" r:id="rId104" name="ddB4Task1"/>
    <control shapeId="1253" r:id="rId105" name="cbB4Task1"/>
    <control shapeId="1254" r:id="rId106" name="ddB4Task2"/>
    <control shapeId="1255" r:id="rId107" name="cbB4Task2"/>
    <control shapeId="1256" r:id="rId108" name="ddB4Task3"/>
    <control shapeId="1257" r:id="rId109" name="cbB4Task3"/>
    <control shapeId="1258" r:id="rId110" name="ddB4Task4"/>
    <control shapeId="1259" r:id="rId111" name="cbB4Task4"/>
    <control shapeId="1260" r:id="rId112" name="ddB4Task5"/>
    <control shapeId="1261" r:id="rId113" name="cbB4Task5"/>
    <control shapeId="1262" r:id="rId114" name="ddB4PartsProvider"/>
    <control shapeId="1263" r:id="rId115" name="ddB4PartType"/>
    <control shapeId="1264" r:id="rId116" name="ddB4Customer"/>
    <control shapeId="1265" r:id="rId117" name="ddB4EngineModels"/>
    <control shapeId="1266" r:id="rId118" name="ddB4EngineMake"/>
    <control shapeId="1267" r:id="rId119" name="ddB4FrameModel"/>
    <control shapeId="1268" r:id="rId120" name="ddB4FrameMake"/>
    <control shapeId="1269" r:id="rId121" name="ddB5Task1"/>
    <control shapeId="1270" r:id="rId122" name="cbB5Task1"/>
    <control shapeId="1271" r:id="rId123" name="ddB5Task2"/>
    <control shapeId="1272" r:id="rId124" name="cbB5Task2"/>
    <control shapeId="1273" r:id="rId125" name="ddB5Task3"/>
    <control shapeId="1274" r:id="rId126" name="cbB5Task3"/>
    <control shapeId="1275" r:id="rId127" name="ddB5Task4"/>
    <control shapeId="1276" r:id="rId128" name="cbB5Task4"/>
    <control shapeId="1277" r:id="rId129" name="ddB5Task5"/>
    <control shapeId="1278" r:id="rId130" name="cbB5Task5"/>
    <control shapeId="1279" r:id="rId131" name="ddB5PartsProvider"/>
    <control shapeId="1280" r:id="rId132" name="ddB5PartType"/>
    <control shapeId="1281" r:id="rId133" name="ddB5Customer"/>
    <control shapeId="1282" r:id="rId134" name="ddB5EngineModels"/>
    <control shapeId="1283" r:id="rId135" name="ddB5EngineMake"/>
    <control shapeId="1284" r:id="rId136" name="ddB5FrameModel"/>
    <control shapeId="1285" r:id="rId137" name="ddB5FrameMake"/>
    <control shapeId="1286" r:id="rId138" name="ComboBox85"/>
    <control shapeId="1287" r:id="rId139" name="CheckBox36"/>
    <control shapeId="1288" r:id="rId140" name="ComboBox86"/>
    <control shapeId="1289" r:id="rId141" name="CheckBox37"/>
    <control shapeId="1290" r:id="rId142" name="ComboBox87"/>
    <control shapeId="1291" r:id="rId143" name="CheckBox38"/>
    <control shapeId="1292" r:id="rId144" name="ComboBox88"/>
    <control shapeId="1293" r:id="rId145" name="CheckBox39"/>
    <control shapeId="1294" r:id="rId146" name="ComboBox89"/>
    <control shapeId="1295" r:id="rId147" name="CheckBox40"/>
    <control shapeId="1296" r:id="rId148" name="ComboBox90"/>
    <control shapeId="1297" r:id="rId149" name="ComboBox91"/>
    <control shapeId="1298" r:id="rId150" name="ComboBox92"/>
    <control shapeId="1299" r:id="rId151" name="ComboBox93"/>
    <control shapeId="1300" r:id="rId152" name="ComboBox94"/>
    <control shapeId="1301" r:id="rId153" name="ComboBox95"/>
    <control shapeId="1302" r:id="rId154" name="ComboBox96"/>
    <control shapeId="1303" r:id="rId155" name="ComboBox97"/>
    <control shapeId="1304" r:id="rId156" name="CheckBox41"/>
    <control shapeId="1305" r:id="rId157" name="ComboBox98"/>
    <control shapeId="1306" r:id="rId158" name="CheckBox42"/>
    <control shapeId="1307" r:id="rId159" name="ComboBox99"/>
    <control shapeId="1308" r:id="rId160" name="CheckBox43"/>
    <control shapeId="1309" r:id="rId161" name="ComboBox100"/>
    <control shapeId="1310" r:id="rId162" name="CheckBox44"/>
    <control shapeId="1311" r:id="rId163" name="ComboBox101"/>
    <control shapeId="1312" r:id="rId164" name="CheckBox45"/>
    <control shapeId="1315" r:id="rId165" name="ComboBox104"/>
    <control shapeId="1316" r:id="rId166" name="ComboBox105"/>
    <control shapeId="1317" r:id="rId167" name="ComboBox106"/>
    <control shapeId="1318" r:id="rId168" name="ComboBox107"/>
    <control shapeId="1319" r:id="rId169" name="ComboBox108"/>
    <control shapeId="1320" r:id="rId170" name="ComboBox109"/>
    <control shapeId="1321" r:id="rId171" name="CheckBox46"/>
    <control shapeId="1322" r:id="rId172" name="ComboBox110"/>
    <control shapeId="1323" r:id="rId173" name="CheckBox47"/>
    <control shapeId="1324" r:id="rId174" name="ComboBox111"/>
    <control shapeId="1325" r:id="rId175" name="CheckBox48"/>
    <control shapeId="1326" r:id="rId176" name="ComboBox112"/>
    <control shapeId="1327" r:id="rId177" name="CheckBox49"/>
    <control shapeId="1328" r:id="rId178" name="ComboBox113"/>
    <control shapeId="1329" r:id="rId179" name="CheckBox50"/>
    <control shapeId="1330" r:id="rId180" name="ComboBox114"/>
    <control shapeId="1331" r:id="rId181" name="ComboBox115"/>
    <control shapeId="1332" r:id="rId182" name="ComboBox116"/>
    <control shapeId="1333" r:id="rId183" name="ComboBox117"/>
    <control shapeId="1334" r:id="rId184" name="ComboBox118"/>
    <control shapeId="1335" r:id="rId185" name="ComboBox119"/>
    <control shapeId="1336" r:id="rId186" name="ComboBox120"/>
    <control shapeId="1337" r:id="rId187" name="ddB6Task1"/>
    <control shapeId="1338" r:id="rId188" name="cbB6Task1"/>
    <control shapeId="1339" r:id="rId189" name="ddB6Task2"/>
    <control shapeId="1340" r:id="rId190" name="cbB6Task2"/>
    <control shapeId="1341" r:id="rId191" name="ddB6Task3"/>
    <control shapeId="1342" r:id="rId192" name="cbB6Task3"/>
    <control shapeId="1343" r:id="rId193" name="ddB6Task4"/>
    <control shapeId="1344" r:id="rId194" name="cbB6Task4"/>
    <control shapeId="1345" r:id="rId195" name="ddB6Task5"/>
    <control shapeId="1346" r:id="rId196" name="cbB6Task5"/>
    <control shapeId="1347" r:id="rId197" name="ddB6PartsProvider"/>
    <control shapeId="1348" r:id="rId198" name="ddB6PartType"/>
    <control shapeId="1349" r:id="rId199" name="ddB6Customer"/>
    <control shapeId="1350" r:id="rId200" name="ddB6EngineModels"/>
    <control shapeId="1351" r:id="rId201" name="ddB6EngineMake"/>
    <control shapeId="1352" r:id="rId202" name="ddB6FrameModel"/>
    <control shapeId="1353" r:id="rId203" name="ddB6FrameMake"/>
    <control shapeId="1354" r:id="rId204" name="ddB7Task1"/>
    <control shapeId="1355" r:id="rId205" name="cbB7Task1"/>
    <control shapeId="1356" r:id="rId206" name="ddB7Task2"/>
    <control shapeId="1357" r:id="rId207" name="cbB7Task2"/>
    <control shapeId="1358" r:id="rId208" name="ddB7Task3"/>
    <control shapeId="1359" r:id="rId209" name="cbB7Task3"/>
    <control shapeId="1360" r:id="rId210" name="ddB7Task4"/>
    <control shapeId="1361" r:id="rId211" name="cbB7Task4"/>
    <control shapeId="1362" r:id="rId212" name="ddB7Task5"/>
    <control shapeId="1363" r:id="rId213" name="cbB7Task5"/>
    <control shapeId="1364" r:id="rId214" name="ddB7PartsProvider"/>
    <control shapeId="1365" r:id="rId215" name="ddB7PartType"/>
    <control shapeId="1366" r:id="rId216" name="ddB7Customer"/>
    <control shapeId="1367" r:id="rId217" name="ddB7EngineModels"/>
    <control shapeId="1368" r:id="rId218" name="ddB7EngineMake"/>
    <control shapeId="1369" r:id="rId219" name="ddB7FrameModel"/>
    <control shapeId="1370" r:id="rId220" name="ddB7FrameMake"/>
    <control shapeId="1371" r:id="rId221" name="ddB8Task1"/>
    <control shapeId="1372" r:id="rId222" name="cbB8Task1"/>
    <control shapeId="1373" r:id="rId223" name="ddB8Task2"/>
    <control shapeId="1374" r:id="rId224" name="cbB8Task2"/>
    <control shapeId="1375" r:id="rId225" name="ddB8Task3"/>
    <control shapeId="1376" r:id="rId226" name="cbB8Task3"/>
    <control shapeId="1377" r:id="rId227" name="ddB8Task4"/>
    <control shapeId="1378" r:id="rId228" name="cbB8Task4"/>
    <control shapeId="1379" r:id="rId229" name="ddB8Task5"/>
    <control shapeId="1380" r:id="rId230" name="cbB8Task5"/>
    <control shapeId="1381" r:id="rId231" name="ddB8PartsProvider"/>
    <control shapeId="1382" r:id="rId232" name="ddB8PartType"/>
    <control shapeId="1383" r:id="rId233" name="ddB8Customer"/>
    <control shapeId="1384" r:id="rId234" name="ddB8EngineModels"/>
    <control shapeId="1385" r:id="rId235" name="ddB8EngineMake"/>
    <control shapeId="1386" r:id="rId236" name="ddB8FrameModel"/>
    <control shapeId="1387" r:id="rId237" name="ddB8FrameMake"/>
    <control shapeId="1388" r:id="rId238" name="B1Clear"/>
    <control shapeId="1389" r:id="rId239" name="B2Clear"/>
    <control shapeId="1390" r:id="rId240" name="B3Clear"/>
    <control shapeId="1391" r:id="rId241" name="B4Clear"/>
    <control shapeId="1392" r:id="rId242" name="B5Clear"/>
    <control shapeId="1393" r:id="rId243" name="B6Clear"/>
    <control shapeId="1394" r:id="rId244" name="B7Clear"/>
    <control shapeId="1396" r:id="rId245" name="B8Clear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T78"/>
  <sheetViews>
    <sheetView showGridLines="0" workbookViewId="0">
      <selection activeCell="E5" sqref="E5"/>
    </sheetView>
  </sheetViews>
  <sheetFormatPr defaultRowHeight="15"/>
  <cols>
    <col min="1" max="1" width="29.7109375" style="58" bestFit="1" customWidth="1"/>
    <col min="2" max="2" width="3.28515625" customWidth="1"/>
    <col min="3" max="3" width="16" customWidth="1"/>
    <col min="4" max="4" width="3.28515625" customWidth="1"/>
    <col min="5" max="5" width="11.85546875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>
      <c r="A1" s="57" t="s">
        <v>99</v>
      </c>
      <c r="C1" t="s">
        <v>105</v>
      </c>
      <c r="E1" t="s">
        <v>108</v>
      </c>
      <c r="G1" t="s">
        <v>123</v>
      </c>
      <c r="I1" s="63" t="s">
        <v>124</v>
      </c>
      <c r="K1" t="s">
        <v>179</v>
      </c>
      <c r="M1" t="s">
        <v>180</v>
      </c>
      <c r="O1" t="s">
        <v>181</v>
      </c>
      <c r="Q1" t="s">
        <v>182</v>
      </c>
      <c r="S1" t="s">
        <v>183</v>
      </c>
      <c r="T1" t="s">
        <v>184</v>
      </c>
    </row>
    <row r="2" spans="1:20" ht="15.75">
      <c r="A2" s="57" t="s">
        <v>101</v>
      </c>
      <c r="C2" t="s">
        <v>104</v>
      </c>
      <c r="E2" t="s">
        <v>203</v>
      </c>
      <c r="G2" s="99" t="s">
        <v>122</v>
      </c>
      <c r="I2" s="63" t="s">
        <v>125</v>
      </c>
      <c r="K2" s="100" t="s">
        <v>271</v>
      </c>
      <c r="M2" s="100" t="s">
        <v>276</v>
      </c>
      <c r="O2" s="100" t="s">
        <v>281</v>
      </c>
      <c r="Q2" s="101">
        <v>42370</v>
      </c>
      <c r="S2">
        <v>-1000</v>
      </c>
      <c r="T2" t="s">
        <v>185</v>
      </c>
    </row>
    <row r="3" spans="1:20" ht="15.75">
      <c r="A3" s="57" t="s">
        <v>100</v>
      </c>
      <c r="C3" t="s">
        <v>106</v>
      </c>
      <c r="E3" t="s">
        <v>110</v>
      </c>
      <c r="G3" s="99" t="s">
        <v>120</v>
      </c>
      <c r="I3" s="63" t="s">
        <v>267</v>
      </c>
      <c r="K3" s="100" t="s">
        <v>272</v>
      </c>
      <c r="M3" s="100" t="s">
        <v>277</v>
      </c>
      <c r="O3" s="100" t="s">
        <v>282</v>
      </c>
      <c r="Q3" s="101">
        <v>42520</v>
      </c>
      <c r="S3" s="56">
        <v>2</v>
      </c>
      <c r="T3" s="56" t="s">
        <v>187</v>
      </c>
    </row>
    <row r="4" spans="1:20" ht="15.75">
      <c r="A4" s="57" t="s">
        <v>191</v>
      </c>
      <c r="C4" t="s">
        <v>202</v>
      </c>
      <c r="E4" t="s">
        <v>109</v>
      </c>
      <c r="G4" s="99" t="s">
        <v>121</v>
      </c>
      <c r="I4" s="63" t="s">
        <v>126</v>
      </c>
      <c r="K4" s="100" t="s">
        <v>273</v>
      </c>
      <c r="M4" s="100" t="s">
        <v>223</v>
      </c>
      <c r="O4" s="100" t="s">
        <v>283</v>
      </c>
      <c r="Q4" s="101">
        <v>42555</v>
      </c>
      <c r="S4" s="56">
        <v>4</v>
      </c>
      <c r="T4" s="56" t="s">
        <v>186</v>
      </c>
    </row>
    <row r="5" spans="1:20" ht="15.75">
      <c r="A5" s="57" t="s">
        <v>90</v>
      </c>
      <c r="E5" t="s">
        <v>204</v>
      </c>
      <c r="G5" s="99" t="s">
        <v>205</v>
      </c>
      <c r="I5" s="63" t="s">
        <v>127</v>
      </c>
      <c r="K5" s="100" t="s">
        <v>274</v>
      </c>
      <c r="M5" s="100" t="s">
        <v>278</v>
      </c>
      <c r="O5" s="100" t="s">
        <v>284</v>
      </c>
      <c r="Q5" s="101">
        <v>42618</v>
      </c>
      <c r="S5" s="56">
        <v>7</v>
      </c>
      <c r="T5" s="56" t="s">
        <v>188</v>
      </c>
    </row>
    <row r="6" spans="1:20" ht="15.75">
      <c r="A6" s="57" t="s">
        <v>91</v>
      </c>
      <c r="G6" s="99" t="s">
        <v>206</v>
      </c>
      <c r="I6" s="63" t="s">
        <v>128</v>
      </c>
      <c r="K6" s="100" t="s">
        <v>275</v>
      </c>
      <c r="M6" s="100" t="s">
        <v>279</v>
      </c>
      <c r="O6" s="100" t="s">
        <v>285</v>
      </c>
      <c r="Q6" s="101">
        <v>42698</v>
      </c>
    </row>
    <row r="7" spans="1:20" ht="15.75">
      <c r="A7" s="57" t="s">
        <v>92</v>
      </c>
      <c r="G7" s="100" t="s">
        <v>207</v>
      </c>
      <c r="I7" s="63" t="s">
        <v>129</v>
      </c>
      <c r="M7" s="100" t="s">
        <v>280</v>
      </c>
      <c r="O7" s="100" t="s">
        <v>286</v>
      </c>
      <c r="Q7" s="101">
        <v>42729</v>
      </c>
    </row>
    <row r="8" spans="1:20" ht="15.75">
      <c r="A8" s="57" t="s">
        <v>93</v>
      </c>
      <c r="G8" s="100" t="s">
        <v>208</v>
      </c>
      <c r="I8" s="63" t="s">
        <v>130</v>
      </c>
      <c r="O8" s="100" t="s">
        <v>287</v>
      </c>
    </row>
    <row r="9" spans="1:20" ht="15.75">
      <c r="A9" s="57" t="s">
        <v>94</v>
      </c>
      <c r="G9" s="100" t="s">
        <v>209</v>
      </c>
      <c r="I9" s="63" t="s">
        <v>131</v>
      </c>
      <c r="O9" s="100" t="s">
        <v>288</v>
      </c>
    </row>
    <row r="10" spans="1:20" ht="15.75">
      <c r="A10" s="57" t="s">
        <v>192</v>
      </c>
      <c r="G10" s="100" t="s">
        <v>210</v>
      </c>
      <c r="I10" s="63" t="s">
        <v>132</v>
      </c>
      <c r="O10" s="100" t="s">
        <v>289</v>
      </c>
    </row>
    <row r="11" spans="1:20" ht="15.75">
      <c r="A11" s="57" t="s">
        <v>95</v>
      </c>
      <c r="G11" s="100" t="s">
        <v>210</v>
      </c>
      <c r="I11" s="63" t="s">
        <v>133</v>
      </c>
      <c r="O11" s="100" t="s">
        <v>290</v>
      </c>
    </row>
    <row r="12" spans="1:20" ht="15.75">
      <c r="A12" s="57" t="s">
        <v>96</v>
      </c>
      <c r="G12" s="100" t="s">
        <v>211</v>
      </c>
      <c r="I12" s="63" t="s">
        <v>134</v>
      </c>
      <c r="O12" s="100" t="s">
        <v>291</v>
      </c>
    </row>
    <row r="13" spans="1:20" ht="15.75">
      <c r="A13" s="57" t="s">
        <v>97</v>
      </c>
      <c r="G13" s="100" t="s">
        <v>212</v>
      </c>
      <c r="I13" s="63" t="s">
        <v>135</v>
      </c>
      <c r="O13" s="100" t="s">
        <v>292</v>
      </c>
    </row>
    <row r="14" spans="1:20" ht="15.75">
      <c r="A14" s="57" t="s">
        <v>193</v>
      </c>
      <c r="G14" s="100" t="s">
        <v>213</v>
      </c>
      <c r="I14" s="63" t="s">
        <v>136</v>
      </c>
      <c r="O14" s="100" t="s">
        <v>293</v>
      </c>
    </row>
    <row r="15" spans="1:20" ht="15.75">
      <c r="A15" s="57" t="s">
        <v>98</v>
      </c>
      <c r="G15" s="100" t="s">
        <v>214</v>
      </c>
      <c r="I15" s="63" t="s">
        <v>137</v>
      </c>
      <c r="O15" s="100" t="s">
        <v>293</v>
      </c>
    </row>
    <row r="16" spans="1:20" ht="15.75">
      <c r="A16" s="97" t="s">
        <v>194</v>
      </c>
      <c r="G16" s="100" t="s">
        <v>215</v>
      </c>
      <c r="I16" s="63" t="s">
        <v>138</v>
      </c>
      <c r="O16" s="100" t="s">
        <v>294</v>
      </c>
    </row>
    <row r="17" spans="1:15" ht="15.75">
      <c r="A17" s="57" t="s">
        <v>195</v>
      </c>
      <c r="G17" s="100" t="s">
        <v>216</v>
      </c>
      <c r="I17" s="63" t="s">
        <v>139</v>
      </c>
      <c r="O17" s="100" t="s">
        <v>295</v>
      </c>
    </row>
    <row r="18" spans="1:15" ht="15.75">
      <c r="A18" s="57" t="s">
        <v>196</v>
      </c>
      <c r="G18" s="100" t="s">
        <v>217</v>
      </c>
      <c r="I18" s="63" t="s">
        <v>268</v>
      </c>
      <c r="O18" s="100" t="s">
        <v>296</v>
      </c>
    </row>
    <row r="19" spans="1:15" ht="15.75">
      <c r="A19" s="57" t="s">
        <v>197</v>
      </c>
      <c r="G19" s="100" t="s">
        <v>218</v>
      </c>
      <c r="I19" s="63" t="s">
        <v>269</v>
      </c>
      <c r="O19" s="100" t="s">
        <v>297</v>
      </c>
    </row>
    <row r="20" spans="1:15" ht="15.75">
      <c r="A20" s="57" t="s">
        <v>198</v>
      </c>
      <c r="G20" s="100">
        <v>3508</v>
      </c>
      <c r="I20" s="63" t="s">
        <v>270</v>
      </c>
      <c r="O20" s="100" t="s">
        <v>298</v>
      </c>
    </row>
    <row r="21" spans="1:15" ht="15.75">
      <c r="A21" s="57" t="s">
        <v>199</v>
      </c>
      <c r="G21" s="100">
        <v>3512</v>
      </c>
      <c r="I21" s="63" t="s">
        <v>140</v>
      </c>
      <c r="O21" s="100" t="s">
        <v>299</v>
      </c>
    </row>
    <row r="22" spans="1:15" ht="15.75">
      <c r="A22" s="57" t="s">
        <v>200</v>
      </c>
      <c r="G22" s="100">
        <v>3516</v>
      </c>
      <c r="I22" s="63" t="s">
        <v>141</v>
      </c>
      <c r="O22" s="100" t="s">
        <v>300</v>
      </c>
    </row>
    <row r="23" spans="1:15" ht="15.75">
      <c r="A23" s="57" t="s">
        <v>201</v>
      </c>
      <c r="G23" s="100">
        <v>3520</v>
      </c>
      <c r="I23" s="63" t="s">
        <v>142</v>
      </c>
      <c r="O23" s="100" t="s">
        <v>301</v>
      </c>
    </row>
    <row r="24" spans="1:15">
      <c r="G24" s="100">
        <v>3606</v>
      </c>
      <c r="I24" s="63" t="s">
        <v>143</v>
      </c>
      <c r="O24" s="100" t="s">
        <v>302</v>
      </c>
    </row>
    <row r="25" spans="1:15">
      <c r="G25" s="100">
        <v>3608</v>
      </c>
      <c r="I25" s="63" t="s">
        <v>144</v>
      </c>
      <c r="O25" s="100" t="s">
        <v>303</v>
      </c>
    </row>
    <row r="26" spans="1:15">
      <c r="G26" s="100">
        <v>3612</v>
      </c>
      <c r="I26" s="63" t="s">
        <v>145</v>
      </c>
      <c r="O26" s="100" t="s">
        <v>304</v>
      </c>
    </row>
    <row r="27" spans="1:15">
      <c r="G27" s="100">
        <v>3616</v>
      </c>
      <c r="I27" s="63" t="s">
        <v>146</v>
      </c>
      <c r="O27" s="100" t="s">
        <v>305</v>
      </c>
    </row>
    <row r="28" spans="1:15">
      <c r="G28" s="100" t="s">
        <v>219</v>
      </c>
      <c r="I28" s="63" t="s">
        <v>147</v>
      </c>
      <c r="O28" s="100" t="s">
        <v>306</v>
      </c>
    </row>
    <row r="29" spans="1:15">
      <c r="G29" s="100" t="s">
        <v>220</v>
      </c>
      <c r="I29" s="63" t="s">
        <v>148</v>
      </c>
      <c r="O29" s="100" t="s">
        <v>307</v>
      </c>
    </row>
    <row r="30" spans="1:15">
      <c r="G30" s="100" t="s">
        <v>221</v>
      </c>
      <c r="I30" s="63" t="s">
        <v>149</v>
      </c>
      <c r="O30" s="100" t="s">
        <v>308</v>
      </c>
    </row>
    <row r="31" spans="1:15">
      <c r="G31" s="100" t="s">
        <v>222</v>
      </c>
      <c r="I31" s="63" t="s">
        <v>150</v>
      </c>
      <c r="O31" s="100" t="s">
        <v>309</v>
      </c>
    </row>
    <row r="32" spans="1:15">
      <c r="G32" s="100" t="s">
        <v>223</v>
      </c>
      <c r="I32" s="63" t="s">
        <v>151</v>
      </c>
    </row>
    <row r="33" spans="7:9">
      <c r="G33" s="100">
        <v>145</v>
      </c>
      <c r="I33" s="63" t="s">
        <v>152</v>
      </c>
    </row>
    <row r="34" spans="7:9">
      <c r="G34" s="100">
        <v>817</v>
      </c>
      <c r="I34" s="63" t="s">
        <v>153</v>
      </c>
    </row>
    <row r="35" spans="7:9">
      <c r="G35" s="100">
        <v>1197</v>
      </c>
      <c r="I35" s="63" t="s">
        <v>154</v>
      </c>
    </row>
    <row r="36" spans="7:9">
      <c r="G36" s="100" t="s">
        <v>224</v>
      </c>
      <c r="I36" s="63" t="s">
        <v>155</v>
      </c>
    </row>
    <row r="37" spans="7:9">
      <c r="G37" s="100" t="s">
        <v>225</v>
      </c>
      <c r="I37" s="63" t="s">
        <v>156</v>
      </c>
    </row>
    <row r="38" spans="7:9">
      <c r="G38" s="100" t="s">
        <v>226</v>
      </c>
      <c r="I38" s="63" t="s">
        <v>157</v>
      </c>
    </row>
    <row r="39" spans="7:9">
      <c r="G39" s="100" t="s">
        <v>227</v>
      </c>
      <c r="I39" s="63" t="s">
        <v>158</v>
      </c>
    </row>
    <row r="40" spans="7:9">
      <c r="G40" s="100" t="s">
        <v>228</v>
      </c>
      <c r="I40" s="63" t="s">
        <v>159</v>
      </c>
    </row>
    <row r="41" spans="7:9">
      <c r="G41" s="100" t="s">
        <v>229</v>
      </c>
      <c r="I41" s="63" t="s">
        <v>160</v>
      </c>
    </row>
    <row r="42" spans="7:9">
      <c r="G42" s="100" t="s">
        <v>230</v>
      </c>
      <c r="I42" s="63" t="s">
        <v>161</v>
      </c>
    </row>
    <row r="43" spans="7:9">
      <c r="G43" s="100" t="s">
        <v>231</v>
      </c>
      <c r="I43" s="63" t="s">
        <v>162</v>
      </c>
    </row>
    <row r="44" spans="7:9">
      <c r="G44" s="100" t="s">
        <v>232</v>
      </c>
      <c r="I44" s="63" t="s">
        <v>163</v>
      </c>
    </row>
    <row r="45" spans="7:9">
      <c r="G45" s="100" t="s">
        <v>233</v>
      </c>
      <c r="I45" s="63" t="s">
        <v>164</v>
      </c>
    </row>
    <row r="46" spans="7:9">
      <c r="G46" s="100" t="s">
        <v>234</v>
      </c>
      <c r="I46" s="63" t="s">
        <v>165</v>
      </c>
    </row>
    <row r="47" spans="7:9">
      <c r="G47" s="100" t="s">
        <v>235</v>
      </c>
      <c r="I47" s="63" t="s">
        <v>166</v>
      </c>
    </row>
    <row r="48" spans="7:9">
      <c r="G48" s="100" t="s">
        <v>236</v>
      </c>
      <c r="I48" s="63" t="s">
        <v>167</v>
      </c>
    </row>
    <row r="49" spans="7:9">
      <c r="G49" s="100" t="s">
        <v>237</v>
      </c>
      <c r="I49" s="63" t="s">
        <v>168</v>
      </c>
    </row>
    <row r="50" spans="7:9">
      <c r="G50" s="100" t="s">
        <v>238</v>
      </c>
      <c r="I50" s="63" t="s">
        <v>169</v>
      </c>
    </row>
    <row r="51" spans="7:9">
      <c r="G51" s="100" t="s">
        <v>239</v>
      </c>
      <c r="I51" s="63" t="s">
        <v>170</v>
      </c>
    </row>
    <row r="52" spans="7:9">
      <c r="G52" s="100" t="s">
        <v>240</v>
      </c>
      <c r="I52" s="63" t="s">
        <v>171</v>
      </c>
    </row>
    <row r="53" spans="7:9">
      <c r="G53" s="100" t="s">
        <v>241</v>
      </c>
      <c r="I53" s="63" t="s">
        <v>172</v>
      </c>
    </row>
    <row r="54" spans="7:9">
      <c r="G54" s="100" t="s">
        <v>242</v>
      </c>
      <c r="I54" s="63" t="s">
        <v>173</v>
      </c>
    </row>
    <row r="55" spans="7:9">
      <c r="G55" s="100" t="s">
        <v>243</v>
      </c>
      <c r="I55" s="63" t="s">
        <v>174</v>
      </c>
    </row>
    <row r="56" spans="7:9">
      <c r="G56" s="100" t="s">
        <v>244</v>
      </c>
      <c r="I56" s="63" t="s">
        <v>175</v>
      </c>
    </row>
    <row r="57" spans="7:9">
      <c r="G57" s="100" t="s">
        <v>245</v>
      </c>
      <c r="I57" s="63" t="s">
        <v>176</v>
      </c>
    </row>
    <row r="58" spans="7:9">
      <c r="G58" s="100" t="s">
        <v>246</v>
      </c>
      <c r="I58" s="63" t="s">
        <v>177</v>
      </c>
    </row>
    <row r="59" spans="7:9">
      <c r="G59" s="100" t="s">
        <v>247</v>
      </c>
    </row>
    <row r="60" spans="7:9">
      <c r="G60" s="100" t="s">
        <v>248</v>
      </c>
    </row>
    <row r="61" spans="7:9">
      <c r="G61" s="100" t="s">
        <v>249</v>
      </c>
    </row>
    <row r="62" spans="7:9">
      <c r="G62" s="100" t="s">
        <v>250</v>
      </c>
    </row>
    <row r="63" spans="7:9">
      <c r="G63" s="100" t="s">
        <v>251</v>
      </c>
    </row>
    <row r="64" spans="7:9">
      <c r="G64" s="100" t="s">
        <v>252</v>
      </c>
    </row>
    <row r="65" spans="7:7">
      <c r="G65" s="100" t="s">
        <v>253</v>
      </c>
    </row>
    <row r="66" spans="7:7">
      <c r="G66" s="100" t="s">
        <v>254</v>
      </c>
    </row>
    <row r="67" spans="7:7">
      <c r="G67" s="100" t="s">
        <v>255</v>
      </c>
    </row>
    <row r="68" spans="7:7">
      <c r="G68" s="100" t="s">
        <v>256</v>
      </c>
    </row>
    <row r="69" spans="7:7">
      <c r="G69" s="100" t="s">
        <v>257</v>
      </c>
    </row>
    <row r="70" spans="7:7">
      <c r="G70" s="100" t="s">
        <v>258</v>
      </c>
    </row>
    <row r="71" spans="7:7">
      <c r="G71" s="100" t="s">
        <v>259</v>
      </c>
    </row>
    <row r="72" spans="7:7">
      <c r="G72" s="100" t="s">
        <v>260</v>
      </c>
    </row>
    <row r="73" spans="7:7">
      <c r="G73" s="100" t="s">
        <v>261</v>
      </c>
    </row>
    <row r="74" spans="7:7">
      <c r="G74" s="100" t="s">
        <v>262</v>
      </c>
    </row>
    <row r="75" spans="7:7">
      <c r="G75" s="100" t="s">
        <v>263</v>
      </c>
    </row>
    <row r="76" spans="7:7">
      <c r="G76" s="100" t="s">
        <v>264</v>
      </c>
    </row>
    <row r="77" spans="7:7">
      <c r="G77" s="100" t="s">
        <v>265</v>
      </c>
    </row>
    <row r="78" spans="7:7">
      <c r="G78" s="100" t="s">
        <v>266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Mohamad Masri</cp:lastModifiedBy>
  <cp:lastPrinted>2016-01-15T21:17:26Z</cp:lastPrinted>
  <dcterms:created xsi:type="dcterms:W3CDTF">2014-10-01T21:13:00Z</dcterms:created>
  <dcterms:modified xsi:type="dcterms:W3CDTF">2016-07-08T17:39:42Z</dcterms:modified>
</cp:coreProperties>
</file>