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hnjr\Desktop\"/>
    </mc:Choice>
  </mc:AlternateContent>
  <bookViews>
    <workbookView xWindow="0" yWindow="0" windowWidth="28800" windowHeight="12075" activeTab="1"/>
  </bookViews>
  <sheets>
    <sheet name="arriving" sheetId="1" r:id="rId1"/>
    <sheet name="dashboard" sheetId="2" r:id="rId2"/>
    <sheet name="dropdowns" sheetId="3" r:id="rId3"/>
  </sheets>
  <functionGroups builtInGroupCount="18"/>
  <definedNames>
    <definedName name="customerList">customers[Customer Name]</definedName>
    <definedName name="engineMakeList">engineMakes[Engine Makes]</definedName>
    <definedName name="engineModelsList">engineModels[Engine Model List]</definedName>
    <definedName name="frameMakeList">frameMakes[Frame Makes]</definedName>
    <definedName name="frameModelList">frameModels[Frame Models]</definedName>
    <definedName name="partsProvidersList">partsProviders[PartsProviders]</definedName>
    <definedName name="partTypesList">partTypes[PartTypes]</definedName>
    <definedName name="taskList">tasks[Tasks]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2" l="1"/>
  <c r="R29" i="2"/>
  <c r="R23" i="2" s="1"/>
  <c r="M29" i="2"/>
  <c r="M23" i="2" s="1"/>
  <c r="P23" i="2" s="1"/>
  <c r="H29" i="2"/>
  <c r="H23" i="2" s="1"/>
  <c r="K23" i="2" s="1"/>
  <c r="C29" i="2"/>
  <c r="C23" i="2" s="1"/>
  <c r="R12" i="2"/>
  <c r="R6" i="2" s="1"/>
  <c r="M12" i="2"/>
  <c r="M6" i="2" s="1"/>
  <c r="H12" i="2"/>
  <c r="H6" i="2" s="1"/>
  <c r="H8" i="2"/>
  <c r="M8" i="2" s="1"/>
  <c r="R8" i="2" s="1"/>
  <c r="C25" i="2" s="1"/>
  <c r="Q24" i="2"/>
  <c r="L24" i="2"/>
  <c r="G24" i="2"/>
  <c r="B24" i="2"/>
  <c r="Q7" i="2"/>
  <c r="L7" i="2"/>
  <c r="G7" i="2"/>
  <c r="P6" i="2" l="1"/>
  <c r="U6" i="2"/>
  <c r="K6" i="2"/>
  <c r="F6" i="2"/>
  <c r="F23" i="2"/>
  <c r="U23" i="2"/>
  <c r="B7" i="2"/>
</calcChain>
</file>

<file path=xl/sharedStrings.xml><?xml version="1.0" encoding="utf-8"?>
<sst xmlns="http://schemas.openxmlformats.org/spreadsheetml/2006/main" count="740" uniqueCount="312">
  <si>
    <t>X</t>
  </si>
  <si>
    <t>DAY TANK</t>
  </si>
  <si>
    <t>COOLER</t>
  </si>
  <si>
    <t>SKID</t>
  </si>
  <si>
    <t>FRAME OVERHAUL</t>
  </si>
  <si>
    <t>FINAL TEST RUN</t>
  </si>
  <si>
    <t>PREP AND PAINT UNIT</t>
  </si>
  <si>
    <t>EICS</t>
  </si>
  <si>
    <t>FINAL QC CHECK- ENGINE TAG</t>
  </si>
  <si>
    <t>12 or 24 VOLT SYSTEM</t>
  </si>
  <si>
    <t>LOUVERS</t>
  </si>
  <si>
    <t xml:space="preserve">ENGINE OVERHAUL </t>
  </si>
  <si>
    <t xml:space="preserve">ARRIVED:  </t>
  </si>
  <si>
    <t xml:space="preserve">ARRIVED: </t>
  </si>
  <si>
    <t>LEAD MECHANIC:</t>
  </si>
  <si>
    <t>ARRIVED:10/24</t>
  </si>
  <si>
    <t>UNIT # ENG S/N:</t>
  </si>
  <si>
    <t>x</t>
  </si>
  <si>
    <t xml:space="preserve">SO# </t>
  </si>
  <si>
    <t>JUAN PENA</t>
  </si>
  <si>
    <t>SO#</t>
  </si>
  <si>
    <t>ARRIVED:</t>
  </si>
  <si>
    <t>EXHAUST</t>
  </si>
  <si>
    <t xml:space="preserve">SCH DEPARTURE: </t>
  </si>
  <si>
    <t>UNIT# ENG S/N</t>
  </si>
  <si>
    <t>SCH DEPARTURE:</t>
  </si>
  <si>
    <t xml:space="preserve"> UNIT# ENG S/N:</t>
  </si>
  <si>
    <t>UNIT# ENG S/N:</t>
  </si>
  <si>
    <t>PANEL</t>
  </si>
  <si>
    <t>ROD  COOLER</t>
  </si>
  <si>
    <t>PANEL REPLACE</t>
  </si>
  <si>
    <t>RADIATOR CLEAN</t>
  </si>
  <si>
    <t>FAN HUB</t>
  </si>
  <si>
    <t>24 VOLT SYSTEM</t>
  </si>
  <si>
    <t>END DEVICES AND WIRING</t>
  </si>
  <si>
    <t>COOLER FLUSH</t>
  </si>
  <si>
    <t xml:space="preserve"> SO#</t>
  </si>
  <si>
    <t>FAN BEARINGS</t>
  </si>
  <si>
    <t>ROD COOLER</t>
  </si>
  <si>
    <t xml:space="preserve">PANEL &amp; ALL DEVICES </t>
  </si>
  <si>
    <t xml:space="preserve"> SO# </t>
  </si>
  <si>
    <t>12V AND 2 BATTEIRES</t>
  </si>
  <si>
    <t>COOLER FAN GUARD NA</t>
  </si>
  <si>
    <t>DAYTANK AND STAND TA</t>
  </si>
  <si>
    <t>RADIATOR</t>
  </si>
  <si>
    <t>DAYTANK &amp; STAND NA</t>
  </si>
  <si>
    <t>UNIT# ENG S/N:G6X</t>
  </si>
  <si>
    <t>COOLER REPAIR</t>
  </si>
  <si>
    <t>UNIT#  ENG S/N:G6X</t>
  </si>
  <si>
    <t>LOUVER VENT KIT</t>
  </si>
  <si>
    <t>LOUVERS &amp; VENTS</t>
  </si>
  <si>
    <t xml:space="preserve">SCH. DEPARTURE: </t>
  </si>
  <si>
    <t xml:space="preserve">BAY 5 </t>
  </si>
  <si>
    <t>UNIT#ENG S/N</t>
  </si>
  <si>
    <t xml:space="preserve"> SO#  </t>
  </si>
  <si>
    <t>HEAD UPDATE</t>
  </si>
  <si>
    <t>ROD UPDATE</t>
  </si>
  <si>
    <t xml:space="preserve">SCH DEPARTURE:  </t>
  </si>
  <si>
    <t xml:space="preserve"> SO#   </t>
  </si>
  <si>
    <t>3306TA UNIT# S/N:</t>
  </si>
  <si>
    <t xml:space="preserve">FRAME </t>
  </si>
  <si>
    <t xml:space="preserve"> UNIT# FRAME ENG S/N:</t>
  </si>
  <si>
    <t xml:space="preserve">SCH.DEPARTURE: </t>
  </si>
  <si>
    <t>EOG S  BAY6 SO # 7602</t>
  </si>
  <si>
    <t>UNIT# 12464 ENG S/N: G6X05198</t>
  </si>
  <si>
    <t xml:space="preserve">COOLER REPAIR </t>
  </si>
  <si>
    <t>ARRIVED: 3/24/16</t>
  </si>
  <si>
    <t xml:space="preserve">SO#   </t>
  </si>
  <si>
    <t xml:space="preserve">   SO# </t>
  </si>
  <si>
    <t xml:space="preserve"> BAY 3  </t>
  </si>
  <si>
    <t>EOG(M) SO# 7558</t>
  </si>
  <si>
    <t>3516 - S/N: JEF02597</t>
  </si>
  <si>
    <t xml:space="preserve"> JGT/4 FRAME - S/N" F 45737</t>
  </si>
  <si>
    <t>ARRIVED:  3/4/2016</t>
  </si>
  <si>
    <t>ENGINE SWING</t>
  </si>
  <si>
    <t>RE WIRE</t>
  </si>
  <si>
    <t>BOTTLES/ SCRUBBER</t>
  </si>
  <si>
    <t xml:space="preserve">RUN TUBINHG </t>
  </si>
  <si>
    <t>BAY 2 EOG (S)   SO# 7626</t>
  </si>
  <si>
    <t>UNIT# 48052  ENG S/N: G6X02149 -3306 N/A</t>
  </si>
  <si>
    <t>FRAME S/N: 300014119  -H302</t>
  </si>
  <si>
    <t>ARRIVED:4/5/16</t>
  </si>
  <si>
    <t xml:space="preserve">  S/N: </t>
  </si>
  <si>
    <t>BAY 1  SO# 7607</t>
  </si>
  <si>
    <t>3516  ENG S/N: 4EK03145</t>
  </si>
  <si>
    <t>SCH DEPARTURE: 4/14/16</t>
  </si>
  <si>
    <t>Ordered By</t>
  </si>
  <si>
    <t>Arrived</t>
  </si>
  <si>
    <t>Business Days</t>
  </si>
  <si>
    <t>Task List</t>
  </si>
  <si>
    <t>Scrubber</t>
  </si>
  <si>
    <t>Cooler Retube</t>
  </si>
  <si>
    <t>Cooler Pressure Test</t>
  </si>
  <si>
    <t>Governor Repair</t>
  </si>
  <si>
    <t>Rocker  Arm Repair</t>
  </si>
  <si>
    <t>Warranty</t>
  </si>
  <si>
    <t>Rebuild Front Cover</t>
  </si>
  <si>
    <t>Louver Repair</t>
  </si>
  <si>
    <t>Auxiliary Water Pump Rebuild</t>
  </si>
  <si>
    <t>Tasks</t>
  </si>
  <si>
    <t>Frame Overhaul</t>
  </si>
  <si>
    <t>Engine Overhaul</t>
  </si>
  <si>
    <t>Parts</t>
  </si>
  <si>
    <t>Provided By</t>
  </si>
  <si>
    <t>Encore</t>
  </si>
  <si>
    <t>PartsProviders</t>
  </si>
  <si>
    <t>Customer</t>
  </si>
  <si>
    <t>Type</t>
  </si>
  <si>
    <t>PartTypes</t>
  </si>
  <si>
    <t>Aftermarket</t>
  </si>
  <si>
    <t>OEM</t>
  </si>
  <si>
    <t>Frame</t>
  </si>
  <si>
    <t>Engine Make</t>
  </si>
  <si>
    <t>Engine Model</t>
  </si>
  <si>
    <t>Serial Number</t>
  </si>
  <si>
    <t>Frame Make</t>
  </si>
  <si>
    <t>Sched Departure</t>
  </si>
  <si>
    <t>CB</t>
  </si>
  <si>
    <t>Service Order #</t>
  </si>
  <si>
    <t>Engine</t>
  </si>
  <si>
    <t>Hours</t>
  </si>
  <si>
    <t>3306NA</t>
  </si>
  <si>
    <t>3306TA</t>
  </si>
  <si>
    <t>3304NA</t>
  </si>
  <si>
    <t>Engine Model List</t>
  </si>
  <si>
    <t>Customer Name</t>
  </si>
  <si>
    <t>ARUBA</t>
  </si>
  <si>
    <t>CATALYTIC COMBUSTION</t>
  </si>
  <si>
    <t>CDM</t>
  </si>
  <si>
    <t>CDM-MIDLAND</t>
  </si>
  <si>
    <t>CTJ ENERGY</t>
  </si>
  <si>
    <t>ENBRIDGE</t>
  </si>
  <si>
    <t>ENCORE</t>
  </si>
  <si>
    <t>ENERGY GAS</t>
  </si>
  <si>
    <t>ENLINK-BPORT</t>
  </si>
  <si>
    <t>ENLINK-CTRL</t>
  </si>
  <si>
    <t>ENLINK-DW</t>
  </si>
  <si>
    <t>ENLINK-MMR</t>
  </si>
  <si>
    <t>ENLINK-N</t>
  </si>
  <si>
    <t>ENLINK-S</t>
  </si>
  <si>
    <t>ENLINK-W</t>
  </si>
  <si>
    <t>ETC PIPELINE</t>
  </si>
  <si>
    <t>ETC PROCESSING</t>
  </si>
  <si>
    <t>ETC W TX</t>
  </si>
  <si>
    <t>ETF CLEBURNE</t>
  </si>
  <si>
    <t>ETT</t>
  </si>
  <si>
    <t>FINLEY</t>
  </si>
  <si>
    <t>FORWIND INC</t>
  </si>
  <si>
    <t>H5O INC</t>
  </si>
  <si>
    <t>INDUSTRIAL GASMASTER</t>
  </si>
  <si>
    <t>J-W POWER</t>
  </si>
  <si>
    <t>KINDER MORGAN</t>
  </si>
  <si>
    <t>KINDER MORGAN-W TX</t>
  </si>
  <si>
    <t>LONE STAR</t>
  </si>
  <si>
    <t>LUCID-DTX</t>
  </si>
  <si>
    <t>LUCID-WTX</t>
  </si>
  <si>
    <t>MIKE BROWN</t>
  </si>
  <si>
    <t>NGSG</t>
  </si>
  <si>
    <t>OGS</t>
  </si>
  <si>
    <t>PECAN</t>
  </si>
  <si>
    <t>PECOS</t>
  </si>
  <si>
    <t>PENNTEX</t>
  </si>
  <si>
    <t>PRECISION</t>
  </si>
  <si>
    <t>QRI</t>
  </si>
  <si>
    <t>RICHARD SANDERS</t>
  </si>
  <si>
    <t>SEMGAS</t>
  </si>
  <si>
    <t>SPINDLETOP</t>
  </si>
  <si>
    <t>SQUAW CREEK</t>
  </si>
  <si>
    <t>SUMMIT</t>
  </si>
  <si>
    <t>TARGA</t>
  </si>
  <si>
    <t>TOTAL EQUIP</t>
  </si>
  <si>
    <t>TRINIDAD</t>
  </si>
  <si>
    <t>TRINITY RIVER</t>
  </si>
  <si>
    <t>TRUEROCK, LLC</t>
  </si>
  <si>
    <t>USA COMPRESSION</t>
  </si>
  <si>
    <t>W TX IND ENG</t>
  </si>
  <si>
    <t>WORSHAM STEED</t>
  </si>
  <si>
    <t>WTG</t>
  </si>
  <si>
    <t>XTO</t>
  </si>
  <si>
    <t>Frame Model</t>
  </si>
  <si>
    <t>Engine Makes</t>
  </si>
  <si>
    <t>Frame Makes</t>
  </si>
  <si>
    <t>Frame Models</t>
  </si>
  <si>
    <t>Holidays</t>
  </si>
  <si>
    <t>Days till Due</t>
  </si>
  <si>
    <t>Color</t>
  </si>
  <si>
    <t>RED</t>
  </si>
  <si>
    <t>YELLOW</t>
  </si>
  <si>
    <t>ORANGE</t>
  </si>
  <si>
    <t>GREEN</t>
  </si>
  <si>
    <t>Special 1</t>
  </si>
  <si>
    <t>Special 2</t>
  </si>
  <si>
    <t>#TEST123</t>
  </si>
  <si>
    <t>Caterpillar</t>
  </si>
  <si>
    <t>Waukesha</t>
  </si>
  <si>
    <t>Ajax</t>
  </si>
  <si>
    <t>IPD</t>
  </si>
  <si>
    <t>Mix OEM/IPD</t>
  </si>
  <si>
    <t>EOG-MIDLAND</t>
  </si>
  <si>
    <t>EOG-BOWIE</t>
  </si>
  <si>
    <t>EOG-ALVARADO/GODLEY</t>
  </si>
  <si>
    <t>1st Stage Scrubber Repair</t>
  </si>
  <si>
    <t>2nd Stage Scrubber Repair</t>
  </si>
  <si>
    <t>3rd Stage Scrubber Repair</t>
  </si>
  <si>
    <t>Process Piping Weld/Replace</t>
  </si>
  <si>
    <t>X-Ray Process Piping</t>
  </si>
  <si>
    <t>Panel Door Repair</t>
  </si>
  <si>
    <t>EICS Installation</t>
  </si>
  <si>
    <t>EICS Repair</t>
  </si>
  <si>
    <t>Catalyst Repair</t>
  </si>
  <si>
    <t>3306TAA</t>
  </si>
  <si>
    <t>3406NA</t>
  </si>
  <si>
    <t>3406TA</t>
  </si>
  <si>
    <t>3408NA</t>
  </si>
  <si>
    <t>3408TA</t>
  </si>
  <si>
    <t>3412TA</t>
  </si>
  <si>
    <t>VRG 220</t>
  </si>
  <si>
    <t>VRG 210</t>
  </si>
  <si>
    <t>VRG 280</t>
  </si>
  <si>
    <t>VRG 330</t>
  </si>
  <si>
    <t>AJAX</t>
  </si>
  <si>
    <t>342NA</t>
  </si>
  <si>
    <t>342TA</t>
  </si>
  <si>
    <t>379NA</t>
  </si>
  <si>
    <t>379TAA</t>
  </si>
  <si>
    <t>F18</t>
  </si>
  <si>
    <t>7042GU</t>
  </si>
  <si>
    <t>7042GSI</t>
  </si>
  <si>
    <t>7044GU</t>
  </si>
  <si>
    <t>7044GSI</t>
  </si>
  <si>
    <t>398NA</t>
  </si>
  <si>
    <t>398TAA</t>
  </si>
  <si>
    <t>399NA</t>
  </si>
  <si>
    <t>399TAA</t>
  </si>
  <si>
    <t>BLUESTONE</t>
  </si>
  <si>
    <t>WHITE SUPERIOR</t>
  </si>
  <si>
    <t>GE</t>
  </si>
  <si>
    <t>ARIEL</t>
  </si>
  <si>
    <t>CIP</t>
  </si>
  <si>
    <t>JGM</t>
  </si>
  <si>
    <t>JGP</t>
  </si>
  <si>
    <t>JGN</t>
  </si>
  <si>
    <t>JGQ</t>
  </si>
  <si>
    <t>JG</t>
  </si>
  <si>
    <t>JGA</t>
  </si>
  <si>
    <t>JGR</t>
  </si>
  <si>
    <t>JGJ</t>
  </si>
  <si>
    <t>JGH</t>
  </si>
  <si>
    <t>JGE</t>
  </si>
  <si>
    <t>JGK</t>
  </si>
  <si>
    <t>JGT</t>
  </si>
  <si>
    <t>JGC</t>
  </si>
  <si>
    <t>JGZ</t>
  </si>
  <si>
    <t>JGU</t>
  </si>
  <si>
    <t>KBV</t>
  </si>
  <si>
    <t>KBB</t>
  </si>
  <si>
    <t>KBZ</t>
  </si>
  <si>
    <t>M SERIES</t>
  </si>
  <si>
    <t>H SERIES</t>
  </si>
  <si>
    <t>A SERIES</t>
  </si>
  <si>
    <t>B SERIES</t>
  </si>
  <si>
    <t>D42</t>
  </si>
  <si>
    <t>DS</t>
  </si>
  <si>
    <t>ES</t>
  </si>
  <si>
    <t>FS</t>
  </si>
  <si>
    <t>SHMB</t>
  </si>
  <si>
    <t>PHT</t>
  </si>
  <si>
    <t>PXT</t>
  </si>
  <si>
    <t>6G825</t>
  </si>
  <si>
    <t>8G825</t>
  </si>
  <si>
    <t>12G825</t>
  </si>
  <si>
    <t>C-30</t>
  </si>
  <si>
    <t>C-42</t>
  </si>
  <si>
    <t>DPC-60</t>
  </si>
  <si>
    <t>DPC-80</t>
  </si>
  <si>
    <t>DPC-81</t>
  </si>
  <si>
    <t>DPC-105</t>
  </si>
  <si>
    <t>DPC-115</t>
  </si>
  <si>
    <t>DPC115LE</t>
  </si>
  <si>
    <t>DPC-120</t>
  </si>
  <si>
    <t>DPC-140</t>
  </si>
  <si>
    <t>DPC-160</t>
  </si>
  <si>
    <t>DPC-162</t>
  </si>
  <si>
    <t>DPC-180</t>
  </si>
  <si>
    <t>DPC-180LE</t>
  </si>
  <si>
    <t>DPC-230</t>
  </si>
  <si>
    <t>DPC-280</t>
  </si>
  <si>
    <t>DPC-280LE</t>
  </si>
  <si>
    <t>DPC-300</t>
  </si>
  <si>
    <t>DPC360</t>
  </si>
  <si>
    <t>DPC-360LE</t>
  </si>
  <si>
    <t>DPC-540LE</t>
  </si>
  <si>
    <t>DPC-600</t>
  </si>
  <si>
    <t>DPC-600LE</t>
  </si>
  <si>
    <t>DPC-800LE</t>
  </si>
  <si>
    <t>2801 STD/LE</t>
  </si>
  <si>
    <t>2201 STD/LE</t>
  </si>
  <si>
    <t>2202 STD/LE</t>
  </si>
  <si>
    <t>2802 STD</t>
  </si>
  <si>
    <t>2802 LE</t>
  </si>
  <si>
    <t>2803 STD</t>
  </si>
  <si>
    <t>2803 LE</t>
  </si>
  <si>
    <t>2804 STD</t>
  </si>
  <si>
    <t>2804 LE</t>
  </si>
  <si>
    <t>9390 GSI</t>
  </si>
  <si>
    <t>9390 GL</t>
  </si>
  <si>
    <t>INGERSOLL</t>
  </si>
  <si>
    <t>WORTHINGTON</t>
  </si>
  <si>
    <t>ARROW</t>
  </si>
  <si>
    <t>Clutch Repair</t>
  </si>
  <si>
    <t>Cylinder Repiar</t>
  </si>
  <si>
    <t>Outside servie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</si>
</sst>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(* #,##0.00_);_(* \(#,##0.00\);_(* &quot;-&quot;??_);_(@_)"/>
  </numFmts>
  <fonts count="25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u/>
      <sz val="2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2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20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12121"/>
      <name val="Arial"/>
      <family val="2"/>
    </font>
    <font>
      <sz val="12"/>
      <color rgb="FF212121"/>
      <name val="Calibri Light"/>
      <family val="2"/>
      <scheme val="major"/>
    </font>
    <font>
      <sz val="11"/>
      <color theme="1"/>
      <name val="Calibri Light"/>
      <family val="2"/>
      <scheme val="major"/>
    </font>
    <font>
      <sz val="8"/>
      <color theme="1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0"/>
      <color rgb="FF3F3F76"/>
      <name val="Calibri"/>
      <family val="2"/>
      <scheme val="minor"/>
    </font>
    <font>
      <sz val="12"/>
      <color rgb="FF212121"/>
      <name val="Calibri Light"/>
      <scheme val="major"/>
    </font>
    <font>
      <sz val="11"/>
      <color rgb="FF21212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B743E5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</fills>
  <borders count="36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auto="1"/>
      </left>
      <right/>
      <top/>
      <bottom/>
      <diagonal/>
    </border>
    <border>
      <left style="thin">
        <color rgb="FF7F7F7F"/>
      </left>
      <right style="thick">
        <color auto="1"/>
      </right>
      <top/>
      <bottom style="thin">
        <color rgb="FF7F7F7F"/>
      </bottom>
      <diagonal/>
    </border>
    <border>
      <left style="thin">
        <color theme="4"/>
      </left>
      <right style="thick">
        <color auto="1"/>
      </right>
      <top style="thin">
        <color theme="4"/>
      </top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4" tint="-0.499984740745262"/>
      </bottom>
      <diagonal/>
    </border>
    <border>
      <left/>
      <right style="thin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theme="4" tint="-0.499984740745262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theme="4" tint="-0.499984740745262"/>
      </bottom>
      <diagonal/>
    </border>
    <border>
      <left style="thin">
        <color rgb="FF7F7F7F"/>
      </left>
      <right style="thick">
        <color auto="1"/>
      </right>
      <top style="thin">
        <color rgb="FF7F7F7F"/>
      </top>
      <bottom style="thin">
        <color auto="1"/>
      </bottom>
      <diagonal/>
    </border>
    <border>
      <left style="thin">
        <color rgb="FF7F7F7F"/>
      </left>
      <right style="thin">
        <color auto="1"/>
      </right>
      <top style="thin">
        <color rgb="FF7F7F7F"/>
      </top>
      <bottom style="thick">
        <color auto="1"/>
      </bottom>
      <diagonal/>
    </border>
  </borders>
  <cellStyleXfs count="7">
    <xf numFmtId="0" fontId="0" fillId="0" borderId="0"/>
    <xf numFmtId="43" fontId="11" fillId="0" borderId="0" applyFont="0" applyFill="0" applyBorder="0" applyAlignment="0" applyProtection="0"/>
    <xf numFmtId="0" fontId="12" fillId="0" borderId="10" applyNumberFormat="0" applyFill="0" applyAlignment="0" applyProtection="0"/>
    <xf numFmtId="0" fontId="13" fillId="0" borderId="0" applyNumberFormat="0" applyFill="0" applyBorder="0" applyAlignment="0" applyProtection="0"/>
    <xf numFmtId="0" fontId="14" fillId="9" borderId="11" applyNumberFormat="0" applyAlignment="0" applyProtection="0"/>
    <xf numFmtId="0" fontId="16" fillId="10" borderId="0" applyNumberFormat="0" applyBorder="0" applyAlignment="0" applyProtection="0"/>
    <xf numFmtId="0" fontId="11" fillId="11" borderId="0" applyNumberFormat="0" applyBorder="0" applyAlignment="0" applyProtection="0"/>
  </cellStyleXfs>
  <cellXfs count="135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5" fillId="0" borderId="4" xfId="0" applyFont="1" applyBorder="1" applyAlignment="1">
      <alignment horizontal="center"/>
    </xf>
    <xf numFmtId="0" fontId="1" fillId="0" borderId="0" xfId="0" applyFont="1" applyBorder="1"/>
    <xf numFmtId="0" fontId="1" fillId="0" borderId="5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0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5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0" fontId="6" fillId="0" borderId="0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0" xfId="0" applyFont="1"/>
    <xf numFmtId="0" fontId="0" fillId="0" borderId="0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1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1" fillId="0" borderId="5" xfId="0" applyFont="1" applyFill="1" applyBorder="1"/>
    <xf numFmtId="0" fontId="1" fillId="0" borderId="4" xfId="0" applyFont="1" applyFill="1" applyBorder="1" applyAlignment="1">
      <alignment horizontal="center"/>
    </xf>
    <xf numFmtId="0" fontId="1" fillId="0" borderId="6" xfId="0" applyFont="1" applyFill="1" applyBorder="1" applyAlignment="1">
      <alignment horizontal="center"/>
    </xf>
    <xf numFmtId="0" fontId="1" fillId="0" borderId="7" xfId="0" applyFont="1" applyFill="1" applyBorder="1"/>
    <xf numFmtId="0" fontId="5" fillId="0" borderId="7" xfId="0" applyFont="1" applyFill="1" applyBorder="1" applyAlignment="1">
      <alignment horizontal="center"/>
    </xf>
    <xf numFmtId="0" fontId="1" fillId="0" borderId="8" xfId="0" applyFont="1" applyFill="1" applyBorder="1"/>
    <xf numFmtId="0" fontId="5" fillId="0" borderId="4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8" fillId="5" borderId="5" xfId="0" applyFont="1" applyFill="1" applyBorder="1"/>
    <xf numFmtId="0" fontId="6" fillId="5" borderId="5" xfId="0" applyFont="1" applyFill="1" applyBorder="1"/>
    <xf numFmtId="0" fontId="5" fillId="0" borderId="0" xfId="0" applyFont="1"/>
    <xf numFmtId="0" fontId="6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left"/>
    </xf>
    <xf numFmtId="0" fontId="0" fillId="2" borderId="0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center"/>
    </xf>
    <xf numFmtId="0" fontId="1" fillId="2" borderId="0" xfId="0" applyFont="1" applyFill="1" applyBorder="1"/>
    <xf numFmtId="0" fontId="5" fillId="2" borderId="0" xfId="0" applyFont="1" applyFill="1" applyBorder="1" applyAlignment="1">
      <alignment horizontal="center"/>
    </xf>
    <xf numFmtId="0" fontId="1" fillId="2" borderId="5" xfId="0" applyFont="1" applyFill="1" applyBorder="1"/>
    <xf numFmtId="0" fontId="5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5" fillId="2" borderId="7" xfId="0" applyFont="1" applyFill="1" applyBorder="1" applyAlignment="1">
      <alignment horizontal="center"/>
    </xf>
    <xf numFmtId="0" fontId="1" fillId="2" borderId="8" xfId="0" applyFont="1" applyFill="1" applyBorder="1"/>
    <xf numFmtId="0" fontId="0" fillId="0" borderId="0" xfId="0" applyAlignment="1">
      <alignment horizontal="center"/>
    </xf>
    <xf numFmtId="0" fontId="0" fillId="0" borderId="0" xfId="0" applyBorder="1"/>
    <xf numFmtId="0" fontId="18" fillId="0" borderId="0" xfId="0" applyFont="1" applyAlignment="1"/>
    <xf numFmtId="0" fontId="19" fillId="0" borderId="0" xfId="0" applyFont="1"/>
    <xf numFmtId="15" fontId="22" fillId="9" borderId="11" xfId="4" quotePrefix="1" applyNumberFormat="1" applyFont="1" applyBorder="1" applyAlignment="1">
      <alignment horizontal="center"/>
    </xf>
    <xf numFmtId="3" fontId="22" fillId="9" borderId="11" xfId="4" quotePrefix="1" applyNumberFormat="1" applyFont="1" applyBorder="1" applyAlignment="1">
      <alignment horizontal="center"/>
    </xf>
    <xf numFmtId="15" fontId="1" fillId="11" borderId="13" xfId="6" quotePrefix="1" applyNumberFormat="1" applyFont="1" applyBorder="1" applyAlignment="1">
      <alignment horizontal="center"/>
    </xf>
    <xf numFmtId="43" fontId="21" fillId="10" borderId="0" xfId="1" applyFont="1" applyFill="1" applyBorder="1" applyAlignment="1">
      <alignment horizontal="left"/>
    </xf>
    <xf numFmtId="43" fontId="0" fillId="0" borderId="0" xfId="1" applyFont="1" applyAlignment="1">
      <alignment horizontal="left"/>
    </xf>
    <xf numFmtId="0" fontId="15" fillId="10" borderId="14" xfId="5" applyFont="1" applyBorder="1" applyAlignment="1">
      <alignment horizontal="centerContinuous"/>
    </xf>
    <xf numFmtId="15" fontId="17" fillId="0" borderId="0" xfId="0" applyNumberFormat="1" applyFont="1" applyAlignment="1">
      <alignment horizontal="center"/>
    </xf>
    <xf numFmtId="3" fontId="22" fillId="9" borderId="12" xfId="4" quotePrefix="1" applyNumberFormat="1" applyFont="1" applyBorder="1" applyAlignment="1">
      <alignment horizontal="center"/>
    </xf>
    <xf numFmtId="0" fontId="22" fillId="9" borderId="15" xfId="4" quotePrefix="1" applyFont="1" applyBorder="1" applyAlignment="1">
      <alignment horizontal="center"/>
    </xf>
    <xf numFmtId="43" fontId="21" fillId="10" borderId="16" xfId="1" applyFont="1" applyFill="1" applyBorder="1" applyAlignment="1">
      <alignment horizontal="left"/>
    </xf>
    <xf numFmtId="0" fontId="22" fillId="9" borderId="17" xfId="4" applyFont="1" applyBorder="1" applyAlignment="1">
      <alignment horizontal="center"/>
    </xf>
    <xf numFmtId="0" fontId="0" fillId="0" borderId="16" xfId="0" applyBorder="1"/>
    <xf numFmtId="0" fontId="0" fillId="0" borderId="18" xfId="0" applyBorder="1"/>
    <xf numFmtId="0" fontId="0" fillId="0" borderId="19" xfId="0" applyBorder="1"/>
    <xf numFmtId="43" fontId="20" fillId="0" borderId="16" xfId="1" applyFont="1" applyBorder="1"/>
    <xf numFmtId="43" fontId="20" fillId="0" borderId="20" xfId="1" applyFont="1" applyBorder="1"/>
    <xf numFmtId="0" fontId="0" fillId="0" borderId="21" xfId="0" applyBorder="1"/>
    <xf numFmtId="0" fontId="0" fillId="0" borderId="22" xfId="0" applyBorder="1"/>
    <xf numFmtId="0" fontId="12" fillId="0" borderId="23" xfId="2" applyBorder="1" applyAlignment="1">
      <alignment horizontal="centerContinuous"/>
    </xf>
    <xf numFmtId="0" fontId="13" fillId="0" borderId="24" xfId="3" applyBorder="1" applyAlignment="1">
      <alignment horizontal="centerContinuous"/>
    </xf>
    <xf numFmtId="0" fontId="13" fillId="0" borderId="25" xfId="3" applyBorder="1" applyAlignment="1">
      <alignment horizontal="centerContinuous"/>
    </xf>
    <xf numFmtId="0" fontId="15" fillId="10" borderId="26" xfId="5" applyFont="1" applyBorder="1" applyAlignment="1">
      <alignment horizontal="centerContinuous"/>
    </xf>
    <xf numFmtId="0" fontId="15" fillId="10" borderId="27" xfId="5" applyFont="1" applyBorder="1" applyAlignment="1">
      <alignment horizontal="centerContinuous"/>
    </xf>
    <xf numFmtId="0" fontId="0" fillId="0" borderId="5" xfId="0" applyBorder="1"/>
    <xf numFmtId="0" fontId="0" fillId="0" borderId="8" xfId="0" applyBorder="1"/>
    <xf numFmtId="3" fontId="22" fillId="9" borderId="28" xfId="4" quotePrefix="1" applyNumberFormat="1" applyFont="1" applyBorder="1" applyAlignment="1">
      <alignment horizontal="center"/>
    </xf>
    <xf numFmtId="0" fontId="20" fillId="0" borderId="4" xfId="0" applyFont="1" applyBorder="1"/>
    <xf numFmtId="0" fontId="20" fillId="0" borderId="6" xfId="0" applyFont="1" applyBorder="1"/>
    <xf numFmtId="0" fontId="0" fillId="0" borderId="4" xfId="0" applyBorder="1"/>
    <xf numFmtId="0" fontId="0" fillId="0" borderId="6" xfId="0" applyBorder="1"/>
    <xf numFmtId="0" fontId="15" fillId="10" borderId="29" xfId="5" applyFont="1" applyBorder="1" applyAlignment="1">
      <alignment horizontal="centerContinuous"/>
    </xf>
    <xf numFmtId="0" fontId="15" fillId="10" borderId="30" xfId="5" applyFont="1" applyBorder="1" applyAlignment="1">
      <alignment horizontal="centerContinuous"/>
    </xf>
    <xf numFmtId="43" fontId="20" fillId="0" borderId="31" xfId="1" applyFont="1" applyBorder="1"/>
    <xf numFmtId="0" fontId="0" fillId="0" borderId="32" xfId="0" applyBorder="1"/>
    <xf numFmtId="0" fontId="15" fillId="10" borderId="33" xfId="5" applyFont="1" applyBorder="1" applyAlignment="1">
      <alignment horizontal="centerContinuous"/>
    </xf>
    <xf numFmtId="0" fontId="22" fillId="9" borderId="34" xfId="4" quotePrefix="1" applyNumberFormat="1" applyFont="1" applyBorder="1" applyAlignment="1">
      <alignment horizontal="center"/>
    </xf>
    <xf numFmtId="0" fontId="22" fillId="9" borderId="35" xfId="4" applyFont="1" applyBorder="1" applyAlignment="1">
      <alignment horizontal="center"/>
    </xf>
    <xf numFmtId="3" fontId="22" fillId="9" borderId="12" xfId="4" applyNumberFormat="1" applyFont="1" applyBorder="1" applyAlignment="1">
      <alignment horizontal="center"/>
    </xf>
    <xf numFmtId="0" fontId="22" fillId="9" borderId="34" xfId="4" applyNumberFormat="1" applyFont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5" fillId="2" borderId="9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5" fillId="0" borderId="4" xfId="0" applyFont="1" applyBorder="1" applyAlignment="1">
      <alignment horizontal="left"/>
    </xf>
    <xf numFmtId="0" fontId="5" fillId="0" borderId="0" xfId="0" applyFont="1" applyBorder="1" applyAlignment="1">
      <alignment horizontal="left"/>
    </xf>
    <xf numFmtId="0" fontId="5" fillId="0" borderId="5" xfId="0" applyFont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2" fillId="0" borderId="9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2" borderId="9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center"/>
    </xf>
    <xf numFmtId="0" fontId="4" fillId="7" borderId="2" xfId="0" applyFont="1" applyFill="1" applyBorder="1" applyAlignment="1">
      <alignment horizontal="center"/>
    </xf>
    <xf numFmtId="0" fontId="4" fillId="7" borderId="3" xfId="0" applyFont="1" applyFill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10" fillId="6" borderId="9" xfId="0" applyFont="1" applyFill="1" applyBorder="1" applyAlignment="1">
      <alignment horizontal="center"/>
    </xf>
    <xf numFmtId="0" fontId="7" fillId="8" borderId="9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7" borderId="9" xfId="0" applyFont="1" applyFill="1" applyBorder="1" applyAlignment="1">
      <alignment horizontal="center"/>
    </xf>
    <xf numFmtId="0" fontId="23" fillId="0" borderId="0" xfId="0" applyFont="1" applyAlignment="1"/>
    <xf numFmtId="0" fontId="24" fillId="0" borderId="0" xfId="0" applyFont="1" applyAlignment="1">
      <alignment horizontal="center"/>
    </xf>
  </cellXfs>
  <cellStyles count="7">
    <cellStyle name="20% - Accent1" xfId="6" builtinId="30"/>
    <cellStyle name="Accent1" xfId="5" builtinId="29"/>
    <cellStyle name="Comma" xfId="1" builtinId="3"/>
    <cellStyle name="Heading 1" xfId="2" builtinId="16"/>
    <cellStyle name="Heading 4" xfId="3" builtinId="19"/>
    <cellStyle name="Input" xfId="4" builtinId="20"/>
    <cellStyle name="Normal" xfId="0" builtinId="0"/>
  </cellStyles>
  <dxfs count="52"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9"/>
        </patternFill>
      </fill>
    </dxf>
    <dxf>
      <font>
        <color theme="1"/>
      </font>
      <fill>
        <patternFill>
          <bgColor theme="7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7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>
          <bgColor theme="5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</border>
    </dxf>
    <dxf>
      <fill>
        <patternFill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numFmt numFmtId="20" formatCode="d\-mmm\-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212121"/>
        <name val="Calibri Light"/>
        <scheme val="major"/>
      </font>
      <alignment horizontal="general" vertical="bottom" textRotation="0" wrapText="0" relativeIndent="0" justifyLastLine="0" shrinkToFit="0" readingOrder="0"/>
    </dxf>
  </dxfs>
  <tableStyles count="0" defaultTableStyle="TableStyleMedium2" defaultPivotStyle="PivotStyleLight16"/>
  <colors>
    <mruColors>
      <color rgb="FFFF5050"/>
      <color rgb="FFFF9933"/>
      <color rgb="FFFF99FF"/>
      <color rgb="FFB743E5"/>
      <color rgb="FFFD7BC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3.jpe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7.emf"/><Relationship Id="rId18" Type="http://schemas.openxmlformats.org/officeDocument/2006/relationships/image" Target="../media/image62.emf"/><Relationship Id="rId26" Type="http://schemas.openxmlformats.org/officeDocument/2006/relationships/image" Target="../media/image54.emf"/><Relationship Id="rId39" Type="http://schemas.openxmlformats.org/officeDocument/2006/relationships/image" Target="../media/image41.emf"/><Relationship Id="rId21" Type="http://schemas.openxmlformats.org/officeDocument/2006/relationships/image" Target="../media/image59.emf"/><Relationship Id="rId34" Type="http://schemas.openxmlformats.org/officeDocument/2006/relationships/image" Target="../media/image46.emf"/><Relationship Id="rId42" Type="http://schemas.openxmlformats.org/officeDocument/2006/relationships/image" Target="../media/image38.emf"/><Relationship Id="rId47" Type="http://schemas.openxmlformats.org/officeDocument/2006/relationships/image" Target="../media/image33.emf"/><Relationship Id="rId50" Type="http://schemas.openxmlformats.org/officeDocument/2006/relationships/image" Target="../media/image30.emf"/><Relationship Id="rId55" Type="http://schemas.openxmlformats.org/officeDocument/2006/relationships/image" Target="../media/image25.emf"/><Relationship Id="rId63" Type="http://schemas.openxmlformats.org/officeDocument/2006/relationships/image" Target="../media/image16.emf"/><Relationship Id="rId68" Type="http://schemas.openxmlformats.org/officeDocument/2006/relationships/image" Target="../media/image5.emf"/><Relationship Id="rId7" Type="http://schemas.openxmlformats.org/officeDocument/2006/relationships/image" Target="../media/image10.emf"/><Relationship Id="rId71" Type="http://schemas.openxmlformats.org/officeDocument/2006/relationships/image" Target="../media/image2.emf"/><Relationship Id="rId2" Type="http://schemas.openxmlformats.org/officeDocument/2006/relationships/image" Target="../media/image14.emf"/><Relationship Id="rId16" Type="http://schemas.openxmlformats.org/officeDocument/2006/relationships/image" Target="../media/image64.emf"/><Relationship Id="rId29" Type="http://schemas.openxmlformats.org/officeDocument/2006/relationships/image" Target="../media/image51.emf"/><Relationship Id="rId1" Type="http://schemas.openxmlformats.org/officeDocument/2006/relationships/image" Target="../media/image15.emf"/><Relationship Id="rId6" Type="http://schemas.openxmlformats.org/officeDocument/2006/relationships/image" Target="../media/image11.emf"/><Relationship Id="rId11" Type="http://schemas.openxmlformats.org/officeDocument/2006/relationships/image" Target="../media/image69.emf"/><Relationship Id="rId24" Type="http://schemas.openxmlformats.org/officeDocument/2006/relationships/image" Target="../media/image56.emf"/><Relationship Id="rId32" Type="http://schemas.openxmlformats.org/officeDocument/2006/relationships/image" Target="../media/image48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5.emf"/><Relationship Id="rId53" Type="http://schemas.openxmlformats.org/officeDocument/2006/relationships/image" Target="../media/image27.emf"/><Relationship Id="rId58" Type="http://schemas.openxmlformats.org/officeDocument/2006/relationships/image" Target="../media/image22.emf"/><Relationship Id="rId66" Type="http://schemas.openxmlformats.org/officeDocument/2006/relationships/image" Target="../media/image7.emf"/><Relationship Id="rId5" Type="http://schemas.openxmlformats.org/officeDocument/2006/relationships/image" Target="../media/image12.emf"/><Relationship Id="rId15" Type="http://schemas.openxmlformats.org/officeDocument/2006/relationships/image" Target="../media/image65.emf"/><Relationship Id="rId23" Type="http://schemas.openxmlformats.org/officeDocument/2006/relationships/image" Target="../media/image57.emf"/><Relationship Id="rId28" Type="http://schemas.openxmlformats.org/officeDocument/2006/relationships/image" Target="../media/image52.emf"/><Relationship Id="rId36" Type="http://schemas.openxmlformats.org/officeDocument/2006/relationships/image" Target="../media/image44.emf"/><Relationship Id="rId49" Type="http://schemas.openxmlformats.org/officeDocument/2006/relationships/image" Target="../media/image31.emf"/><Relationship Id="rId57" Type="http://schemas.openxmlformats.org/officeDocument/2006/relationships/image" Target="../media/image23.emf"/><Relationship Id="rId61" Type="http://schemas.openxmlformats.org/officeDocument/2006/relationships/image" Target="../media/image19.emf"/><Relationship Id="rId10" Type="http://schemas.openxmlformats.org/officeDocument/2006/relationships/image" Target="../media/image70.emf"/><Relationship Id="rId19" Type="http://schemas.openxmlformats.org/officeDocument/2006/relationships/image" Target="../media/image61.emf"/><Relationship Id="rId31" Type="http://schemas.openxmlformats.org/officeDocument/2006/relationships/image" Target="../media/image49.emf"/><Relationship Id="rId44" Type="http://schemas.openxmlformats.org/officeDocument/2006/relationships/image" Target="../media/image36.emf"/><Relationship Id="rId52" Type="http://schemas.openxmlformats.org/officeDocument/2006/relationships/image" Target="../media/image28.emf"/><Relationship Id="rId60" Type="http://schemas.openxmlformats.org/officeDocument/2006/relationships/image" Target="../media/image20.emf"/><Relationship Id="rId65" Type="http://schemas.openxmlformats.org/officeDocument/2006/relationships/image" Target="../media/image8.emf"/><Relationship Id="rId4" Type="http://schemas.openxmlformats.org/officeDocument/2006/relationships/image" Target="../media/image72.emf"/><Relationship Id="rId9" Type="http://schemas.openxmlformats.org/officeDocument/2006/relationships/image" Target="../media/image17.emf"/><Relationship Id="rId14" Type="http://schemas.openxmlformats.org/officeDocument/2006/relationships/image" Target="../media/image66.emf"/><Relationship Id="rId22" Type="http://schemas.openxmlformats.org/officeDocument/2006/relationships/image" Target="../media/image58.emf"/><Relationship Id="rId27" Type="http://schemas.openxmlformats.org/officeDocument/2006/relationships/image" Target="../media/image53.emf"/><Relationship Id="rId30" Type="http://schemas.openxmlformats.org/officeDocument/2006/relationships/image" Target="../media/image50.emf"/><Relationship Id="rId35" Type="http://schemas.openxmlformats.org/officeDocument/2006/relationships/image" Target="../media/image45.emf"/><Relationship Id="rId43" Type="http://schemas.openxmlformats.org/officeDocument/2006/relationships/image" Target="../media/image37.emf"/><Relationship Id="rId48" Type="http://schemas.openxmlformats.org/officeDocument/2006/relationships/image" Target="../media/image32.emf"/><Relationship Id="rId56" Type="http://schemas.openxmlformats.org/officeDocument/2006/relationships/image" Target="../media/image24.emf"/><Relationship Id="rId64" Type="http://schemas.openxmlformats.org/officeDocument/2006/relationships/image" Target="../media/image9.emf"/><Relationship Id="rId69" Type="http://schemas.openxmlformats.org/officeDocument/2006/relationships/image" Target="../media/image4.emf"/><Relationship Id="rId8" Type="http://schemas.openxmlformats.org/officeDocument/2006/relationships/image" Target="../media/image71.emf"/><Relationship Id="rId51" Type="http://schemas.openxmlformats.org/officeDocument/2006/relationships/image" Target="../media/image29.emf"/><Relationship Id="rId3" Type="http://schemas.openxmlformats.org/officeDocument/2006/relationships/image" Target="../media/image13.emf"/><Relationship Id="rId12" Type="http://schemas.openxmlformats.org/officeDocument/2006/relationships/image" Target="../media/image68.emf"/><Relationship Id="rId17" Type="http://schemas.openxmlformats.org/officeDocument/2006/relationships/image" Target="../media/image63.emf"/><Relationship Id="rId25" Type="http://schemas.openxmlformats.org/officeDocument/2006/relationships/image" Target="../media/image55.emf"/><Relationship Id="rId33" Type="http://schemas.openxmlformats.org/officeDocument/2006/relationships/image" Target="../media/image47.emf"/><Relationship Id="rId38" Type="http://schemas.openxmlformats.org/officeDocument/2006/relationships/image" Target="../media/image42.emf"/><Relationship Id="rId46" Type="http://schemas.openxmlformats.org/officeDocument/2006/relationships/image" Target="../media/image34.emf"/><Relationship Id="rId59" Type="http://schemas.openxmlformats.org/officeDocument/2006/relationships/image" Target="../media/image21.emf"/><Relationship Id="rId67" Type="http://schemas.openxmlformats.org/officeDocument/2006/relationships/image" Target="../media/image6.emf"/><Relationship Id="rId20" Type="http://schemas.openxmlformats.org/officeDocument/2006/relationships/image" Target="../media/image60.emf"/><Relationship Id="rId41" Type="http://schemas.openxmlformats.org/officeDocument/2006/relationships/image" Target="../media/image39.emf"/><Relationship Id="rId54" Type="http://schemas.openxmlformats.org/officeDocument/2006/relationships/image" Target="../media/image26.emf"/><Relationship Id="rId62" Type="http://schemas.openxmlformats.org/officeDocument/2006/relationships/image" Target="../media/image18.emf"/><Relationship Id="rId70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1076324</xdr:colOff>
      <xdr:row>0</xdr:row>
      <xdr:rowOff>0</xdr:rowOff>
    </xdr:from>
    <xdr:to>
      <xdr:col>13</xdr:col>
      <xdr:colOff>285749</xdr:colOff>
      <xdr:row>6</xdr:row>
      <xdr:rowOff>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4124" y="0"/>
          <a:ext cx="4905375" cy="12001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47625</xdr:colOff>
      <xdr:row>0</xdr:row>
      <xdr:rowOff>104775</xdr:rowOff>
    </xdr:from>
    <xdr:to>
      <xdr:col>14</xdr:col>
      <xdr:colOff>581025</xdr:colOff>
      <xdr:row>5</xdr:row>
      <xdr:rowOff>180975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91300" y="104775"/>
          <a:ext cx="4905375" cy="1028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10</xdr:row>
          <xdr:rowOff>28575</xdr:rowOff>
        </xdr:from>
        <xdr:to>
          <xdr:col>5</xdr:col>
          <xdr:colOff>1495425</xdr:colOff>
          <xdr:row>11</xdr:row>
          <xdr:rowOff>57150</xdr:rowOff>
        </xdr:to>
        <xdr:sp macro="" textlink="">
          <xdr:nvSpPr>
            <xdr:cNvPr id="1030" name="ddB1Task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10</xdr:row>
          <xdr:rowOff>47625</xdr:rowOff>
        </xdr:from>
        <xdr:to>
          <xdr:col>4</xdr:col>
          <xdr:colOff>161925</xdr:colOff>
          <xdr:row>11</xdr:row>
          <xdr:rowOff>57150</xdr:rowOff>
        </xdr:to>
        <xdr:sp macro="" textlink="">
          <xdr:nvSpPr>
            <xdr:cNvPr id="1031" name="cbB1Task1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11</xdr:row>
          <xdr:rowOff>66675</xdr:rowOff>
        </xdr:from>
        <xdr:to>
          <xdr:col>5</xdr:col>
          <xdr:colOff>1495425</xdr:colOff>
          <xdr:row>12</xdr:row>
          <xdr:rowOff>95250</xdr:rowOff>
        </xdr:to>
        <xdr:sp macro="" textlink="">
          <xdr:nvSpPr>
            <xdr:cNvPr id="1032" name="ddB1Task2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11</xdr:row>
          <xdr:rowOff>85725</xdr:rowOff>
        </xdr:from>
        <xdr:to>
          <xdr:col>4</xdr:col>
          <xdr:colOff>161925</xdr:colOff>
          <xdr:row>12</xdr:row>
          <xdr:rowOff>95250</xdr:rowOff>
        </xdr:to>
        <xdr:sp macro="" textlink="">
          <xdr:nvSpPr>
            <xdr:cNvPr id="1033" name="cbB1Task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12</xdr:row>
          <xdr:rowOff>104775</xdr:rowOff>
        </xdr:from>
        <xdr:to>
          <xdr:col>5</xdr:col>
          <xdr:colOff>1495425</xdr:colOff>
          <xdr:row>13</xdr:row>
          <xdr:rowOff>133350</xdr:rowOff>
        </xdr:to>
        <xdr:sp macro="" textlink="">
          <xdr:nvSpPr>
            <xdr:cNvPr id="1034" name="ddB1Task3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12</xdr:row>
          <xdr:rowOff>123825</xdr:rowOff>
        </xdr:from>
        <xdr:to>
          <xdr:col>4</xdr:col>
          <xdr:colOff>161925</xdr:colOff>
          <xdr:row>13</xdr:row>
          <xdr:rowOff>133350</xdr:rowOff>
        </xdr:to>
        <xdr:sp macro="" textlink="">
          <xdr:nvSpPr>
            <xdr:cNvPr id="1035" name="cbB1Task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13</xdr:row>
          <xdr:rowOff>133350</xdr:rowOff>
        </xdr:from>
        <xdr:to>
          <xdr:col>5</xdr:col>
          <xdr:colOff>1495425</xdr:colOff>
          <xdr:row>14</xdr:row>
          <xdr:rowOff>161925</xdr:rowOff>
        </xdr:to>
        <xdr:sp macro="" textlink="">
          <xdr:nvSpPr>
            <xdr:cNvPr id="1036" name="ddB1Task4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13</xdr:row>
          <xdr:rowOff>152400</xdr:rowOff>
        </xdr:from>
        <xdr:to>
          <xdr:col>4</xdr:col>
          <xdr:colOff>161925</xdr:colOff>
          <xdr:row>14</xdr:row>
          <xdr:rowOff>161925</xdr:rowOff>
        </xdr:to>
        <xdr:sp macro="" textlink="">
          <xdr:nvSpPr>
            <xdr:cNvPr id="1037" name="cbB1Task4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14</xdr:row>
          <xdr:rowOff>161925</xdr:rowOff>
        </xdr:from>
        <xdr:to>
          <xdr:col>5</xdr:col>
          <xdr:colOff>1495425</xdr:colOff>
          <xdr:row>16</xdr:row>
          <xdr:rowOff>0</xdr:rowOff>
        </xdr:to>
        <xdr:sp macro="" textlink="">
          <xdr:nvSpPr>
            <xdr:cNvPr id="1038" name="ddB1Task5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14</xdr:row>
          <xdr:rowOff>180975</xdr:rowOff>
        </xdr:from>
        <xdr:to>
          <xdr:col>4</xdr:col>
          <xdr:colOff>161925</xdr:colOff>
          <xdr:row>16</xdr:row>
          <xdr:rowOff>0</xdr:rowOff>
        </xdr:to>
        <xdr:sp macro="" textlink="">
          <xdr:nvSpPr>
            <xdr:cNvPr id="1039" name="cbB1Task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14</xdr:row>
          <xdr:rowOff>19050</xdr:rowOff>
        </xdr:from>
        <xdr:to>
          <xdr:col>3</xdr:col>
          <xdr:colOff>0</xdr:colOff>
          <xdr:row>15</xdr:row>
          <xdr:rowOff>9525</xdr:rowOff>
        </xdr:to>
        <xdr:sp macro="" textlink="">
          <xdr:nvSpPr>
            <xdr:cNvPr id="1053" name="ddB1PartsProvider" hidden="1">
              <a:extLst>
                <a:ext uri="{63B3BB69-23CF-44E3-9099-C40C66FF867C}">
                  <a14:compatExt spid="_x0000_s1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15</xdr:row>
          <xdr:rowOff>19050</xdr:rowOff>
        </xdr:from>
        <xdr:to>
          <xdr:col>3</xdr:col>
          <xdr:colOff>0</xdr:colOff>
          <xdr:row>16</xdr:row>
          <xdr:rowOff>9525</xdr:rowOff>
        </xdr:to>
        <xdr:sp macro="" textlink="">
          <xdr:nvSpPr>
            <xdr:cNvPr id="1054" name="ddB1PartType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8</xdr:row>
          <xdr:rowOff>19050</xdr:rowOff>
        </xdr:from>
        <xdr:to>
          <xdr:col>5</xdr:col>
          <xdr:colOff>1504950</xdr:colOff>
          <xdr:row>9</xdr:row>
          <xdr:rowOff>9525</xdr:rowOff>
        </xdr:to>
        <xdr:sp macro="" textlink="">
          <xdr:nvSpPr>
            <xdr:cNvPr id="1056" name="ddB1Customer" hidden="1">
              <a:extLst>
                <a:ext uri="{63B3BB69-23CF-44E3-9099-C40C66FF867C}">
                  <a14:compatExt spid="_x0000_s1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19050</xdr:rowOff>
        </xdr:from>
        <xdr:to>
          <xdr:col>3</xdr:col>
          <xdr:colOff>9525</xdr:colOff>
          <xdr:row>20</xdr:row>
          <xdr:rowOff>0</xdr:rowOff>
        </xdr:to>
        <xdr:sp macro="" textlink="">
          <xdr:nvSpPr>
            <xdr:cNvPr id="1057" name="ddB1EngineModels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28575</xdr:rowOff>
        </xdr:from>
        <xdr:to>
          <xdr:col>3</xdr:col>
          <xdr:colOff>9525</xdr:colOff>
          <xdr:row>19</xdr:row>
          <xdr:rowOff>9525</xdr:rowOff>
        </xdr:to>
        <xdr:sp macro="" textlink="">
          <xdr:nvSpPr>
            <xdr:cNvPr id="1058" name="ddB1EngineMake" hidden="1">
              <a:extLst>
                <a:ext uri="{63B3BB69-23CF-44E3-9099-C40C66FF867C}">
                  <a14:compatExt spid="_x0000_s1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5</xdr:col>
          <xdr:colOff>1504950</xdr:colOff>
          <xdr:row>20</xdr:row>
          <xdr:rowOff>0</xdr:rowOff>
        </xdr:to>
        <xdr:sp macro="" textlink="">
          <xdr:nvSpPr>
            <xdr:cNvPr id="1059" name="ddB1FrameModel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18</xdr:row>
          <xdr:rowOff>28575</xdr:rowOff>
        </xdr:from>
        <xdr:to>
          <xdr:col>5</xdr:col>
          <xdr:colOff>1504950</xdr:colOff>
          <xdr:row>19</xdr:row>
          <xdr:rowOff>9525</xdr:rowOff>
        </xdr:to>
        <xdr:sp macro="" textlink="">
          <xdr:nvSpPr>
            <xdr:cNvPr id="1060" name="ddB1FrameMake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28575</xdr:rowOff>
        </xdr:from>
        <xdr:to>
          <xdr:col>10</xdr:col>
          <xdr:colOff>1495425</xdr:colOff>
          <xdr:row>11</xdr:row>
          <xdr:rowOff>57150</xdr:rowOff>
        </xdr:to>
        <xdr:sp macro="" textlink="">
          <xdr:nvSpPr>
            <xdr:cNvPr id="1099" name="ComboBox1" hidden="1">
              <a:extLst>
                <a:ext uri="{63B3BB69-23CF-44E3-9099-C40C66FF867C}">
                  <a14:compatExt spid="_x0000_s1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47625</xdr:rowOff>
        </xdr:from>
        <xdr:to>
          <xdr:col>9</xdr:col>
          <xdr:colOff>161925</xdr:colOff>
          <xdr:row>11</xdr:row>
          <xdr:rowOff>57150</xdr:rowOff>
        </xdr:to>
        <xdr:sp macro="" textlink="">
          <xdr:nvSpPr>
            <xdr:cNvPr id="1100" name="CheckBox1" hidden="1">
              <a:extLst>
                <a:ext uri="{63B3BB69-23CF-44E3-9099-C40C66FF867C}">
                  <a14:compatExt spid="_x0000_s1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66675</xdr:rowOff>
        </xdr:from>
        <xdr:to>
          <xdr:col>10</xdr:col>
          <xdr:colOff>1495425</xdr:colOff>
          <xdr:row>12</xdr:row>
          <xdr:rowOff>95250</xdr:rowOff>
        </xdr:to>
        <xdr:sp macro="" textlink="">
          <xdr:nvSpPr>
            <xdr:cNvPr id="1101" name="ComboBox2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11</xdr:row>
          <xdr:rowOff>85725</xdr:rowOff>
        </xdr:from>
        <xdr:to>
          <xdr:col>9</xdr:col>
          <xdr:colOff>161925</xdr:colOff>
          <xdr:row>12</xdr:row>
          <xdr:rowOff>95250</xdr:rowOff>
        </xdr:to>
        <xdr:sp macro="" textlink="">
          <xdr:nvSpPr>
            <xdr:cNvPr id="1102" name="CheckBox2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104775</xdr:rowOff>
        </xdr:from>
        <xdr:to>
          <xdr:col>10</xdr:col>
          <xdr:colOff>1495425</xdr:colOff>
          <xdr:row>13</xdr:row>
          <xdr:rowOff>133350</xdr:rowOff>
        </xdr:to>
        <xdr:sp macro="" textlink="">
          <xdr:nvSpPr>
            <xdr:cNvPr id="1103" name="ComboBox3" hidden="1">
              <a:extLst>
                <a:ext uri="{63B3BB69-23CF-44E3-9099-C40C66FF867C}">
                  <a14:compatExt spid="_x0000_s1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123825</xdr:rowOff>
        </xdr:from>
        <xdr:to>
          <xdr:col>9</xdr:col>
          <xdr:colOff>161925</xdr:colOff>
          <xdr:row>13</xdr:row>
          <xdr:rowOff>133350</xdr:rowOff>
        </xdr:to>
        <xdr:sp macro="" textlink="">
          <xdr:nvSpPr>
            <xdr:cNvPr id="1104" name="CheckBox3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</xdr:row>
          <xdr:rowOff>133350</xdr:rowOff>
        </xdr:from>
        <xdr:to>
          <xdr:col>10</xdr:col>
          <xdr:colOff>1495425</xdr:colOff>
          <xdr:row>14</xdr:row>
          <xdr:rowOff>161925</xdr:rowOff>
        </xdr:to>
        <xdr:sp macro="" textlink="">
          <xdr:nvSpPr>
            <xdr:cNvPr id="1105" name="ComboBox4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152400</xdr:rowOff>
        </xdr:from>
        <xdr:to>
          <xdr:col>9</xdr:col>
          <xdr:colOff>161925</xdr:colOff>
          <xdr:row>14</xdr:row>
          <xdr:rowOff>161925</xdr:rowOff>
        </xdr:to>
        <xdr:sp macro="" textlink="">
          <xdr:nvSpPr>
            <xdr:cNvPr id="1106" name="CheckBox4" hidden="1">
              <a:extLst>
                <a:ext uri="{63B3BB69-23CF-44E3-9099-C40C66FF867C}">
                  <a14:compatExt spid="_x0000_s1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14</xdr:row>
          <xdr:rowOff>161925</xdr:rowOff>
        </xdr:from>
        <xdr:to>
          <xdr:col>10</xdr:col>
          <xdr:colOff>1495425</xdr:colOff>
          <xdr:row>16</xdr:row>
          <xdr:rowOff>0</xdr:rowOff>
        </xdr:to>
        <xdr:sp macro="" textlink="">
          <xdr:nvSpPr>
            <xdr:cNvPr id="1107" name="ComboBox5" hidden="1">
              <a:extLst>
                <a:ext uri="{63B3BB69-23CF-44E3-9099-C40C66FF867C}">
                  <a14:compatExt spid="_x0000_s1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14</xdr:row>
          <xdr:rowOff>180975</xdr:rowOff>
        </xdr:from>
        <xdr:to>
          <xdr:col>9</xdr:col>
          <xdr:colOff>161925</xdr:colOff>
          <xdr:row>16</xdr:row>
          <xdr:rowOff>0</xdr:rowOff>
        </xdr:to>
        <xdr:sp macro="" textlink="">
          <xdr:nvSpPr>
            <xdr:cNvPr id="1108" name="CheckBox5" hidden="1">
              <a:extLst>
                <a:ext uri="{63B3BB69-23CF-44E3-9099-C40C66FF867C}">
                  <a14:compatExt spid="_x0000_s1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14</xdr:row>
          <xdr:rowOff>19050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1109" name="ComboBox6" hidden="1">
              <a:extLst>
                <a:ext uri="{63B3BB69-23CF-44E3-9099-C40C66FF867C}">
                  <a14:compatExt spid="_x0000_s1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15</xdr:row>
          <xdr:rowOff>19050</xdr:rowOff>
        </xdr:from>
        <xdr:to>
          <xdr:col>8</xdr:col>
          <xdr:colOff>0</xdr:colOff>
          <xdr:row>16</xdr:row>
          <xdr:rowOff>9525</xdr:rowOff>
        </xdr:to>
        <xdr:sp macro="" textlink="">
          <xdr:nvSpPr>
            <xdr:cNvPr id="1110" name="ComboBox7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8</xdr:row>
          <xdr:rowOff>19050</xdr:rowOff>
        </xdr:from>
        <xdr:to>
          <xdr:col>10</xdr:col>
          <xdr:colOff>1504950</xdr:colOff>
          <xdr:row>9</xdr:row>
          <xdr:rowOff>9525</xdr:rowOff>
        </xdr:to>
        <xdr:sp macro="" textlink="">
          <xdr:nvSpPr>
            <xdr:cNvPr id="1111" name="ComboBox8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19050</xdr:rowOff>
        </xdr:from>
        <xdr:to>
          <xdr:col>8</xdr:col>
          <xdr:colOff>9525</xdr:colOff>
          <xdr:row>20</xdr:row>
          <xdr:rowOff>0</xdr:rowOff>
        </xdr:to>
        <xdr:sp macro="" textlink="">
          <xdr:nvSpPr>
            <xdr:cNvPr id="1112" name="ComboBox9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28575</xdr:rowOff>
        </xdr:from>
        <xdr:to>
          <xdr:col>8</xdr:col>
          <xdr:colOff>9525</xdr:colOff>
          <xdr:row>19</xdr:row>
          <xdr:rowOff>9525</xdr:rowOff>
        </xdr:to>
        <xdr:sp macro="" textlink="">
          <xdr:nvSpPr>
            <xdr:cNvPr id="1113" name="ComboBox10" hidden="1">
              <a:extLst>
                <a:ext uri="{63B3BB69-23CF-44E3-9099-C40C66FF867C}">
                  <a14:compatExt spid="_x0000_s1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1504950</xdr:colOff>
          <xdr:row>20</xdr:row>
          <xdr:rowOff>0</xdr:rowOff>
        </xdr:to>
        <xdr:sp macro="" textlink="">
          <xdr:nvSpPr>
            <xdr:cNvPr id="1114" name="ComboBox11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28575</xdr:rowOff>
        </xdr:from>
        <xdr:to>
          <xdr:col>10</xdr:col>
          <xdr:colOff>1504950</xdr:colOff>
          <xdr:row>19</xdr:row>
          <xdr:rowOff>9525</xdr:rowOff>
        </xdr:to>
        <xdr:sp macro="" textlink="">
          <xdr:nvSpPr>
            <xdr:cNvPr id="1115" name="ComboBox12" hidden="1">
              <a:extLst>
                <a:ext uri="{63B3BB69-23CF-44E3-9099-C40C66FF867C}">
                  <a14:compatExt spid="_x0000_s1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28575</xdr:rowOff>
        </xdr:from>
        <xdr:to>
          <xdr:col>15</xdr:col>
          <xdr:colOff>1495425</xdr:colOff>
          <xdr:row>11</xdr:row>
          <xdr:rowOff>57150</xdr:rowOff>
        </xdr:to>
        <xdr:sp macro="" textlink="">
          <xdr:nvSpPr>
            <xdr:cNvPr id="1116" name="ComboBox13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47625</xdr:rowOff>
        </xdr:from>
        <xdr:to>
          <xdr:col>14</xdr:col>
          <xdr:colOff>161925</xdr:colOff>
          <xdr:row>11</xdr:row>
          <xdr:rowOff>57150</xdr:rowOff>
        </xdr:to>
        <xdr:sp macro="" textlink="">
          <xdr:nvSpPr>
            <xdr:cNvPr id="1117" name="CheckBox6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</xdr:row>
          <xdr:rowOff>66675</xdr:rowOff>
        </xdr:from>
        <xdr:to>
          <xdr:col>15</xdr:col>
          <xdr:colOff>1495425</xdr:colOff>
          <xdr:row>12</xdr:row>
          <xdr:rowOff>95250</xdr:rowOff>
        </xdr:to>
        <xdr:sp macro="" textlink="">
          <xdr:nvSpPr>
            <xdr:cNvPr id="1118" name="ComboBox14" hidden="1">
              <a:extLst>
                <a:ext uri="{63B3BB69-23CF-44E3-9099-C40C66FF867C}">
                  <a14:compatExt spid="_x0000_s1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85725</xdr:rowOff>
        </xdr:from>
        <xdr:to>
          <xdr:col>14</xdr:col>
          <xdr:colOff>161925</xdr:colOff>
          <xdr:row>12</xdr:row>
          <xdr:rowOff>95250</xdr:rowOff>
        </xdr:to>
        <xdr:sp macro="" textlink="">
          <xdr:nvSpPr>
            <xdr:cNvPr id="1119" name="CheckBox7" hidden="1">
              <a:extLst>
                <a:ext uri="{63B3BB69-23CF-44E3-9099-C40C66FF867C}">
                  <a14:compatExt spid="_x0000_s1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12</xdr:row>
          <xdr:rowOff>104775</xdr:rowOff>
        </xdr:from>
        <xdr:to>
          <xdr:col>15</xdr:col>
          <xdr:colOff>1495425</xdr:colOff>
          <xdr:row>13</xdr:row>
          <xdr:rowOff>133350</xdr:rowOff>
        </xdr:to>
        <xdr:sp macro="" textlink="">
          <xdr:nvSpPr>
            <xdr:cNvPr id="1120" name="ComboBox15" hidden="1">
              <a:extLst>
                <a:ext uri="{63B3BB69-23CF-44E3-9099-C40C66FF867C}">
                  <a14:compatExt spid="_x0000_s1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123825</xdr:rowOff>
        </xdr:from>
        <xdr:to>
          <xdr:col>14</xdr:col>
          <xdr:colOff>161925</xdr:colOff>
          <xdr:row>13</xdr:row>
          <xdr:rowOff>133350</xdr:rowOff>
        </xdr:to>
        <xdr:sp macro="" textlink="">
          <xdr:nvSpPr>
            <xdr:cNvPr id="1121" name="CheckBox8" hidden="1">
              <a:extLst>
                <a:ext uri="{63B3BB69-23CF-44E3-9099-C40C66FF867C}">
                  <a14:compatExt spid="_x0000_s1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</xdr:row>
          <xdr:rowOff>133350</xdr:rowOff>
        </xdr:from>
        <xdr:to>
          <xdr:col>15</xdr:col>
          <xdr:colOff>1495425</xdr:colOff>
          <xdr:row>14</xdr:row>
          <xdr:rowOff>161925</xdr:rowOff>
        </xdr:to>
        <xdr:sp macro="" textlink="">
          <xdr:nvSpPr>
            <xdr:cNvPr id="1122" name="ComboBox16" hidden="1">
              <a:extLst>
                <a:ext uri="{63B3BB69-23CF-44E3-9099-C40C66FF867C}">
                  <a14:compatExt spid="_x0000_s1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152400</xdr:rowOff>
        </xdr:from>
        <xdr:to>
          <xdr:col>14</xdr:col>
          <xdr:colOff>161925</xdr:colOff>
          <xdr:row>14</xdr:row>
          <xdr:rowOff>161925</xdr:rowOff>
        </xdr:to>
        <xdr:sp macro="" textlink="">
          <xdr:nvSpPr>
            <xdr:cNvPr id="1123" name="CheckBox9" hidden="1">
              <a:extLst>
                <a:ext uri="{63B3BB69-23CF-44E3-9099-C40C66FF867C}">
                  <a14:compatExt spid="_x0000_s1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</xdr:row>
          <xdr:rowOff>161925</xdr:rowOff>
        </xdr:from>
        <xdr:to>
          <xdr:col>15</xdr:col>
          <xdr:colOff>1495425</xdr:colOff>
          <xdr:row>16</xdr:row>
          <xdr:rowOff>0</xdr:rowOff>
        </xdr:to>
        <xdr:sp macro="" textlink="">
          <xdr:nvSpPr>
            <xdr:cNvPr id="1124" name="ComboBox17" hidden="1">
              <a:extLst>
                <a:ext uri="{63B3BB69-23CF-44E3-9099-C40C66FF867C}">
                  <a14:compatExt spid="_x0000_s1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180975</xdr:rowOff>
        </xdr:from>
        <xdr:to>
          <xdr:col>14</xdr:col>
          <xdr:colOff>161925</xdr:colOff>
          <xdr:row>16</xdr:row>
          <xdr:rowOff>0</xdr:rowOff>
        </xdr:to>
        <xdr:sp macro="" textlink="">
          <xdr:nvSpPr>
            <xdr:cNvPr id="1125" name="CheckBox10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8</xdr:row>
          <xdr:rowOff>19050</xdr:rowOff>
        </xdr:from>
        <xdr:to>
          <xdr:col>15</xdr:col>
          <xdr:colOff>1504950</xdr:colOff>
          <xdr:row>9</xdr:row>
          <xdr:rowOff>9525</xdr:rowOff>
        </xdr:to>
        <xdr:sp macro="" textlink="">
          <xdr:nvSpPr>
            <xdr:cNvPr id="1128" name="ComboBox20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19050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1129" name="ComboBox21" hidden="1">
              <a:extLst>
                <a:ext uri="{63B3BB69-23CF-44E3-9099-C40C66FF867C}">
                  <a14:compatExt spid="_x0000_s1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28575</xdr:rowOff>
        </xdr:from>
        <xdr:to>
          <xdr:col>13</xdr:col>
          <xdr:colOff>9525</xdr:colOff>
          <xdr:row>19</xdr:row>
          <xdr:rowOff>9525</xdr:rowOff>
        </xdr:to>
        <xdr:sp macro="" textlink="">
          <xdr:nvSpPr>
            <xdr:cNvPr id="1130" name="ComboBox22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19</xdr:row>
          <xdr:rowOff>9525</xdr:rowOff>
        </xdr:from>
        <xdr:to>
          <xdr:col>15</xdr:col>
          <xdr:colOff>1504950</xdr:colOff>
          <xdr:row>20</xdr:row>
          <xdr:rowOff>0</xdr:rowOff>
        </xdr:to>
        <xdr:sp macro="" textlink="">
          <xdr:nvSpPr>
            <xdr:cNvPr id="1131" name="ComboBox23" hidden="1">
              <a:extLst>
                <a:ext uri="{63B3BB69-23CF-44E3-9099-C40C66FF867C}">
                  <a14:compatExt spid="_x0000_s1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28575</xdr:rowOff>
        </xdr:from>
        <xdr:to>
          <xdr:col>15</xdr:col>
          <xdr:colOff>1504950</xdr:colOff>
          <xdr:row>19</xdr:row>
          <xdr:rowOff>9525</xdr:rowOff>
        </xdr:to>
        <xdr:sp macro="" textlink="">
          <xdr:nvSpPr>
            <xdr:cNvPr id="1132" name="ComboBox24" hidden="1">
              <a:extLst>
                <a:ext uri="{63B3BB69-23CF-44E3-9099-C40C66FF867C}">
                  <a14:compatExt spid="_x0000_s1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10</xdr:row>
          <xdr:rowOff>28575</xdr:rowOff>
        </xdr:from>
        <xdr:to>
          <xdr:col>20</xdr:col>
          <xdr:colOff>1495425</xdr:colOff>
          <xdr:row>11</xdr:row>
          <xdr:rowOff>57150</xdr:rowOff>
        </xdr:to>
        <xdr:sp macro="" textlink="">
          <xdr:nvSpPr>
            <xdr:cNvPr id="1133" name="ComboBox25" hidden="1">
              <a:extLst>
                <a:ext uri="{63B3BB69-23CF-44E3-9099-C40C66FF867C}">
                  <a14:compatExt spid="_x0000_s1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10</xdr:row>
          <xdr:rowOff>47625</xdr:rowOff>
        </xdr:from>
        <xdr:to>
          <xdr:col>19</xdr:col>
          <xdr:colOff>161925</xdr:colOff>
          <xdr:row>11</xdr:row>
          <xdr:rowOff>57150</xdr:rowOff>
        </xdr:to>
        <xdr:sp macro="" textlink="">
          <xdr:nvSpPr>
            <xdr:cNvPr id="1134" name="CheckBox11" hidden="1">
              <a:extLst>
                <a:ext uri="{63B3BB69-23CF-44E3-9099-C40C66FF867C}">
                  <a14:compatExt spid="_x0000_s1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11</xdr:row>
          <xdr:rowOff>66675</xdr:rowOff>
        </xdr:from>
        <xdr:to>
          <xdr:col>20</xdr:col>
          <xdr:colOff>1495425</xdr:colOff>
          <xdr:row>12</xdr:row>
          <xdr:rowOff>95250</xdr:rowOff>
        </xdr:to>
        <xdr:sp macro="" textlink="">
          <xdr:nvSpPr>
            <xdr:cNvPr id="1135" name="ComboBox26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11</xdr:row>
          <xdr:rowOff>85725</xdr:rowOff>
        </xdr:from>
        <xdr:to>
          <xdr:col>19</xdr:col>
          <xdr:colOff>161925</xdr:colOff>
          <xdr:row>12</xdr:row>
          <xdr:rowOff>95250</xdr:rowOff>
        </xdr:to>
        <xdr:sp macro="" textlink="">
          <xdr:nvSpPr>
            <xdr:cNvPr id="1136" name="CheckBox12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12</xdr:row>
          <xdr:rowOff>104775</xdr:rowOff>
        </xdr:from>
        <xdr:to>
          <xdr:col>20</xdr:col>
          <xdr:colOff>1495425</xdr:colOff>
          <xdr:row>13</xdr:row>
          <xdr:rowOff>133350</xdr:rowOff>
        </xdr:to>
        <xdr:sp macro="" textlink="">
          <xdr:nvSpPr>
            <xdr:cNvPr id="1137" name="ComboBox27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12</xdr:row>
          <xdr:rowOff>123825</xdr:rowOff>
        </xdr:from>
        <xdr:to>
          <xdr:col>19</xdr:col>
          <xdr:colOff>161925</xdr:colOff>
          <xdr:row>13</xdr:row>
          <xdr:rowOff>133350</xdr:rowOff>
        </xdr:to>
        <xdr:sp macro="" textlink="">
          <xdr:nvSpPr>
            <xdr:cNvPr id="1138" name="CheckBox13" hidden="1">
              <a:extLst>
                <a:ext uri="{63B3BB69-23CF-44E3-9099-C40C66FF867C}">
                  <a14:compatExt spid="_x0000_s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13</xdr:row>
          <xdr:rowOff>133350</xdr:rowOff>
        </xdr:from>
        <xdr:to>
          <xdr:col>20</xdr:col>
          <xdr:colOff>1495425</xdr:colOff>
          <xdr:row>14</xdr:row>
          <xdr:rowOff>161925</xdr:rowOff>
        </xdr:to>
        <xdr:sp macro="" textlink="">
          <xdr:nvSpPr>
            <xdr:cNvPr id="1139" name="ComboBox28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13</xdr:row>
          <xdr:rowOff>152400</xdr:rowOff>
        </xdr:from>
        <xdr:to>
          <xdr:col>19</xdr:col>
          <xdr:colOff>161925</xdr:colOff>
          <xdr:row>14</xdr:row>
          <xdr:rowOff>161925</xdr:rowOff>
        </xdr:to>
        <xdr:sp macro="" textlink="">
          <xdr:nvSpPr>
            <xdr:cNvPr id="1140" name="CheckBox14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14</xdr:row>
          <xdr:rowOff>161925</xdr:rowOff>
        </xdr:from>
        <xdr:to>
          <xdr:col>20</xdr:col>
          <xdr:colOff>1495425</xdr:colOff>
          <xdr:row>16</xdr:row>
          <xdr:rowOff>0</xdr:rowOff>
        </xdr:to>
        <xdr:sp macro="" textlink="">
          <xdr:nvSpPr>
            <xdr:cNvPr id="1141" name="ComboBox29" hidden="1">
              <a:extLst>
                <a:ext uri="{63B3BB69-23CF-44E3-9099-C40C66FF867C}">
                  <a14:compatExt spid="_x0000_s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14</xdr:row>
          <xdr:rowOff>180975</xdr:rowOff>
        </xdr:from>
        <xdr:to>
          <xdr:col>19</xdr:col>
          <xdr:colOff>161925</xdr:colOff>
          <xdr:row>16</xdr:row>
          <xdr:rowOff>0</xdr:rowOff>
        </xdr:to>
        <xdr:sp macro="" textlink="">
          <xdr:nvSpPr>
            <xdr:cNvPr id="1142" name="CheckBox15" hidden="1">
              <a:extLst>
                <a:ext uri="{63B3BB69-23CF-44E3-9099-C40C66FF867C}">
                  <a14:compatExt spid="_x0000_s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14</xdr:row>
          <xdr:rowOff>19050</xdr:rowOff>
        </xdr:from>
        <xdr:to>
          <xdr:col>18</xdr:col>
          <xdr:colOff>0</xdr:colOff>
          <xdr:row>15</xdr:row>
          <xdr:rowOff>9525</xdr:rowOff>
        </xdr:to>
        <xdr:sp macro="" textlink="">
          <xdr:nvSpPr>
            <xdr:cNvPr id="1143" name="ComboBox30" hidden="1">
              <a:extLst>
                <a:ext uri="{63B3BB69-23CF-44E3-9099-C40C66FF867C}">
                  <a14:compatExt spid="_x0000_s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15</xdr:row>
          <xdr:rowOff>19050</xdr:rowOff>
        </xdr:from>
        <xdr:to>
          <xdr:col>18</xdr:col>
          <xdr:colOff>0</xdr:colOff>
          <xdr:row>16</xdr:row>
          <xdr:rowOff>9525</xdr:rowOff>
        </xdr:to>
        <xdr:sp macro="" textlink="">
          <xdr:nvSpPr>
            <xdr:cNvPr id="1144" name="ComboBox31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19050</xdr:rowOff>
        </xdr:from>
        <xdr:to>
          <xdr:col>20</xdr:col>
          <xdr:colOff>1504950</xdr:colOff>
          <xdr:row>9</xdr:row>
          <xdr:rowOff>9525</xdr:rowOff>
        </xdr:to>
        <xdr:sp macro="" textlink="">
          <xdr:nvSpPr>
            <xdr:cNvPr id="1145" name="ComboBox32" hidden="1">
              <a:extLst>
                <a:ext uri="{63B3BB69-23CF-44E3-9099-C40C66FF867C}">
                  <a14:compatExt spid="_x0000_s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19050</xdr:rowOff>
        </xdr:from>
        <xdr:to>
          <xdr:col>18</xdr:col>
          <xdr:colOff>9525</xdr:colOff>
          <xdr:row>20</xdr:row>
          <xdr:rowOff>0</xdr:rowOff>
        </xdr:to>
        <xdr:sp macro="" textlink="">
          <xdr:nvSpPr>
            <xdr:cNvPr id="1146" name="ComboBox33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28575</xdr:rowOff>
        </xdr:from>
        <xdr:to>
          <xdr:col>18</xdr:col>
          <xdr:colOff>9525</xdr:colOff>
          <xdr:row>19</xdr:row>
          <xdr:rowOff>9525</xdr:rowOff>
        </xdr:to>
        <xdr:sp macro="" textlink="">
          <xdr:nvSpPr>
            <xdr:cNvPr id="1147" name="ComboBox34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19</xdr:row>
          <xdr:rowOff>9525</xdr:rowOff>
        </xdr:from>
        <xdr:to>
          <xdr:col>20</xdr:col>
          <xdr:colOff>1504950</xdr:colOff>
          <xdr:row>20</xdr:row>
          <xdr:rowOff>0</xdr:rowOff>
        </xdr:to>
        <xdr:sp macro="" textlink="">
          <xdr:nvSpPr>
            <xdr:cNvPr id="1148" name="ComboBox35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18</xdr:row>
          <xdr:rowOff>28575</xdr:rowOff>
        </xdr:from>
        <xdr:to>
          <xdr:col>20</xdr:col>
          <xdr:colOff>1504950</xdr:colOff>
          <xdr:row>19</xdr:row>
          <xdr:rowOff>9525</xdr:rowOff>
        </xdr:to>
        <xdr:sp macro="" textlink="">
          <xdr:nvSpPr>
            <xdr:cNvPr id="1149" name="ComboBox36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10</xdr:row>
          <xdr:rowOff>28575</xdr:rowOff>
        </xdr:from>
        <xdr:to>
          <xdr:col>10</xdr:col>
          <xdr:colOff>1495425</xdr:colOff>
          <xdr:row>11</xdr:row>
          <xdr:rowOff>57150</xdr:rowOff>
        </xdr:to>
        <xdr:sp macro="" textlink="">
          <xdr:nvSpPr>
            <xdr:cNvPr id="1218" name="ddB2Task1" hidden="1">
              <a:extLst>
                <a:ext uri="{63B3BB69-23CF-44E3-9099-C40C66FF867C}">
                  <a14:compatExt spid="_x0000_s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10</xdr:row>
          <xdr:rowOff>47625</xdr:rowOff>
        </xdr:from>
        <xdr:to>
          <xdr:col>9</xdr:col>
          <xdr:colOff>161925</xdr:colOff>
          <xdr:row>11</xdr:row>
          <xdr:rowOff>57150</xdr:rowOff>
        </xdr:to>
        <xdr:sp macro="" textlink="">
          <xdr:nvSpPr>
            <xdr:cNvPr id="1219" name="cbB2Task1" hidden="1">
              <a:extLst>
                <a:ext uri="{63B3BB69-23CF-44E3-9099-C40C66FF867C}">
                  <a14:compatExt spid="_x0000_s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11</xdr:row>
          <xdr:rowOff>66675</xdr:rowOff>
        </xdr:from>
        <xdr:to>
          <xdr:col>10</xdr:col>
          <xdr:colOff>1495425</xdr:colOff>
          <xdr:row>12</xdr:row>
          <xdr:rowOff>95250</xdr:rowOff>
        </xdr:to>
        <xdr:sp macro="" textlink="">
          <xdr:nvSpPr>
            <xdr:cNvPr id="1220" name="ddB2Task2" hidden="1">
              <a:extLst>
                <a:ext uri="{63B3BB69-23CF-44E3-9099-C40C66FF867C}">
                  <a14:compatExt spid="_x0000_s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11</xdr:row>
          <xdr:rowOff>85725</xdr:rowOff>
        </xdr:from>
        <xdr:to>
          <xdr:col>9</xdr:col>
          <xdr:colOff>161925</xdr:colOff>
          <xdr:row>12</xdr:row>
          <xdr:rowOff>95250</xdr:rowOff>
        </xdr:to>
        <xdr:sp macro="" textlink="">
          <xdr:nvSpPr>
            <xdr:cNvPr id="1221" name="cbB2Task2" hidden="1">
              <a:extLst>
                <a:ext uri="{63B3BB69-23CF-44E3-9099-C40C66FF867C}">
                  <a14:compatExt spid="_x0000_s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12</xdr:row>
          <xdr:rowOff>104775</xdr:rowOff>
        </xdr:from>
        <xdr:to>
          <xdr:col>10</xdr:col>
          <xdr:colOff>1495425</xdr:colOff>
          <xdr:row>13</xdr:row>
          <xdr:rowOff>133350</xdr:rowOff>
        </xdr:to>
        <xdr:sp macro="" textlink="">
          <xdr:nvSpPr>
            <xdr:cNvPr id="1222" name="ddB2Task3" hidden="1">
              <a:extLst>
                <a:ext uri="{63B3BB69-23CF-44E3-9099-C40C66FF867C}">
                  <a14:compatExt spid="_x0000_s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12</xdr:row>
          <xdr:rowOff>123825</xdr:rowOff>
        </xdr:from>
        <xdr:to>
          <xdr:col>9</xdr:col>
          <xdr:colOff>161925</xdr:colOff>
          <xdr:row>13</xdr:row>
          <xdr:rowOff>133350</xdr:rowOff>
        </xdr:to>
        <xdr:sp macro="" textlink="">
          <xdr:nvSpPr>
            <xdr:cNvPr id="1223" name="cbB2Task3" hidden="1">
              <a:extLst>
                <a:ext uri="{63B3BB69-23CF-44E3-9099-C40C66FF867C}">
                  <a14:compatExt spid="_x0000_s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13</xdr:row>
          <xdr:rowOff>133350</xdr:rowOff>
        </xdr:from>
        <xdr:to>
          <xdr:col>10</xdr:col>
          <xdr:colOff>1495425</xdr:colOff>
          <xdr:row>14</xdr:row>
          <xdr:rowOff>161925</xdr:rowOff>
        </xdr:to>
        <xdr:sp macro="" textlink="">
          <xdr:nvSpPr>
            <xdr:cNvPr id="1224" name="ddB2Task4" hidden="1">
              <a:extLst>
                <a:ext uri="{63B3BB69-23CF-44E3-9099-C40C66FF867C}">
                  <a14:compatExt spid="_x0000_s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13</xdr:row>
          <xdr:rowOff>152400</xdr:rowOff>
        </xdr:from>
        <xdr:to>
          <xdr:col>9</xdr:col>
          <xdr:colOff>161925</xdr:colOff>
          <xdr:row>14</xdr:row>
          <xdr:rowOff>161925</xdr:rowOff>
        </xdr:to>
        <xdr:sp macro="" textlink="">
          <xdr:nvSpPr>
            <xdr:cNvPr id="1225" name="cbB2Task4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14</xdr:row>
          <xdr:rowOff>161925</xdr:rowOff>
        </xdr:from>
        <xdr:to>
          <xdr:col>10</xdr:col>
          <xdr:colOff>1495425</xdr:colOff>
          <xdr:row>16</xdr:row>
          <xdr:rowOff>0</xdr:rowOff>
        </xdr:to>
        <xdr:sp macro="" textlink="">
          <xdr:nvSpPr>
            <xdr:cNvPr id="1226" name="ddB2Task5" hidden="1">
              <a:extLst>
                <a:ext uri="{63B3BB69-23CF-44E3-9099-C40C66FF867C}">
                  <a14:compatExt spid="_x0000_s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14</xdr:row>
          <xdr:rowOff>180975</xdr:rowOff>
        </xdr:from>
        <xdr:to>
          <xdr:col>9</xdr:col>
          <xdr:colOff>161925</xdr:colOff>
          <xdr:row>16</xdr:row>
          <xdr:rowOff>0</xdr:rowOff>
        </xdr:to>
        <xdr:sp macro="" textlink="">
          <xdr:nvSpPr>
            <xdr:cNvPr id="1227" name="cbB2Task5" hidden="1">
              <a:extLst>
                <a:ext uri="{63B3BB69-23CF-44E3-9099-C40C66FF867C}">
                  <a14:compatExt spid="_x0000_s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14</xdr:row>
          <xdr:rowOff>19050</xdr:rowOff>
        </xdr:from>
        <xdr:to>
          <xdr:col>8</xdr:col>
          <xdr:colOff>0</xdr:colOff>
          <xdr:row>15</xdr:row>
          <xdr:rowOff>9525</xdr:rowOff>
        </xdr:to>
        <xdr:sp macro="" textlink="">
          <xdr:nvSpPr>
            <xdr:cNvPr id="1228" name="ddB2PartsProvider" hidden="1">
              <a:extLst>
                <a:ext uri="{63B3BB69-23CF-44E3-9099-C40C66FF867C}">
                  <a14:compatExt spid="_x0000_s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15</xdr:row>
          <xdr:rowOff>19050</xdr:rowOff>
        </xdr:from>
        <xdr:to>
          <xdr:col>8</xdr:col>
          <xdr:colOff>0</xdr:colOff>
          <xdr:row>16</xdr:row>
          <xdr:rowOff>9525</xdr:rowOff>
        </xdr:to>
        <xdr:sp macro="" textlink="">
          <xdr:nvSpPr>
            <xdr:cNvPr id="1229" name="ddB2PartType" hidden="1">
              <a:extLst>
                <a:ext uri="{63B3BB69-23CF-44E3-9099-C40C66FF867C}">
                  <a14:compatExt spid="_x0000_s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8</xdr:row>
          <xdr:rowOff>19050</xdr:rowOff>
        </xdr:from>
        <xdr:to>
          <xdr:col>10</xdr:col>
          <xdr:colOff>1504950</xdr:colOff>
          <xdr:row>9</xdr:row>
          <xdr:rowOff>9525</xdr:rowOff>
        </xdr:to>
        <xdr:sp macro="" textlink="">
          <xdr:nvSpPr>
            <xdr:cNvPr id="1230" name="ddB2Customer" hidden="1">
              <a:extLst>
                <a:ext uri="{63B3BB69-23CF-44E3-9099-C40C66FF867C}">
                  <a14:compatExt spid="_x0000_s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19</xdr:row>
          <xdr:rowOff>19050</xdr:rowOff>
        </xdr:from>
        <xdr:to>
          <xdr:col>8</xdr:col>
          <xdr:colOff>9525</xdr:colOff>
          <xdr:row>20</xdr:row>
          <xdr:rowOff>0</xdr:rowOff>
        </xdr:to>
        <xdr:sp macro="" textlink="">
          <xdr:nvSpPr>
            <xdr:cNvPr id="1231" name="ddB2EngineModels" hidden="1">
              <a:extLst>
                <a:ext uri="{63B3BB69-23CF-44E3-9099-C40C66FF867C}">
                  <a14:compatExt spid="_x0000_s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18</xdr:row>
          <xdr:rowOff>28575</xdr:rowOff>
        </xdr:from>
        <xdr:to>
          <xdr:col>8</xdr:col>
          <xdr:colOff>9525</xdr:colOff>
          <xdr:row>19</xdr:row>
          <xdr:rowOff>9525</xdr:rowOff>
        </xdr:to>
        <xdr:sp macro="" textlink="">
          <xdr:nvSpPr>
            <xdr:cNvPr id="1232" name="ddB2EngineMake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1504950</xdr:colOff>
          <xdr:row>20</xdr:row>
          <xdr:rowOff>0</xdr:rowOff>
        </xdr:to>
        <xdr:sp macro="" textlink="">
          <xdr:nvSpPr>
            <xdr:cNvPr id="1233" name="ddB2FrameModel" hidden="1">
              <a:extLst>
                <a:ext uri="{63B3BB69-23CF-44E3-9099-C40C66FF867C}">
                  <a14:compatExt spid="_x0000_s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28575</xdr:rowOff>
        </xdr:from>
        <xdr:to>
          <xdr:col>10</xdr:col>
          <xdr:colOff>1504950</xdr:colOff>
          <xdr:row>19</xdr:row>
          <xdr:rowOff>9525</xdr:rowOff>
        </xdr:to>
        <xdr:sp macro="" textlink="">
          <xdr:nvSpPr>
            <xdr:cNvPr id="1234" name="ddB2FrameMake" hidden="1">
              <a:extLst>
                <a:ext uri="{63B3BB69-23CF-44E3-9099-C40C66FF867C}">
                  <a14:compatExt spid="_x0000_s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10</xdr:row>
          <xdr:rowOff>28575</xdr:rowOff>
        </xdr:from>
        <xdr:to>
          <xdr:col>15</xdr:col>
          <xdr:colOff>1495425</xdr:colOff>
          <xdr:row>11</xdr:row>
          <xdr:rowOff>57150</xdr:rowOff>
        </xdr:to>
        <xdr:sp macro="" textlink="">
          <xdr:nvSpPr>
            <xdr:cNvPr id="1235" name="ddB3Task1" hidden="1">
              <a:extLst>
                <a:ext uri="{63B3BB69-23CF-44E3-9099-C40C66FF867C}">
                  <a14:compatExt spid="_x0000_s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47625</xdr:rowOff>
        </xdr:from>
        <xdr:to>
          <xdr:col>14</xdr:col>
          <xdr:colOff>161925</xdr:colOff>
          <xdr:row>11</xdr:row>
          <xdr:rowOff>57150</xdr:rowOff>
        </xdr:to>
        <xdr:sp macro="" textlink="">
          <xdr:nvSpPr>
            <xdr:cNvPr id="1236" name="cbB3Task1" hidden="1">
              <a:extLst>
                <a:ext uri="{63B3BB69-23CF-44E3-9099-C40C66FF867C}">
                  <a14:compatExt spid="_x0000_s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11</xdr:row>
          <xdr:rowOff>66675</xdr:rowOff>
        </xdr:from>
        <xdr:to>
          <xdr:col>15</xdr:col>
          <xdr:colOff>1495425</xdr:colOff>
          <xdr:row>12</xdr:row>
          <xdr:rowOff>95250</xdr:rowOff>
        </xdr:to>
        <xdr:sp macro="" textlink="">
          <xdr:nvSpPr>
            <xdr:cNvPr id="1237" name="ddB3Task2" hidden="1">
              <a:extLst>
                <a:ext uri="{63B3BB69-23CF-44E3-9099-C40C66FF867C}">
                  <a14:compatExt spid="_x0000_s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85725</xdr:rowOff>
        </xdr:from>
        <xdr:to>
          <xdr:col>14</xdr:col>
          <xdr:colOff>161925</xdr:colOff>
          <xdr:row>12</xdr:row>
          <xdr:rowOff>95250</xdr:rowOff>
        </xdr:to>
        <xdr:sp macro="" textlink="">
          <xdr:nvSpPr>
            <xdr:cNvPr id="1238" name="cbB3Task2" hidden="1">
              <a:extLst>
                <a:ext uri="{63B3BB69-23CF-44E3-9099-C40C66FF867C}">
                  <a14:compatExt spid="_x0000_s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12</xdr:row>
          <xdr:rowOff>104775</xdr:rowOff>
        </xdr:from>
        <xdr:to>
          <xdr:col>15</xdr:col>
          <xdr:colOff>1495425</xdr:colOff>
          <xdr:row>13</xdr:row>
          <xdr:rowOff>133350</xdr:rowOff>
        </xdr:to>
        <xdr:sp macro="" textlink="">
          <xdr:nvSpPr>
            <xdr:cNvPr id="1239" name="ddB3Task3" hidden="1">
              <a:extLst>
                <a:ext uri="{63B3BB69-23CF-44E3-9099-C40C66FF867C}">
                  <a14:compatExt spid="_x0000_s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123825</xdr:rowOff>
        </xdr:from>
        <xdr:to>
          <xdr:col>14</xdr:col>
          <xdr:colOff>161925</xdr:colOff>
          <xdr:row>13</xdr:row>
          <xdr:rowOff>133350</xdr:rowOff>
        </xdr:to>
        <xdr:sp macro="" textlink="">
          <xdr:nvSpPr>
            <xdr:cNvPr id="1240" name="cbB3Task3" hidden="1">
              <a:extLst>
                <a:ext uri="{63B3BB69-23CF-44E3-9099-C40C66FF867C}">
                  <a14:compatExt spid="_x0000_s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13</xdr:row>
          <xdr:rowOff>133350</xdr:rowOff>
        </xdr:from>
        <xdr:to>
          <xdr:col>15</xdr:col>
          <xdr:colOff>1495425</xdr:colOff>
          <xdr:row>14</xdr:row>
          <xdr:rowOff>161925</xdr:rowOff>
        </xdr:to>
        <xdr:sp macro="" textlink="">
          <xdr:nvSpPr>
            <xdr:cNvPr id="1241" name="ddB3Task4" hidden="1">
              <a:extLst>
                <a:ext uri="{63B3BB69-23CF-44E3-9099-C40C66FF867C}">
                  <a14:compatExt spid="_x0000_s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152400</xdr:rowOff>
        </xdr:from>
        <xdr:to>
          <xdr:col>14</xdr:col>
          <xdr:colOff>161925</xdr:colOff>
          <xdr:row>14</xdr:row>
          <xdr:rowOff>161925</xdr:rowOff>
        </xdr:to>
        <xdr:sp macro="" textlink="">
          <xdr:nvSpPr>
            <xdr:cNvPr id="1242" name="cbB3Task4" hidden="1">
              <a:extLst>
                <a:ext uri="{63B3BB69-23CF-44E3-9099-C40C66FF867C}">
                  <a14:compatExt spid="_x0000_s1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14</xdr:row>
          <xdr:rowOff>161925</xdr:rowOff>
        </xdr:from>
        <xdr:to>
          <xdr:col>15</xdr:col>
          <xdr:colOff>1495425</xdr:colOff>
          <xdr:row>16</xdr:row>
          <xdr:rowOff>0</xdr:rowOff>
        </xdr:to>
        <xdr:sp macro="" textlink="">
          <xdr:nvSpPr>
            <xdr:cNvPr id="1243" name="ddB3Task5" hidden="1">
              <a:extLst>
                <a:ext uri="{63B3BB69-23CF-44E3-9099-C40C66FF867C}">
                  <a14:compatExt spid="_x0000_s1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180975</xdr:rowOff>
        </xdr:from>
        <xdr:to>
          <xdr:col>14</xdr:col>
          <xdr:colOff>161925</xdr:colOff>
          <xdr:row>16</xdr:row>
          <xdr:rowOff>0</xdr:rowOff>
        </xdr:to>
        <xdr:sp macro="" textlink="">
          <xdr:nvSpPr>
            <xdr:cNvPr id="1244" name="cbB3Task5" hidden="1">
              <a:extLst>
                <a:ext uri="{63B3BB69-23CF-44E3-9099-C40C66FF867C}">
                  <a14:compatExt spid="_x0000_s1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14</xdr:row>
          <xdr:rowOff>19050</xdr:rowOff>
        </xdr:from>
        <xdr:to>
          <xdr:col>13</xdr:col>
          <xdr:colOff>0</xdr:colOff>
          <xdr:row>15</xdr:row>
          <xdr:rowOff>9525</xdr:rowOff>
        </xdr:to>
        <xdr:sp macro="" textlink="">
          <xdr:nvSpPr>
            <xdr:cNvPr id="1245" name="ddB3PartsProvider" hidden="1">
              <a:extLst>
                <a:ext uri="{63B3BB69-23CF-44E3-9099-C40C66FF867C}">
                  <a14:compatExt spid="_x0000_s1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15</xdr:row>
          <xdr:rowOff>19050</xdr:rowOff>
        </xdr:from>
        <xdr:to>
          <xdr:col>13</xdr:col>
          <xdr:colOff>0</xdr:colOff>
          <xdr:row>16</xdr:row>
          <xdr:rowOff>9525</xdr:rowOff>
        </xdr:to>
        <xdr:sp macro="" textlink="">
          <xdr:nvSpPr>
            <xdr:cNvPr id="1246" name="ddB3PartType" hidden="1">
              <a:extLst>
                <a:ext uri="{63B3BB69-23CF-44E3-9099-C40C66FF867C}">
                  <a14:compatExt spid="_x0000_s1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8</xdr:row>
          <xdr:rowOff>19050</xdr:rowOff>
        </xdr:from>
        <xdr:to>
          <xdr:col>15</xdr:col>
          <xdr:colOff>1504950</xdr:colOff>
          <xdr:row>9</xdr:row>
          <xdr:rowOff>9525</xdr:rowOff>
        </xdr:to>
        <xdr:sp macro="" textlink="">
          <xdr:nvSpPr>
            <xdr:cNvPr id="1247" name="ddB3Customer" hidden="1">
              <a:extLst>
                <a:ext uri="{63B3BB69-23CF-44E3-9099-C40C66FF867C}">
                  <a14:compatExt spid="_x0000_s1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19</xdr:row>
          <xdr:rowOff>19050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1248" name="ddB3EngineModels" hidden="1">
              <a:extLst>
                <a:ext uri="{63B3BB69-23CF-44E3-9099-C40C66FF867C}">
                  <a14:compatExt spid="_x0000_s1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18</xdr:row>
          <xdr:rowOff>28575</xdr:rowOff>
        </xdr:from>
        <xdr:to>
          <xdr:col>13</xdr:col>
          <xdr:colOff>9525</xdr:colOff>
          <xdr:row>19</xdr:row>
          <xdr:rowOff>9525</xdr:rowOff>
        </xdr:to>
        <xdr:sp macro="" textlink="">
          <xdr:nvSpPr>
            <xdr:cNvPr id="1249" name="ddB3EngineMake" hidden="1">
              <a:extLst>
                <a:ext uri="{63B3BB69-23CF-44E3-9099-C40C66FF867C}">
                  <a14:compatExt spid="_x0000_s1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19</xdr:row>
          <xdr:rowOff>9525</xdr:rowOff>
        </xdr:from>
        <xdr:to>
          <xdr:col>15</xdr:col>
          <xdr:colOff>1504950</xdr:colOff>
          <xdr:row>20</xdr:row>
          <xdr:rowOff>0</xdr:rowOff>
        </xdr:to>
        <xdr:sp macro="" textlink="">
          <xdr:nvSpPr>
            <xdr:cNvPr id="1250" name="ddB3FrameModel" hidden="1">
              <a:extLst>
                <a:ext uri="{63B3BB69-23CF-44E3-9099-C40C66FF867C}">
                  <a14:compatExt spid="_x0000_s1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18</xdr:row>
          <xdr:rowOff>28575</xdr:rowOff>
        </xdr:from>
        <xdr:to>
          <xdr:col>15</xdr:col>
          <xdr:colOff>1504950</xdr:colOff>
          <xdr:row>19</xdr:row>
          <xdr:rowOff>9525</xdr:rowOff>
        </xdr:to>
        <xdr:sp macro="" textlink="">
          <xdr:nvSpPr>
            <xdr:cNvPr id="1251" name="ddB3FrameMake" hidden="1">
              <a:extLst>
                <a:ext uri="{63B3BB69-23CF-44E3-9099-C40C66FF867C}">
                  <a14:compatExt spid="_x0000_s1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10</xdr:row>
          <xdr:rowOff>28575</xdr:rowOff>
        </xdr:from>
        <xdr:to>
          <xdr:col>20</xdr:col>
          <xdr:colOff>1495425</xdr:colOff>
          <xdr:row>11</xdr:row>
          <xdr:rowOff>57150</xdr:rowOff>
        </xdr:to>
        <xdr:sp macro="" textlink="">
          <xdr:nvSpPr>
            <xdr:cNvPr id="1252" name="ddB4Task1" hidden="1">
              <a:extLst>
                <a:ext uri="{63B3BB69-23CF-44E3-9099-C40C66FF867C}">
                  <a14:compatExt spid="_x0000_s1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10</xdr:row>
          <xdr:rowOff>47625</xdr:rowOff>
        </xdr:from>
        <xdr:to>
          <xdr:col>19</xdr:col>
          <xdr:colOff>161925</xdr:colOff>
          <xdr:row>11</xdr:row>
          <xdr:rowOff>57150</xdr:rowOff>
        </xdr:to>
        <xdr:sp macro="" textlink="">
          <xdr:nvSpPr>
            <xdr:cNvPr id="1253" name="cbB4Task1" hidden="1">
              <a:extLst>
                <a:ext uri="{63B3BB69-23CF-44E3-9099-C40C66FF867C}">
                  <a14:compatExt spid="_x0000_s1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11</xdr:row>
          <xdr:rowOff>66675</xdr:rowOff>
        </xdr:from>
        <xdr:to>
          <xdr:col>20</xdr:col>
          <xdr:colOff>1495425</xdr:colOff>
          <xdr:row>12</xdr:row>
          <xdr:rowOff>95250</xdr:rowOff>
        </xdr:to>
        <xdr:sp macro="" textlink="">
          <xdr:nvSpPr>
            <xdr:cNvPr id="1254" name="ddB4Task2" hidden="1">
              <a:extLst>
                <a:ext uri="{63B3BB69-23CF-44E3-9099-C40C66FF867C}">
                  <a14:compatExt spid="_x0000_s1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11</xdr:row>
          <xdr:rowOff>85725</xdr:rowOff>
        </xdr:from>
        <xdr:to>
          <xdr:col>19</xdr:col>
          <xdr:colOff>161925</xdr:colOff>
          <xdr:row>12</xdr:row>
          <xdr:rowOff>95250</xdr:rowOff>
        </xdr:to>
        <xdr:sp macro="" textlink="">
          <xdr:nvSpPr>
            <xdr:cNvPr id="1255" name="cbB4Task2" hidden="1">
              <a:extLst>
                <a:ext uri="{63B3BB69-23CF-44E3-9099-C40C66FF867C}">
                  <a14:compatExt spid="_x0000_s1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12</xdr:row>
          <xdr:rowOff>104775</xdr:rowOff>
        </xdr:from>
        <xdr:to>
          <xdr:col>20</xdr:col>
          <xdr:colOff>1495425</xdr:colOff>
          <xdr:row>13</xdr:row>
          <xdr:rowOff>133350</xdr:rowOff>
        </xdr:to>
        <xdr:sp macro="" textlink="">
          <xdr:nvSpPr>
            <xdr:cNvPr id="1256" name="ddB4Task3" hidden="1">
              <a:extLst>
                <a:ext uri="{63B3BB69-23CF-44E3-9099-C40C66FF867C}">
                  <a14:compatExt spid="_x0000_s1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12</xdr:row>
          <xdr:rowOff>123825</xdr:rowOff>
        </xdr:from>
        <xdr:to>
          <xdr:col>19</xdr:col>
          <xdr:colOff>161925</xdr:colOff>
          <xdr:row>13</xdr:row>
          <xdr:rowOff>133350</xdr:rowOff>
        </xdr:to>
        <xdr:sp macro="" textlink="">
          <xdr:nvSpPr>
            <xdr:cNvPr id="1257" name="cbB4Task3" hidden="1">
              <a:extLst>
                <a:ext uri="{63B3BB69-23CF-44E3-9099-C40C66FF867C}">
                  <a14:compatExt spid="_x0000_s1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13</xdr:row>
          <xdr:rowOff>133350</xdr:rowOff>
        </xdr:from>
        <xdr:to>
          <xdr:col>20</xdr:col>
          <xdr:colOff>1495425</xdr:colOff>
          <xdr:row>14</xdr:row>
          <xdr:rowOff>161925</xdr:rowOff>
        </xdr:to>
        <xdr:sp macro="" textlink="">
          <xdr:nvSpPr>
            <xdr:cNvPr id="1258" name="ddB4Task4" hidden="1">
              <a:extLst>
                <a:ext uri="{63B3BB69-23CF-44E3-9099-C40C66FF867C}">
                  <a14:compatExt spid="_x0000_s1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13</xdr:row>
          <xdr:rowOff>152400</xdr:rowOff>
        </xdr:from>
        <xdr:to>
          <xdr:col>19</xdr:col>
          <xdr:colOff>161925</xdr:colOff>
          <xdr:row>14</xdr:row>
          <xdr:rowOff>161925</xdr:rowOff>
        </xdr:to>
        <xdr:sp macro="" textlink="">
          <xdr:nvSpPr>
            <xdr:cNvPr id="1259" name="cbB4Task4" hidden="1">
              <a:extLst>
                <a:ext uri="{63B3BB69-23CF-44E3-9099-C40C66FF867C}">
                  <a14:compatExt spid="_x0000_s1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14</xdr:row>
          <xdr:rowOff>161925</xdr:rowOff>
        </xdr:from>
        <xdr:to>
          <xdr:col>20</xdr:col>
          <xdr:colOff>1495425</xdr:colOff>
          <xdr:row>16</xdr:row>
          <xdr:rowOff>0</xdr:rowOff>
        </xdr:to>
        <xdr:sp macro="" textlink="">
          <xdr:nvSpPr>
            <xdr:cNvPr id="1260" name="ddB4Task5" hidden="1">
              <a:extLst>
                <a:ext uri="{63B3BB69-23CF-44E3-9099-C40C66FF867C}">
                  <a14:compatExt spid="_x0000_s1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14</xdr:row>
          <xdr:rowOff>180975</xdr:rowOff>
        </xdr:from>
        <xdr:to>
          <xdr:col>19</xdr:col>
          <xdr:colOff>161925</xdr:colOff>
          <xdr:row>16</xdr:row>
          <xdr:rowOff>0</xdr:rowOff>
        </xdr:to>
        <xdr:sp macro="" textlink="">
          <xdr:nvSpPr>
            <xdr:cNvPr id="1261" name="cbB4Task5" hidden="1">
              <a:extLst>
                <a:ext uri="{63B3BB69-23CF-44E3-9099-C40C66FF867C}">
                  <a14:compatExt spid="_x0000_s1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14</xdr:row>
          <xdr:rowOff>19050</xdr:rowOff>
        </xdr:from>
        <xdr:to>
          <xdr:col>18</xdr:col>
          <xdr:colOff>0</xdr:colOff>
          <xdr:row>15</xdr:row>
          <xdr:rowOff>9525</xdr:rowOff>
        </xdr:to>
        <xdr:sp macro="" textlink="">
          <xdr:nvSpPr>
            <xdr:cNvPr id="1262" name="ddB4PartsProvider" hidden="1">
              <a:extLst>
                <a:ext uri="{63B3BB69-23CF-44E3-9099-C40C66FF867C}">
                  <a14:compatExt spid="_x0000_s1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15</xdr:row>
          <xdr:rowOff>19050</xdr:rowOff>
        </xdr:from>
        <xdr:to>
          <xdr:col>18</xdr:col>
          <xdr:colOff>0</xdr:colOff>
          <xdr:row>16</xdr:row>
          <xdr:rowOff>9525</xdr:rowOff>
        </xdr:to>
        <xdr:sp macro="" textlink="">
          <xdr:nvSpPr>
            <xdr:cNvPr id="1263" name="ddB4PartType" hidden="1">
              <a:extLst>
                <a:ext uri="{63B3BB69-23CF-44E3-9099-C40C66FF867C}">
                  <a14:compatExt spid="_x0000_s1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8</xdr:row>
          <xdr:rowOff>19050</xdr:rowOff>
        </xdr:from>
        <xdr:to>
          <xdr:col>20</xdr:col>
          <xdr:colOff>1504950</xdr:colOff>
          <xdr:row>9</xdr:row>
          <xdr:rowOff>9525</xdr:rowOff>
        </xdr:to>
        <xdr:sp macro="" textlink="">
          <xdr:nvSpPr>
            <xdr:cNvPr id="1264" name="ddB4Customer" hidden="1">
              <a:extLst>
                <a:ext uri="{63B3BB69-23CF-44E3-9099-C40C66FF867C}">
                  <a14:compatExt spid="_x0000_s1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19</xdr:row>
          <xdr:rowOff>19050</xdr:rowOff>
        </xdr:from>
        <xdr:to>
          <xdr:col>18</xdr:col>
          <xdr:colOff>9525</xdr:colOff>
          <xdr:row>20</xdr:row>
          <xdr:rowOff>0</xdr:rowOff>
        </xdr:to>
        <xdr:sp macro="" textlink="">
          <xdr:nvSpPr>
            <xdr:cNvPr id="1265" name="ddB4EngineModels" hidden="1">
              <a:extLst>
                <a:ext uri="{63B3BB69-23CF-44E3-9099-C40C66FF867C}">
                  <a14:compatExt spid="_x0000_s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18</xdr:row>
          <xdr:rowOff>28575</xdr:rowOff>
        </xdr:from>
        <xdr:to>
          <xdr:col>18</xdr:col>
          <xdr:colOff>9525</xdr:colOff>
          <xdr:row>19</xdr:row>
          <xdr:rowOff>9525</xdr:rowOff>
        </xdr:to>
        <xdr:sp macro="" textlink="">
          <xdr:nvSpPr>
            <xdr:cNvPr id="1266" name="ddB4EngineMake" hidden="1">
              <a:extLst>
                <a:ext uri="{63B3BB69-23CF-44E3-9099-C40C66FF867C}">
                  <a14:compatExt spid="_x0000_s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19</xdr:row>
          <xdr:rowOff>9525</xdr:rowOff>
        </xdr:from>
        <xdr:to>
          <xdr:col>20</xdr:col>
          <xdr:colOff>1504950</xdr:colOff>
          <xdr:row>20</xdr:row>
          <xdr:rowOff>0</xdr:rowOff>
        </xdr:to>
        <xdr:sp macro="" textlink="">
          <xdr:nvSpPr>
            <xdr:cNvPr id="1267" name="ddB4FrameModel" hidden="1">
              <a:extLst>
                <a:ext uri="{63B3BB69-23CF-44E3-9099-C40C66FF867C}">
                  <a14:compatExt spid="_x0000_s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18</xdr:row>
          <xdr:rowOff>28575</xdr:rowOff>
        </xdr:from>
        <xdr:to>
          <xdr:col>20</xdr:col>
          <xdr:colOff>1504950</xdr:colOff>
          <xdr:row>19</xdr:row>
          <xdr:rowOff>9525</xdr:rowOff>
        </xdr:to>
        <xdr:sp macro="" textlink="">
          <xdr:nvSpPr>
            <xdr:cNvPr id="1268" name="ddB4FrameMake" hidden="1">
              <a:extLst>
                <a:ext uri="{63B3BB69-23CF-44E3-9099-C40C66FF867C}">
                  <a14:compatExt spid="_x0000_s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27</xdr:row>
          <xdr:rowOff>28575</xdr:rowOff>
        </xdr:from>
        <xdr:to>
          <xdr:col>5</xdr:col>
          <xdr:colOff>1495425</xdr:colOff>
          <xdr:row>28</xdr:row>
          <xdr:rowOff>57150</xdr:rowOff>
        </xdr:to>
        <xdr:sp macro="" textlink="">
          <xdr:nvSpPr>
            <xdr:cNvPr id="1269" name="ddB5Task1" hidden="1">
              <a:extLst>
                <a:ext uri="{63B3BB69-23CF-44E3-9099-C40C66FF867C}">
                  <a14:compatExt spid="_x0000_s1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27</xdr:row>
          <xdr:rowOff>47625</xdr:rowOff>
        </xdr:from>
        <xdr:to>
          <xdr:col>4</xdr:col>
          <xdr:colOff>161925</xdr:colOff>
          <xdr:row>28</xdr:row>
          <xdr:rowOff>57150</xdr:rowOff>
        </xdr:to>
        <xdr:sp macro="" textlink="">
          <xdr:nvSpPr>
            <xdr:cNvPr id="1270" name="cbB5Task1" hidden="1">
              <a:extLst>
                <a:ext uri="{63B3BB69-23CF-44E3-9099-C40C66FF867C}">
                  <a14:compatExt spid="_x0000_s1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28</xdr:row>
          <xdr:rowOff>66675</xdr:rowOff>
        </xdr:from>
        <xdr:to>
          <xdr:col>5</xdr:col>
          <xdr:colOff>1495425</xdr:colOff>
          <xdr:row>29</xdr:row>
          <xdr:rowOff>95250</xdr:rowOff>
        </xdr:to>
        <xdr:sp macro="" textlink="">
          <xdr:nvSpPr>
            <xdr:cNvPr id="1271" name="ddB5Task2" hidden="1">
              <a:extLst>
                <a:ext uri="{63B3BB69-23CF-44E3-9099-C40C66FF867C}">
                  <a14:compatExt spid="_x0000_s1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28</xdr:row>
          <xdr:rowOff>85725</xdr:rowOff>
        </xdr:from>
        <xdr:to>
          <xdr:col>4</xdr:col>
          <xdr:colOff>161925</xdr:colOff>
          <xdr:row>29</xdr:row>
          <xdr:rowOff>95250</xdr:rowOff>
        </xdr:to>
        <xdr:sp macro="" textlink="">
          <xdr:nvSpPr>
            <xdr:cNvPr id="1272" name="cbB5Task2" hidden="1">
              <a:extLst>
                <a:ext uri="{63B3BB69-23CF-44E3-9099-C40C66FF867C}">
                  <a14:compatExt spid="_x0000_s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29</xdr:row>
          <xdr:rowOff>104775</xdr:rowOff>
        </xdr:from>
        <xdr:to>
          <xdr:col>5</xdr:col>
          <xdr:colOff>1495425</xdr:colOff>
          <xdr:row>30</xdr:row>
          <xdr:rowOff>133350</xdr:rowOff>
        </xdr:to>
        <xdr:sp macro="" textlink="">
          <xdr:nvSpPr>
            <xdr:cNvPr id="1273" name="ddB5Task3" hidden="1">
              <a:extLst>
                <a:ext uri="{63B3BB69-23CF-44E3-9099-C40C66FF867C}">
                  <a14:compatExt spid="_x0000_s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29</xdr:row>
          <xdr:rowOff>123825</xdr:rowOff>
        </xdr:from>
        <xdr:to>
          <xdr:col>4</xdr:col>
          <xdr:colOff>161925</xdr:colOff>
          <xdr:row>30</xdr:row>
          <xdr:rowOff>133350</xdr:rowOff>
        </xdr:to>
        <xdr:sp macro="" textlink="">
          <xdr:nvSpPr>
            <xdr:cNvPr id="1274" name="cbB5Task3" hidden="1">
              <a:extLst>
                <a:ext uri="{63B3BB69-23CF-44E3-9099-C40C66FF867C}">
                  <a14:compatExt spid="_x0000_s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30</xdr:row>
          <xdr:rowOff>133350</xdr:rowOff>
        </xdr:from>
        <xdr:to>
          <xdr:col>5</xdr:col>
          <xdr:colOff>1495425</xdr:colOff>
          <xdr:row>31</xdr:row>
          <xdr:rowOff>161925</xdr:rowOff>
        </xdr:to>
        <xdr:sp macro="" textlink="">
          <xdr:nvSpPr>
            <xdr:cNvPr id="1275" name="ddB5Task4" hidden="1">
              <a:extLst>
                <a:ext uri="{63B3BB69-23CF-44E3-9099-C40C66FF867C}">
                  <a14:compatExt spid="_x0000_s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30</xdr:row>
          <xdr:rowOff>152400</xdr:rowOff>
        </xdr:from>
        <xdr:to>
          <xdr:col>4</xdr:col>
          <xdr:colOff>161925</xdr:colOff>
          <xdr:row>31</xdr:row>
          <xdr:rowOff>161925</xdr:rowOff>
        </xdr:to>
        <xdr:sp macro="" textlink="">
          <xdr:nvSpPr>
            <xdr:cNvPr id="1276" name="cbB5Task4" hidden="1">
              <a:extLst>
                <a:ext uri="{63B3BB69-23CF-44E3-9099-C40C66FF867C}">
                  <a14:compatExt spid="_x0000_s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31</xdr:row>
          <xdr:rowOff>161925</xdr:rowOff>
        </xdr:from>
        <xdr:to>
          <xdr:col>5</xdr:col>
          <xdr:colOff>1495425</xdr:colOff>
          <xdr:row>33</xdr:row>
          <xdr:rowOff>0</xdr:rowOff>
        </xdr:to>
        <xdr:sp macro="" textlink="">
          <xdr:nvSpPr>
            <xdr:cNvPr id="1277" name="ddB5Task5" hidden="1">
              <a:extLst>
                <a:ext uri="{63B3BB69-23CF-44E3-9099-C40C66FF867C}">
                  <a14:compatExt spid="_x0000_s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31</xdr:row>
          <xdr:rowOff>180975</xdr:rowOff>
        </xdr:from>
        <xdr:to>
          <xdr:col>4</xdr:col>
          <xdr:colOff>161925</xdr:colOff>
          <xdr:row>33</xdr:row>
          <xdr:rowOff>0</xdr:rowOff>
        </xdr:to>
        <xdr:sp macro="" textlink="">
          <xdr:nvSpPr>
            <xdr:cNvPr id="1278" name="cbB5Task5" hidden="1">
              <a:extLst>
                <a:ext uri="{63B3BB69-23CF-44E3-9099-C40C66FF867C}">
                  <a14:compatExt spid="_x0000_s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31</xdr:row>
          <xdr:rowOff>19050</xdr:rowOff>
        </xdr:from>
        <xdr:to>
          <xdr:col>3</xdr:col>
          <xdr:colOff>0</xdr:colOff>
          <xdr:row>32</xdr:row>
          <xdr:rowOff>9525</xdr:rowOff>
        </xdr:to>
        <xdr:sp macro="" textlink="">
          <xdr:nvSpPr>
            <xdr:cNvPr id="1279" name="ddB5PartsProvider" hidden="1">
              <a:extLst>
                <a:ext uri="{63B3BB69-23CF-44E3-9099-C40C66FF867C}">
                  <a14:compatExt spid="_x0000_s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619125</xdr:colOff>
          <xdr:row>32</xdr:row>
          <xdr:rowOff>19050</xdr:rowOff>
        </xdr:from>
        <xdr:to>
          <xdr:col>3</xdr:col>
          <xdr:colOff>0</xdr:colOff>
          <xdr:row>33</xdr:row>
          <xdr:rowOff>9525</xdr:rowOff>
        </xdr:to>
        <xdr:sp macro="" textlink="">
          <xdr:nvSpPr>
            <xdr:cNvPr id="1280" name="ddB5PartType" hidden="1">
              <a:extLst>
                <a:ext uri="{63B3BB69-23CF-44E3-9099-C40C66FF867C}">
                  <a14:compatExt spid="_x0000_s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25</xdr:row>
          <xdr:rowOff>19050</xdr:rowOff>
        </xdr:from>
        <xdr:to>
          <xdr:col>5</xdr:col>
          <xdr:colOff>1504950</xdr:colOff>
          <xdr:row>26</xdr:row>
          <xdr:rowOff>9525</xdr:rowOff>
        </xdr:to>
        <xdr:sp macro="" textlink="">
          <xdr:nvSpPr>
            <xdr:cNvPr id="1281" name="ddB5Customer" hidden="1">
              <a:extLst>
                <a:ext uri="{63B3BB69-23CF-44E3-9099-C40C66FF867C}">
                  <a14:compatExt spid="_x0000_s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36</xdr:row>
          <xdr:rowOff>19050</xdr:rowOff>
        </xdr:from>
        <xdr:to>
          <xdr:col>3</xdr:col>
          <xdr:colOff>9525</xdr:colOff>
          <xdr:row>37</xdr:row>
          <xdr:rowOff>0</xdr:rowOff>
        </xdr:to>
        <xdr:sp macro="" textlink="">
          <xdr:nvSpPr>
            <xdr:cNvPr id="1282" name="ddB5EngineModels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28575</xdr:rowOff>
        </xdr:from>
        <xdr:to>
          <xdr:col>3</xdr:col>
          <xdr:colOff>9525</xdr:colOff>
          <xdr:row>36</xdr:row>
          <xdr:rowOff>9525</xdr:rowOff>
        </xdr:to>
        <xdr:sp macro="" textlink="">
          <xdr:nvSpPr>
            <xdr:cNvPr id="1283" name="ddB5EngineMake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36</xdr:row>
          <xdr:rowOff>9525</xdr:rowOff>
        </xdr:from>
        <xdr:to>
          <xdr:col>5</xdr:col>
          <xdr:colOff>1504950</xdr:colOff>
          <xdr:row>37</xdr:row>
          <xdr:rowOff>0</xdr:rowOff>
        </xdr:to>
        <xdr:sp macro="" textlink="">
          <xdr:nvSpPr>
            <xdr:cNvPr id="1284" name="ddB5FrameModel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35</xdr:row>
          <xdr:rowOff>28575</xdr:rowOff>
        </xdr:from>
        <xdr:to>
          <xdr:col>5</xdr:col>
          <xdr:colOff>1504950</xdr:colOff>
          <xdr:row>36</xdr:row>
          <xdr:rowOff>9525</xdr:rowOff>
        </xdr:to>
        <xdr:sp macro="" textlink="">
          <xdr:nvSpPr>
            <xdr:cNvPr id="1285" name="ddB5FrameMake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27</xdr:row>
          <xdr:rowOff>28575</xdr:rowOff>
        </xdr:from>
        <xdr:to>
          <xdr:col>10</xdr:col>
          <xdr:colOff>1495425</xdr:colOff>
          <xdr:row>28</xdr:row>
          <xdr:rowOff>57150</xdr:rowOff>
        </xdr:to>
        <xdr:sp macro="" textlink="">
          <xdr:nvSpPr>
            <xdr:cNvPr id="1286" name="ComboBox85" hidden="1">
              <a:extLst>
                <a:ext uri="{63B3BB69-23CF-44E3-9099-C40C66FF867C}">
                  <a14:compatExt spid="_x0000_s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27</xdr:row>
          <xdr:rowOff>47625</xdr:rowOff>
        </xdr:from>
        <xdr:to>
          <xdr:col>9</xdr:col>
          <xdr:colOff>161925</xdr:colOff>
          <xdr:row>28</xdr:row>
          <xdr:rowOff>57150</xdr:rowOff>
        </xdr:to>
        <xdr:sp macro="" textlink="">
          <xdr:nvSpPr>
            <xdr:cNvPr id="1287" name="CheckBox36" hidden="1">
              <a:extLst>
                <a:ext uri="{63B3BB69-23CF-44E3-9099-C40C66FF867C}">
                  <a14:compatExt spid="_x0000_s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28</xdr:row>
          <xdr:rowOff>66675</xdr:rowOff>
        </xdr:from>
        <xdr:to>
          <xdr:col>10</xdr:col>
          <xdr:colOff>1495425</xdr:colOff>
          <xdr:row>29</xdr:row>
          <xdr:rowOff>95250</xdr:rowOff>
        </xdr:to>
        <xdr:sp macro="" textlink="">
          <xdr:nvSpPr>
            <xdr:cNvPr id="1288" name="ComboBox86" hidden="1">
              <a:extLst>
                <a:ext uri="{63B3BB69-23CF-44E3-9099-C40C66FF867C}">
                  <a14:compatExt spid="_x0000_s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28</xdr:row>
          <xdr:rowOff>85725</xdr:rowOff>
        </xdr:from>
        <xdr:to>
          <xdr:col>9</xdr:col>
          <xdr:colOff>161925</xdr:colOff>
          <xdr:row>29</xdr:row>
          <xdr:rowOff>95250</xdr:rowOff>
        </xdr:to>
        <xdr:sp macro="" textlink="">
          <xdr:nvSpPr>
            <xdr:cNvPr id="1289" name="CheckBox37" hidden="1">
              <a:extLst>
                <a:ext uri="{63B3BB69-23CF-44E3-9099-C40C66FF867C}">
                  <a14:compatExt spid="_x0000_s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29</xdr:row>
          <xdr:rowOff>104775</xdr:rowOff>
        </xdr:from>
        <xdr:to>
          <xdr:col>10</xdr:col>
          <xdr:colOff>1495425</xdr:colOff>
          <xdr:row>30</xdr:row>
          <xdr:rowOff>133350</xdr:rowOff>
        </xdr:to>
        <xdr:sp macro="" textlink="">
          <xdr:nvSpPr>
            <xdr:cNvPr id="1290" name="ComboBox87" hidden="1">
              <a:extLst>
                <a:ext uri="{63B3BB69-23CF-44E3-9099-C40C66FF867C}">
                  <a14:compatExt spid="_x0000_s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123825</xdr:rowOff>
        </xdr:from>
        <xdr:to>
          <xdr:col>9</xdr:col>
          <xdr:colOff>161925</xdr:colOff>
          <xdr:row>30</xdr:row>
          <xdr:rowOff>133350</xdr:rowOff>
        </xdr:to>
        <xdr:sp macro="" textlink="">
          <xdr:nvSpPr>
            <xdr:cNvPr id="1291" name="CheckBox38" hidden="1">
              <a:extLst>
                <a:ext uri="{63B3BB69-23CF-44E3-9099-C40C66FF867C}">
                  <a14:compatExt spid="_x0000_s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30</xdr:row>
          <xdr:rowOff>133350</xdr:rowOff>
        </xdr:from>
        <xdr:to>
          <xdr:col>10</xdr:col>
          <xdr:colOff>1495425</xdr:colOff>
          <xdr:row>31</xdr:row>
          <xdr:rowOff>161925</xdr:rowOff>
        </xdr:to>
        <xdr:sp macro="" textlink="">
          <xdr:nvSpPr>
            <xdr:cNvPr id="1292" name="ComboBox88" hidden="1">
              <a:extLst>
                <a:ext uri="{63B3BB69-23CF-44E3-9099-C40C66FF867C}">
                  <a14:compatExt spid="_x0000_s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30</xdr:row>
          <xdr:rowOff>152400</xdr:rowOff>
        </xdr:from>
        <xdr:to>
          <xdr:col>9</xdr:col>
          <xdr:colOff>161925</xdr:colOff>
          <xdr:row>31</xdr:row>
          <xdr:rowOff>161925</xdr:rowOff>
        </xdr:to>
        <xdr:sp macro="" textlink="">
          <xdr:nvSpPr>
            <xdr:cNvPr id="1293" name="CheckBox3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31</xdr:row>
          <xdr:rowOff>161925</xdr:rowOff>
        </xdr:from>
        <xdr:to>
          <xdr:col>10</xdr:col>
          <xdr:colOff>1495425</xdr:colOff>
          <xdr:row>33</xdr:row>
          <xdr:rowOff>0</xdr:rowOff>
        </xdr:to>
        <xdr:sp macro="" textlink="">
          <xdr:nvSpPr>
            <xdr:cNvPr id="1294" name="ComboBox89" hidden="1">
              <a:extLst>
                <a:ext uri="{63B3BB69-23CF-44E3-9099-C40C66FF867C}">
                  <a14:compatExt spid="_x0000_s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31</xdr:row>
          <xdr:rowOff>180975</xdr:rowOff>
        </xdr:from>
        <xdr:to>
          <xdr:col>9</xdr:col>
          <xdr:colOff>161925</xdr:colOff>
          <xdr:row>33</xdr:row>
          <xdr:rowOff>0</xdr:rowOff>
        </xdr:to>
        <xdr:sp macro="" textlink="">
          <xdr:nvSpPr>
            <xdr:cNvPr id="1295" name="CheckBox40" hidden="1">
              <a:extLst>
                <a:ext uri="{63B3BB69-23CF-44E3-9099-C40C66FF867C}">
                  <a14:compatExt spid="_x0000_s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31</xdr:row>
          <xdr:rowOff>19050</xdr:rowOff>
        </xdr:from>
        <xdr:to>
          <xdr:col>8</xdr:col>
          <xdr:colOff>0</xdr:colOff>
          <xdr:row>32</xdr:row>
          <xdr:rowOff>9525</xdr:rowOff>
        </xdr:to>
        <xdr:sp macro="" textlink="">
          <xdr:nvSpPr>
            <xdr:cNvPr id="1296" name="ComboBox90" hidden="1">
              <a:extLst>
                <a:ext uri="{63B3BB69-23CF-44E3-9099-C40C66FF867C}">
                  <a14:compatExt spid="_x0000_s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32</xdr:row>
          <xdr:rowOff>19050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1297" name="ComboBox91" hidden="1">
              <a:extLst>
                <a:ext uri="{63B3BB69-23CF-44E3-9099-C40C66FF867C}">
                  <a14:compatExt spid="_x0000_s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25</xdr:row>
          <xdr:rowOff>19050</xdr:rowOff>
        </xdr:from>
        <xdr:to>
          <xdr:col>10</xdr:col>
          <xdr:colOff>1504950</xdr:colOff>
          <xdr:row>26</xdr:row>
          <xdr:rowOff>9525</xdr:rowOff>
        </xdr:to>
        <xdr:sp macro="" textlink="">
          <xdr:nvSpPr>
            <xdr:cNvPr id="1298" name="ComboBox92" hidden="1">
              <a:extLst>
                <a:ext uri="{63B3BB69-23CF-44E3-9099-C40C66FF867C}">
                  <a14:compatExt spid="_x0000_s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19050</xdr:rowOff>
        </xdr:from>
        <xdr:to>
          <xdr:col>8</xdr:col>
          <xdr:colOff>9525</xdr:colOff>
          <xdr:row>37</xdr:row>
          <xdr:rowOff>0</xdr:rowOff>
        </xdr:to>
        <xdr:sp macro="" textlink="">
          <xdr:nvSpPr>
            <xdr:cNvPr id="1299" name="ComboBox93" hidden="1">
              <a:extLst>
                <a:ext uri="{63B3BB69-23CF-44E3-9099-C40C66FF867C}">
                  <a14:compatExt spid="_x0000_s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28575</xdr:rowOff>
        </xdr:from>
        <xdr:to>
          <xdr:col>8</xdr:col>
          <xdr:colOff>9525</xdr:colOff>
          <xdr:row>36</xdr:row>
          <xdr:rowOff>9525</xdr:rowOff>
        </xdr:to>
        <xdr:sp macro="" textlink="">
          <xdr:nvSpPr>
            <xdr:cNvPr id="1300" name="ComboBox94" hidden="1">
              <a:extLst>
                <a:ext uri="{63B3BB69-23CF-44E3-9099-C40C66FF867C}">
                  <a14:compatExt spid="_x0000_s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36</xdr:row>
          <xdr:rowOff>9525</xdr:rowOff>
        </xdr:from>
        <xdr:to>
          <xdr:col>10</xdr:col>
          <xdr:colOff>1504950</xdr:colOff>
          <xdr:row>37</xdr:row>
          <xdr:rowOff>0</xdr:rowOff>
        </xdr:to>
        <xdr:sp macro="" textlink="">
          <xdr:nvSpPr>
            <xdr:cNvPr id="1301" name="ComboBox95" hidden="1">
              <a:extLst>
                <a:ext uri="{63B3BB69-23CF-44E3-9099-C40C66FF867C}">
                  <a14:compatExt spid="_x0000_s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35</xdr:row>
          <xdr:rowOff>28575</xdr:rowOff>
        </xdr:from>
        <xdr:to>
          <xdr:col>10</xdr:col>
          <xdr:colOff>1504950</xdr:colOff>
          <xdr:row>36</xdr:row>
          <xdr:rowOff>9525</xdr:rowOff>
        </xdr:to>
        <xdr:sp macro="" textlink="">
          <xdr:nvSpPr>
            <xdr:cNvPr id="1302" name="ComboBox96" hidden="1">
              <a:extLst>
                <a:ext uri="{63B3BB69-23CF-44E3-9099-C40C66FF867C}">
                  <a14:compatExt spid="_x0000_s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27</xdr:row>
          <xdr:rowOff>28575</xdr:rowOff>
        </xdr:from>
        <xdr:to>
          <xdr:col>15</xdr:col>
          <xdr:colOff>1495425</xdr:colOff>
          <xdr:row>28</xdr:row>
          <xdr:rowOff>57150</xdr:rowOff>
        </xdr:to>
        <xdr:sp macro="" textlink="">
          <xdr:nvSpPr>
            <xdr:cNvPr id="1303" name="ComboBox97" hidden="1">
              <a:extLst>
                <a:ext uri="{63B3BB69-23CF-44E3-9099-C40C66FF867C}">
                  <a14:compatExt spid="_x0000_s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47625</xdr:rowOff>
        </xdr:from>
        <xdr:to>
          <xdr:col>14</xdr:col>
          <xdr:colOff>161925</xdr:colOff>
          <xdr:row>28</xdr:row>
          <xdr:rowOff>57150</xdr:rowOff>
        </xdr:to>
        <xdr:sp macro="" textlink="">
          <xdr:nvSpPr>
            <xdr:cNvPr id="1304" name="CheckBox41" hidden="1">
              <a:extLst>
                <a:ext uri="{63B3BB69-23CF-44E3-9099-C40C66FF867C}">
                  <a14:compatExt spid="_x0000_s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66675</xdr:rowOff>
        </xdr:from>
        <xdr:to>
          <xdr:col>15</xdr:col>
          <xdr:colOff>1495425</xdr:colOff>
          <xdr:row>29</xdr:row>
          <xdr:rowOff>95250</xdr:rowOff>
        </xdr:to>
        <xdr:sp macro="" textlink="">
          <xdr:nvSpPr>
            <xdr:cNvPr id="1305" name="ComboBox98" hidden="1">
              <a:extLst>
                <a:ext uri="{63B3BB69-23CF-44E3-9099-C40C66FF867C}">
                  <a14:compatExt spid="_x0000_s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28</xdr:row>
          <xdr:rowOff>85725</xdr:rowOff>
        </xdr:from>
        <xdr:to>
          <xdr:col>14</xdr:col>
          <xdr:colOff>161925</xdr:colOff>
          <xdr:row>29</xdr:row>
          <xdr:rowOff>95250</xdr:rowOff>
        </xdr:to>
        <xdr:sp macro="" textlink="">
          <xdr:nvSpPr>
            <xdr:cNvPr id="1306" name="CheckBox42" hidden="1">
              <a:extLst>
                <a:ext uri="{63B3BB69-23CF-44E3-9099-C40C66FF867C}">
                  <a14:compatExt spid="_x0000_s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29</xdr:row>
          <xdr:rowOff>104775</xdr:rowOff>
        </xdr:from>
        <xdr:to>
          <xdr:col>15</xdr:col>
          <xdr:colOff>1495425</xdr:colOff>
          <xdr:row>30</xdr:row>
          <xdr:rowOff>133350</xdr:rowOff>
        </xdr:to>
        <xdr:sp macro="" textlink="">
          <xdr:nvSpPr>
            <xdr:cNvPr id="1307" name="ComboBox99" hidden="1">
              <a:extLst>
                <a:ext uri="{63B3BB69-23CF-44E3-9099-C40C66FF867C}">
                  <a14:compatExt spid="_x0000_s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29</xdr:row>
          <xdr:rowOff>123825</xdr:rowOff>
        </xdr:from>
        <xdr:to>
          <xdr:col>14</xdr:col>
          <xdr:colOff>161925</xdr:colOff>
          <xdr:row>30</xdr:row>
          <xdr:rowOff>133350</xdr:rowOff>
        </xdr:to>
        <xdr:sp macro="" textlink="">
          <xdr:nvSpPr>
            <xdr:cNvPr id="1308" name="CheckBox43" hidden="1">
              <a:extLst>
                <a:ext uri="{63B3BB69-23CF-44E3-9099-C40C66FF867C}">
                  <a14:compatExt spid="_x0000_s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30</xdr:row>
          <xdr:rowOff>133350</xdr:rowOff>
        </xdr:from>
        <xdr:to>
          <xdr:col>15</xdr:col>
          <xdr:colOff>1495425</xdr:colOff>
          <xdr:row>31</xdr:row>
          <xdr:rowOff>161925</xdr:rowOff>
        </xdr:to>
        <xdr:sp macro="" textlink="">
          <xdr:nvSpPr>
            <xdr:cNvPr id="1309" name="ComboBox100" hidden="1">
              <a:extLst>
                <a:ext uri="{63B3BB69-23CF-44E3-9099-C40C66FF867C}">
                  <a14:compatExt spid="_x0000_s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30</xdr:row>
          <xdr:rowOff>152400</xdr:rowOff>
        </xdr:from>
        <xdr:to>
          <xdr:col>14</xdr:col>
          <xdr:colOff>161925</xdr:colOff>
          <xdr:row>31</xdr:row>
          <xdr:rowOff>161925</xdr:rowOff>
        </xdr:to>
        <xdr:sp macro="" textlink="">
          <xdr:nvSpPr>
            <xdr:cNvPr id="1310" name="CheckBox44" hidden="1">
              <a:extLst>
                <a:ext uri="{63B3BB69-23CF-44E3-9099-C40C66FF867C}">
                  <a14:compatExt spid="_x0000_s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161925</xdr:rowOff>
        </xdr:from>
        <xdr:to>
          <xdr:col>15</xdr:col>
          <xdr:colOff>1495425</xdr:colOff>
          <xdr:row>33</xdr:row>
          <xdr:rowOff>0</xdr:rowOff>
        </xdr:to>
        <xdr:sp macro="" textlink="">
          <xdr:nvSpPr>
            <xdr:cNvPr id="1311" name="ComboBox101" hidden="1">
              <a:extLst>
                <a:ext uri="{63B3BB69-23CF-44E3-9099-C40C66FF867C}">
                  <a14:compatExt spid="_x0000_s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31</xdr:row>
          <xdr:rowOff>180975</xdr:rowOff>
        </xdr:from>
        <xdr:to>
          <xdr:col>14</xdr:col>
          <xdr:colOff>161925</xdr:colOff>
          <xdr:row>33</xdr:row>
          <xdr:rowOff>0</xdr:rowOff>
        </xdr:to>
        <xdr:sp macro="" textlink="">
          <xdr:nvSpPr>
            <xdr:cNvPr id="1312" name="CheckBox45" hidden="1">
              <a:extLst>
                <a:ext uri="{63B3BB69-23CF-44E3-9099-C40C66FF867C}">
                  <a14:compatExt spid="_x0000_s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25</xdr:row>
          <xdr:rowOff>19050</xdr:rowOff>
        </xdr:from>
        <xdr:to>
          <xdr:col>15</xdr:col>
          <xdr:colOff>1504950</xdr:colOff>
          <xdr:row>26</xdr:row>
          <xdr:rowOff>9525</xdr:rowOff>
        </xdr:to>
        <xdr:sp macro="" textlink="">
          <xdr:nvSpPr>
            <xdr:cNvPr id="1315" name="ComboBox104" hidden="1">
              <a:extLst>
                <a:ext uri="{63B3BB69-23CF-44E3-9099-C40C66FF867C}">
                  <a14:compatExt spid="_x0000_s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19050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1316" name="ComboBox105" hidden="1">
              <a:extLst>
                <a:ext uri="{63B3BB69-23CF-44E3-9099-C40C66FF867C}">
                  <a14:compatExt spid="_x0000_s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28575</xdr:rowOff>
        </xdr:from>
        <xdr:to>
          <xdr:col>13</xdr:col>
          <xdr:colOff>9525</xdr:colOff>
          <xdr:row>36</xdr:row>
          <xdr:rowOff>9525</xdr:rowOff>
        </xdr:to>
        <xdr:sp macro="" textlink="">
          <xdr:nvSpPr>
            <xdr:cNvPr id="1317" name="ComboBox106" hidden="1">
              <a:extLst>
                <a:ext uri="{63B3BB69-23CF-44E3-9099-C40C66FF867C}">
                  <a14:compatExt spid="_x0000_s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36</xdr:row>
          <xdr:rowOff>9525</xdr:rowOff>
        </xdr:from>
        <xdr:to>
          <xdr:col>15</xdr:col>
          <xdr:colOff>1504950</xdr:colOff>
          <xdr:row>37</xdr:row>
          <xdr:rowOff>0</xdr:rowOff>
        </xdr:to>
        <xdr:sp macro="" textlink="">
          <xdr:nvSpPr>
            <xdr:cNvPr id="1318" name="ComboBox107" hidden="1">
              <a:extLst>
                <a:ext uri="{63B3BB69-23CF-44E3-9099-C40C66FF867C}">
                  <a14:compatExt spid="_x0000_s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35</xdr:row>
          <xdr:rowOff>28575</xdr:rowOff>
        </xdr:from>
        <xdr:to>
          <xdr:col>15</xdr:col>
          <xdr:colOff>1504950</xdr:colOff>
          <xdr:row>36</xdr:row>
          <xdr:rowOff>9525</xdr:rowOff>
        </xdr:to>
        <xdr:sp macro="" textlink="">
          <xdr:nvSpPr>
            <xdr:cNvPr id="1319" name="ComboBox108" hidden="1">
              <a:extLst>
                <a:ext uri="{63B3BB69-23CF-44E3-9099-C40C66FF867C}">
                  <a14:compatExt spid="_x0000_s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27</xdr:row>
          <xdr:rowOff>28575</xdr:rowOff>
        </xdr:from>
        <xdr:to>
          <xdr:col>20</xdr:col>
          <xdr:colOff>1495425</xdr:colOff>
          <xdr:row>28</xdr:row>
          <xdr:rowOff>57150</xdr:rowOff>
        </xdr:to>
        <xdr:sp macro="" textlink="">
          <xdr:nvSpPr>
            <xdr:cNvPr id="1320" name="ComboBox109" hidden="1">
              <a:extLst>
                <a:ext uri="{63B3BB69-23CF-44E3-9099-C40C66FF867C}">
                  <a14:compatExt spid="_x0000_s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27</xdr:row>
          <xdr:rowOff>47625</xdr:rowOff>
        </xdr:from>
        <xdr:to>
          <xdr:col>19</xdr:col>
          <xdr:colOff>161925</xdr:colOff>
          <xdr:row>28</xdr:row>
          <xdr:rowOff>57150</xdr:rowOff>
        </xdr:to>
        <xdr:sp macro="" textlink="">
          <xdr:nvSpPr>
            <xdr:cNvPr id="1321" name="CheckBox46" hidden="1">
              <a:extLst>
                <a:ext uri="{63B3BB69-23CF-44E3-9099-C40C66FF867C}">
                  <a14:compatExt spid="_x0000_s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28</xdr:row>
          <xdr:rowOff>66675</xdr:rowOff>
        </xdr:from>
        <xdr:to>
          <xdr:col>20</xdr:col>
          <xdr:colOff>1495425</xdr:colOff>
          <xdr:row>29</xdr:row>
          <xdr:rowOff>95250</xdr:rowOff>
        </xdr:to>
        <xdr:sp macro="" textlink="">
          <xdr:nvSpPr>
            <xdr:cNvPr id="1322" name="ComboBox110" hidden="1">
              <a:extLst>
                <a:ext uri="{63B3BB69-23CF-44E3-9099-C40C66FF867C}">
                  <a14:compatExt spid="_x0000_s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28</xdr:row>
          <xdr:rowOff>85725</xdr:rowOff>
        </xdr:from>
        <xdr:to>
          <xdr:col>19</xdr:col>
          <xdr:colOff>161925</xdr:colOff>
          <xdr:row>29</xdr:row>
          <xdr:rowOff>95250</xdr:rowOff>
        </xdr:to>
        <xdr:sp macro="" textlink="">
          <xdr:nvSpPr>
            <xdr:cNvPr id="1323" name="CheckBox47" hidden="1">
              <a:extLst>
                <a:ext uri="{63B3BB69-23CF-44E3-9099-C40C66FF867C}">
                  <a14:compatExt spid="_x0000_s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29</xdr:row>
          <xdr:rowOff>104775</xdr:rowOff>
        </xdr:from>
        <xdr:to>
          <xdr:col>20</xdr:col>
          <xdr:colOff>1495425</xdr:colOff>
          <xdr:row>30</xdr:row>
          <xdr:rowOff>133350</xdr:rowOff>
        </xdr:to>
        <xdr:sp macro="" textlink="">
          <xdr:nvSpPr>
            <xdr:cNvPr id="1324" name="ComboBox111" hidden="1">
              <a:extLst>
                <a:ext uri="{63B3BB69-23CF-44E3-9099-C40C66FF867C}">
                  <a14:compatExt spid="_x0000_s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29</xdr:row>
          <xdr:rowOff>123825</xdr:rowOff>
        </xdr:from>
        <xdr:to>
          <xdr:col>19</xdr:col>
          <xdr:colOff>161925</xdr:colOff>
          <xdr:row>30</xdr:row>
          <xdr:rowOff>133350</xdr:rowOff>
        </xdr:to>
        <xdr:sp macro="" textlink="">
          <xdr:nvSpPr>
            <xdr:cNvPr id="1325" name="CheckBox48" hidden="1">
              <a:extLst>
                <a:ext uri="{63B3BB69-23CF-44E3-9099-C40C66FF867C}">
                  <a14:compatExt spid="_x0000_s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30</xdr:row>
          <xdr:rowOff>133350</xdr:rowOff>
        </xdr:from>
        <xdr:to>
          <xdr:col>20</xdr:col>
          <xdr:colOff>1495425</xdr:colOff>
          <xdr:row>31</xdr:row>
          <xdr:rowOff>161925</xdr:rowOff>
        </xdr:to>
        <xdr:sp macro="" textlink="">
          <xdr:nvSpPr>
            <xdr:cNvPr id="1326" name="ComboBox112" hidden="1">
              <a:extLst>
                <a:ext uri="{63B3BB69-23CF-44E3-9099-C40C66FF867C}">
                  <a14:compatExt spid="_x0000_s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30</xdr:row>
          <xdr:rowOff>152400</xdr:rowOff>
        </xdr:from>
        <xdr:to>
          <xdr:col>19</xdr:col>
          <xdr:colOff>161925</xdr:colOff>
          <xdr:row>31</xdr:row>
          <xdr:rowOff>161925</xdr:rowOff>
        </xdr:to>
        <xdr:sp macro="" textlink="">
          <xdr:nvSpPr>
            <xdr:cNvPr id="1327" name="CheckBox49" hidden="1">
              <a:extLst>
                <a:ext uri="{63B3BB69-23CF-44E3-9099-C40C66FF867C}">
                  <a14:compatExt spid="_x0000_s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31</xdr:row>
          <xdr:rowOff>161925</xdr:rowOff>
        </xdr:from>
        <xdr:to>
          <xdr:col>20</xdr:col>
          <xdr:colOff>1495425</xdr:colOff>
          <xdr:row>33</xdr:row>
          <xdr:rowOff>0</xdr:rowOff>
        </xdr:to>
        <xdr:sp macro="" textlink="">
          <xdr:nvSpPr>
            <xdr:cNvPr id="1328" name="ComboBox113" hidden="1">
              <a:extLst>
                <a:ext uri="{63B3BB69-23CF-44E3-9099-C40C66FF867C}">
                  <a14:compatExt spid="_x0000_s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31</xdr:row>
          <xdr:rowOff>180975</xdr:rowOff>
        </xdr:from>
        <xdr:to>
          <xdr:col>19</xdr:col>
          <xdr:colOff>161925</xdr:colOff>
          <xdr:row>33</xdr:row>
          <xdr:rowOff>0</xdr:rowOff>
        </xdr:to>
        <xdr:sp macro="" textlink="">
          <xdr:nvSpPr>
            <xdr:cNvPr id="1329" name="CheckBox50" hidden="1">
              <a:extLst>
                <a:ext uri="{63B3BB69-23CF-44E3-9099-C40C66FF867C}">
                  <a14:compatExt spid="_x0000_s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31</xdr:row>
          <xdr:rowOff>19050</xdr:rowOff>
        </xdr:from>
        <xdr:to>
          <xdr:col>18</xdr:col>
          <xdr:colOff>0</xdr:colOff>
          <xdr:row>32</xdr:row>
          <xdr:rowOff>9525</xdr:rowOff>
        </xdr:to>
        <xdr:sp macro="" textlink="">
          <xdr:nvSpPr>
            <xdr:cNvPr id="1330" name="ComboBox114" hidden="1">
              <a:extLst>
                <a:ext uri="{63B3BB69-23CF-44E3-9099-C40C66FF867C}">
                  <a14:compatExt spid="_x0000_s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32</xdr:row>
          <xdr:rowOff>19050</xdr:rowOff>
        </xdr:from>
        <xdr:to>
          <xdr:col>18</xdr:col>
          <xdr:colOff>0</xdr:colOff>
          <xdr:row>33</xdr:row>
          <xdr:rowOff>9525</xdr:rowOff>
        </xdr:to>
        <xdr:sp macro="" textlink="">
          <xdr:nvSpPr>
            <xdr:cNvPr id="1331" name="ComboBox115" hidden="1">
              <a:extLst>
                <a:ext uri="{63B3BB69-23CF-44E3-9099-C40C66FF867C}">
                  <a14:compatExt spid="_x0000_s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25</xdr:row>
          <xdr:rowOff>19050</xdr:rowOff>
        </xdr:from>
        <xdr:to>
          <xdr:col>20</xdr:col>
          <xdr:colOff>1504950</xdr:colOff>
          <xdr:row>26</xdr:row>
          <xdr:rowOff>9525</xdr:rowOff>
        </xdr:to>
        <xdr:sp macro="" textlink="">
          <xdr:nvSpPr>
            <xdr:cNvPr id="1332" name="ComboBox116" hidden="1">
              <a:extLst>
                <a:ext uri="{63B3BB69-23CF-44E3-9099-C40C66FF867C}">
                  <a14:compatExt spid="_x0000_s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19050</xdr:rowOff>
        </xdr:from>
        <xdr:to>
          <xdr:col>18</xdr:col>
          <xdr:colOff>9525</xdr:colOff>
          <xdr:row>37</xdr:row>
          <xdr:rowOff>0</xdr:rowOff>
        </xdr:to>
        <xdr:sp macro="" textlink="">
          <xdr:nvSpPr>
            <xdr:cNvPr id="1333" name="ComboBox117" hidden="1">
              <a:extLst>
                <a:ext uri="{63B3BB69-23CF-44E3-9099-C40C66FF867C}">
                  <a14:compatExt spid="_x0000_s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28575</xdr:rowOff>
        </xdr:from>
        <xdr:to>
          <xdr:col>18</xdr:col>
          <xdr:colOff>9525</xdr:colOff>
          <xdr:row>36</xdr:row>
          <xdr:rowOff>9525</xdr:rowOff>
        </xdr:to>
        <xdr:sp macro="" textlink="">
          <xdr:nvSpPr>
            <xdr:cNvPr id="1334" name="ComboBox118" hidden="1">
              <a:extLst>
                <a:ext uri="{63B3BB69-23CF-44E3-9099-C40C66FF867C}">
                  <a14:compatExt spid="_x0000_s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36</xdr:row>
          <xdr:rowOff>9525</xdr:rowOff>
        </xdr:from>
        <xdr:to>
          <xdr:col>20</xdr:col>
          <xdr:colOff>1504950</xdr:colOff>
          <xdr:row>37</xdr:row>
          <xdr:rowOff>0</xdr:rowOff>
        </xdr:to>
        <xdr:sp macro="" textlink="">
          <xdr:nvSpPr>
            <xdr:cNvPr id="1335" name="ComboBox119" hidden="1">
              <a:extLst>
                <a:ext uri="{63B3BB69-23CF-44E3-9099-C40C66FF867C}">
                  <a14:compatExt spid="_x0000_s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35</xdr:row>
          <xdr:rowOff>28575</xdr:rowOff>
        </xdr:from>
        <xdr:to>
          <xdr:col>20</xdr:col>
          <xdr:colOff>1504950</xdr:colOff>
          <xdr:row>36</xdr:row>
          <xdr:rowOff>9525</xdr:rowOff>
        </xdr:to>
        <xdr:sp macro="" textlink="">
          <xdr:nvSpPr>
            <xdr:cNvPr id="1336" name="ComboBox120" hidden="1">
              <a:extLst>
                <a:ext uri="{63B3BB69-23CF-44E3-9099-C40C66FF867C}">
                  <a14:compatExt spid="_x0000_s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27</xdr:row>
          <xdr:rowOff>28575</xdr:rowOff>
        </xdr:from>
        <xdr:to>
          <xdr:col>10</xdr:col>
          <xdr:colOff>1495425</xdr:colOff>
          <xdr:row>28</xdr:row>
          <xdr:rowOff>57150</xdr:rowOff>
        </xdr:to>
        <xdr:sp macro="" textlink="">
          <xdr:nvSpPr>
            <xdr:cNvPr id="1337" name="ddB6Task1" hidden="1">
              <a:extLst>
                <a:ext uri="{63B3BB69-23CF-44E3-9099-C40C66FF867C}">
                  <a14:compatExt spid="_x0000_s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27</xdr:row>
          <xdr:rowOff>47625</xdr:rowOff>
        </xdr:from>
        <xdr:to>
          <xdr:col>9</xdr:col>
          <xdr:colOff>161925</xdr:colOff>
          <xdr:row>28</xdr:row>
          <xdr:rowOff>57150</xdr:rowOff>
        </xdr:to>
        <xdr:sp macro="" textlink="">
          <xdr:nvSpPr>
            <xdr:cNvPr id="1338" name="cbB6Task1" hidden="1">
              <a:extLst>
                <a:ext uri="{63B3BB69-23CF-44E3-9099-C40C66FF867C}">
                  <a14:compatExt spid="_x0000_s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28</xdr:row>
          <xdr:rowOff>66675</xdr:rowOff>
        </xdr:from>
        <xdr:to>
          <xdr:col>10</xdr:col>
          <xdr:colOff>1495425</xdr:colOff>
          <xdr:row>29</xdr:row>
          <xdr:rowOff>95250</xdr:rowOff>
        </xdr:to>
        <xdr:sp macro="" textlink="">
          <xdr:nvSpPr>
            <xdr:cNvPr id="1339" name="ddB6Task2" hidden="1">
              <a:extLst>
                <a:ext uri="{63B3BB69-23CF-44E3-9099-C40C66FF867C}">
                  <a14:compatExt spid="_x0000_s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28</xdr:row>
          <xdr:rowOff>85725</xdr:rowOff>
        </xdr:from>
        <xdr:to>
          <xdr:col>9</xdr:col>
          <xdr:colOff>161925</xdr:colOff>
          <xdr:row>29</xdr:row>
          <xdr:rowOff>95250</xdr:rowOff>
        </xdr:to>
        <xdr:sp macro="" textlink="">
          <xdr:nvSpPr>
            <xdr:cNvPr id="1340" name="cbB6Task2" hidden="1">
              <a:extLst>
                <a:ext uri="{63B3BB69-23CF-44E3-9099-C40C66FF867C}">
                  <a14:compatExt spid="_x0000_s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29</xdr:row>
          <xdr:rowOff>104775</xdr:rowOff>
        </xdr:from>
        <xdr:to>
          <xdr:col>10</xdr:col>
          <xdr:colOff>1495425</xdr:colOff>
          <xdr:row>30</xdr:row>
          <xdr:rowOff>133350</xdr:rowOff>
        </xdr:to>
        <xdr:sp macro="" textlink="">
          <xdr:nvSpPr>
            <xdr:cNvPr id="1341" name="ddB6Task3" hidden="1">
              <a:extLst>
                <a:ext uri="{63B3BB69-23CF-44E3-9099-C40C66FF867C}">
                  <a14:compatExt spid="_x0000_s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29</xdr:row>
          <xdr:rowOff>123825</xdr:rowOff>
        </xdr:from>
        <xdr:to>
          <xdr:col>9</xdr:col>
          <xdr:colOff>161925</xdr:colOff>
          <xdr:row>30</xdr:row>
          <xdr:rowOff>133350</xdr:rowOff>
        </xdr:to>
        <xdr:sp macro="" textlink="">
          <xdr:nvSpPr>
            <xdr:cNvPr id="1342" name="cbB6Task3" hidden="1">
              <a:extLst>
                <a:ext uri="{63B3BB69-23CF-44E3-9099-C40C66FF867C}">
                  <a14:compatExt spid="_x0000_s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30</xdr:row>
          <xdr:rowOff>133350</xdr:rowOff>
        </xdr:from>
        <xdr:to>
          <xdr:col>10</xdr:col>
          <xdr:colOff>1495425</xdr:colOff>
          <xdr:row>31</xdr:row>
          <xdr:rowOff>161925</xdr:rowOff>
        </xdr:to>
        <xdr:sp macro="" textlink="">
          <xdr:nvSpPr>
            <xdr:cNvPr id="1343" name="ddB6Task4" hidden="1">
              <a:extLst>
                <a:ext uri="{63B3BB69-23CF-44E3-9099-C40C66FF867C}">
                  <a14:compatExt spid="_x0000_s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30</xdr:row>
          <xdr:rowOff>152400</xdr:rowOff>
        </xdr:from>
        <xdr:to>
          <xdr:col>9</xdr:col>
          <xdr:colOff>161925</xdr:colOff>
          <xdr:row>31</xdr:row>
          <xdr:rowOff>161925</xdr:rowOff>
        </xdr:to>
        <xdr:sp macro="" textlink="">
          <xdr:nvSpPr>
            <xdr:cNvPr id="1344" name="cbB6Task4" hidden="1">
              <a:extLst>
                <a:ext uri="{63B3BB69-23CF-44E3-9099-C40C66FF867C}">
                  <a14:compatExt spid="_x0000_s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228600</xdr:colOff>
          <xdr:row>31</xdr:row>
          <xdr:rowOff>161925</xdr:rowOff>
        </xdr:from>
        <xdr:to>
          <xdr:col>10</xdr:col>
          <xdr:colOff>1495425</xdr:colOff>
          <xdr:row>33</xdr:row>
          <xdr:rowOff>0</xdr:rowOff>
        </xdr:to>
        <xdr:sp macro="" textlink="">
          <xdr:nvSpPr>
            <xdr:cNvPr id="1345" name="ddB6Task5" hidden="1">
              <a:extLst>
                <a:ext uri="{63B3BB69-23CF-44E3-9099-C40C66FF867C}">
                  <a14:compatExt spid="_x0000_s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31</xdr:row>
          <xdr:rowOff>180975</xdr:rowOff>
        </xdr:from>
        <xdr:to>
          <xdr:col>9</xdr:col>
          <xdr:colOff>161925</xdr:colOff>
          <xdr:row>33</xdr:row>
          <xdr:rowOff>0</xdr:rowOff>
        </xdr:to>
        <xdr:sp macro="" textlink="">
          <xdr:nvSpPr>
            <xdr:cNvPr id="1346" name="cbB6Task5" hidden="1">
              <a:extLst>
                <a:ext uri="{63B3BB69-23CF-44E3-9099-C40C66FF867C}">
                  <a14:compatExt spid="_x0000_s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31</xdr:row>
          <xdr:rowOff>19050</xdr:rowOff>
        </xdr:from>
        <xdr:to>
          <xdr:col>8</xdr:col>
          <xdr:colOff>0</xdr:colOff>
          <xdr:row>32</xdr:row>
          <xdr:rowOff>9525</xdr:rowOff>
        </xdr:to>
        <xdr:sp macro="" textlink="">
          <xdr:nvSpPr>
            <xdr:cNvPr id="1347" name="ddB6PartsProvider" hidden="1">
              <a:extLst>
                <a:ext uri="{63B3BB69-23CF-44E3-9099-C40C66FF867C}">
                  <a14:compatExt spid="_x0000_s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619125</xdr:colOff>
          <xdr:row>32</xdr:row>
          <xdr:rowOff>19050</xdr:rowOff>
        </xdr:from>
        <xdr:to>
          <xdr:col>8</xdr:col>
          <xdr:colOff>0</xdr:colOff>
          <xdr:row>33</xdr:row>
          <xdr:rowOff>9525</xdr:rowOff>
        </xdr:to>
        <xdr:sp macro="" textlink="">
          <xdr:nvSpPr>
            <xdr:cNvPr id="1348" name="ddB6PartType" hidden="1">
              <a:extLst>
                <a:ext uri="{63B3BB69-23CF-44E3-9099-C40C66FF867C}">
                  <a14:compatExt spid="_x0000_s1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25</xdr:row>
          <xdr:rowOff>19050</xdr:rowOff>
        </xdr:from>
        <xdr:to>
          <xdr:col>10</xdr:col>
          <xdr:colOff>1504950</xdr:colOff>
          <xdr:row>26</xdr:row>
          <xdr:rowOff>9525</xdr:rowOff>
        </xdr:to>
        <xdr:sp macro="" textlink="">
          <xdr:nvSpPr>
            <xdr:cNvPr id="1349" name="ddB6Customer" hidden="1">
              <a:extLst>
                <a:ext uri="{63B3BB69-23CF-44E3-9099-C40C66FF867C}">
                  <a14:compatExt spid="_x0000_s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36</xdr:row>
          <xdr:rowOff>19050</xdr:rowOff>
        </xdr:from>
        <xdr:to>
          <xdr:col>8</xdr:col>
          <xdr:colOff>9525</xdr:colOff>
          <xdr:row>37</xdr:row>
          <xdr:rowOff>0</xdr:rowOff>
        </xdr:to>
        <xdr:sp macro="" textlink="">
          <xdr:nvSpPr>
            <xdr:cNvPr id="1350" name="ddB6EngineModels" hidden="1">
              <a:extLst>
                <a:ext uri="{63B3BB69-23CF-44E3-9099-C40C66FF867C}">
                  <a14:compatExt spid="_x0000_s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35</xdr:row>
          <xdr:rowOff>28575</xdr:rowOff>
        </xdr:from>
        <xdr:to>
          <xdr:col>8</xdr:col>
          <xdr:colOff>9525</xdr:colOff>
          <xdr:row>36</xdr:row>
          <xdr:rowOff>9525</xdr:rowOff>
        </xdr:to>
        <xdr:sp macro="" textlink="">
          <xdr:nvSpPr>
            <xdr:cNvPr id="1351" name="ddB6EngineMake" hidden="1">
              <a:extLst>
                <a:ext uri="{63B3BB69-23CF-44E3-9099-C40C66FF867C}">
                  <a14:compatExt spid="_x0000_s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36</xdr:row>
          <xdr:rowOff>9525</xdr:rowOff>
        </xdr:from>
        <xdr:to>
          <xdr:col>10</xdr:col>
          <xdr:colOff>1504950</xdr:colOff>
          <xdr:row>37</xdr:row>
          <xdr:rowOff>0</xdr:rowOff>
        </xdr:to>
        <xdr:sp macro="" textlink="">
          <xdr:nvSpPr>
            <xdr:cNvPr id="1352" name="ddB6FrameModel" hidden="1">
              <a:extLst>
                <a:ext uri="{63B3BB69-23CF-44E3-9099-C40C66FF867C}">
                  <a14:compatExt spid="_x0000_s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35</xdr:row>
          <xdr:rowOff>28575</xdr:rowOff>
        </xdr:from>
        <xdr:to>
          <xdr:col>10</xdr:col>
          <xdr:colOff>1504950</xdr:colOff>
          <xdr:row>36</xdr:row>
          <xdr:rowOff>9525</xdr:rowOff>
        </xdr:to>
        <xdr:sp macro="" textlink="">
          <xdr:nvSpPr>
            <xdr:cNvPr id="1353" name="ddB6FrameMake" hidden="1">
              <a:extLst>
                <a:ext uri="{63B3BB69-23CF-44E3-9099-C40C66FF867C}">
                  <a14:compatExt spid="_x0000_s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27</xdr:row>
          <xdr:rowOff>28575</xdr:rowOff>
        </xdr:from>
        <xdr:to>
          <xdr:col>15</xdr:col>
          <xdr:colOff>1495425</xdr:colOff>
          <xdr:row>28</xdr:row>
          <xdr:rowOff>57150</xdr:rowOff>
        </xdr:to>
        <xdr:sp macro="" textlink="">
          <xdr:nvSpPr>
            <xdr:cNvPr id="1354" name="ddB7Task1" hidden="1">
              <a:extLst>
                <a:ext uri="{63B3BB69-23CF-44E3-9099-C40C66FF867C}">
                  <a14:compatExt spid="_x0000_s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27</xdr:row>
          <xdr:rowOff>47625</xdr:rowOff>
        </xdr:from>
        <xdr:to>
          <xdr:col>14</xdr:col>
          <xdr:colOff>161925</xdr:colOff>
          <xdr:row>28</xdr:row>
          <xdr:rowOff>57150</xdr:rowOff>
        </xdr:to>
        <xdr:sp macro="" textlink="">
          <xdr:nvSpPr>
            <xdr:cNvPr id="1355" name="cbB7Task1" hidden="1">
              <a:extLst>
                <a:ext uri="{63B3BB69-23CF-44E3-9099-C40C66FF867C}">
                  <a14:compatExt spid="_x0000_s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28</xdr:row>
          <xdr:rowOff>66675</xdr:rowOff>
        </xdr:from>
        <xdr:to>
          <xdr:col>15</xdr:col>
          <xdr:colOff>1495425</xdr:colOff>
          <xdr:row>29</xdr:row>
          <xdr:rowOff>95250</xdr:rowOff>
        </xdr:to>
        <xdr:sp macro="" textlink="">
          <xdr:nvSpPr>
            <xdr:cNvPr id="1356" name="ddB7Task2" hidden="1">
              <a:extLst>
                <a:ext uri="{63B3BB69-23CF-44E3-9099-C40C66FF867C}">
                  <a14:compatExt spid="_x0000_s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28</xdr:row>
          <xdr:rowOff>85725</xdr:rowOff>
        </xdr:from>
        <xdr:to>
          <xdr:col>14</xdr:col>
          <xdr:colOff>161925</xdr:colOff>
          <xdr:row>29</xdr:row>
          <xdr:rowOff>95250</xdr:rowOff>
        </xdr:to>
        <xdr:sp macro="" textlink="">
          <xdr:nvSpPr>
            <xdr:cNvPr id="1357" name="cbB7Task2" hidden="1">
              <a:extLst>
                <a:ext uri="{63B3BB69-23CF-44E3-9099-C40C66FF867C}">
                  <a14:compatExt spid="_x0000_s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29</xdr:row>
          <xdr:rowOff>104775</xdr:rowOff>
        </xdr:from>
        <xdr:to>
          <xdr:col>15</xdr:col>
          <xdr:colOff>1495425</xdr:colOff>
          <xdr:row>30</xdr:row>
          <xdr:rowOff>133350</xdr:rowOff>
        </xdr:to>
        <xdr:sp macro="" textlink="">
          <xdr:nvSpPr>
            <xdr:cNvPr id="1358" name="ddB7Task3" hidden="1">
              <a:extLst>
                <a:ext uri="{63B3BB69-23CF-44E3-9099-C40C66FF867C}">
                  <a14:compatExt spid="_x0000_s1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29</xdr:row>
          <xdr:rowOff>123825</xdr:rowOff>
        </xdr:from>
        <xdr:to>
          <xdr:col>14</xdr:col>
          <xdr:colOff>161925</xdr:colOff>
          <xdr:row>30</xdr:row>
          <xdr:rowOff>133350</xdr:rowOff>
        </xdr:to>
        <xdr:sp macro="" textlink="">
          <xdr:nvSpPr>
            <xdr:cNvPr id="1359" name="cbB7Task3" hidden="1">
              <a:extLst>
                <a:ext uri="{63B3BB69-23CF-44E3-9099-C40C66FF867C}">
                  <a14:compatExt spid="_x0000_s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30</xdr:row>
          <xdr:rowOff>133350</xdr:rowOff>
        </xdr:from>
        <xdr:to>
          <xdr:col>15</xdr:col>
          <xdr:colOff>1495425</xdr:colOff>
          <xdr:row>31</xdr:row>
          <xdr:rowOff>161925</xdr:rowOff>
        </xdr:to>
        <xdr:sp macro="" textlink="">
          <xdr:nvSpPr>
            <xdr:cNvPr id="1360" name="ddB7Task4" hidden="1">
              <a:extLst>
                <a:ext uri="{63B3BB69-23CF-44E3-9099-C40C66FF867C}">
                  <a14:compatExt spid="_x0000_s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30</xdr:row>
          <xdr:rowOff>152400</xdr:rowOff>
        </xdr:from>
        <xdr:to>
          <xdr:col>14</xdr:col>
          <xdr:colOff>161925</xdr:colOff>
          <xdr:row>31</xdr:row>
          <xdr:rowOff>161925</xdr:rowOff>
        </xdr:to>
        <xdr:sp macro="" textlink="">
          <xdr:nvSpPr>
            <xdr:cNvPr id="1361" name="cbB7Task4" hidden="1">
              <a:extLst>
                <a:ext uri="{63B3BB69-23CF-44E3-9099-C40C66FF867C}">
                  <a14:compatExt spid="_x0000_s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228600</xdr:colOff>
          <xdr:row>31</xdr:row>
          <xdr:rowOff>161925</xdr:rowOff>
        </xdr:from>
        <xdr:to>
          <xdr:col>15</xdr:col>
          <xdr:colOff>1495425</xdr:colOff>
          <xdr:row>33</xdr:row>
          <xdr:rowOff>0</xdr:rowOff>
        </xdr:to>
        <xdr:sp macro="" textlink="">
          <xdr:nvSpPr>
            <xdr:cNvPr id="1362" name="ddB7Task5" hidden="1">
              <a:extLst>
                <a:ext uri="{63B3BB69-23CF-44E3-9099-C40C66FF867C}">
                  <a14:compatExt spid="_x0000_s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31</xdr:row>
          <xdr:rowOff>180975</xdr:rowOff>
        </xdr:from>
        <xdr:to>
          <xdr:col>14</xdr:col>
          <xdr:colOff>161925</xdr:colOff>
          <xdr:row>33</xdr:row>
          <xdr:rowOff>0</xdr:rowOff>
        </xdr:to>
        <xdr:sp macro="" textlink="">
          <xdr:nvSpPr>
            <xdr:cNvPr id="1363" name="cbB7Task5" hidden="1">
              <a:extLst>
                <a:ext uri="{63B3BB69-23CF-44E3-9099-C40C66FF867C}">
                  <a14:compatExt spid="_x0000_s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31</xdr:row>
          <xdr:rowOff>19050</xdr:rowOff>
        </xdr:from>
        <xdr:to>
          <xdr:col>13</xdr:col>
          <xdr:colOff>0</xdr:colOff>
          <xdr:row>32</xdr:row>
          <xdr:rowOff>9525</xdr:rowOff>
        </xdr:to>
        <xdr:sp macro="" textlink="">
          <xdr:nvSpPr>
            <xdr:cNvPr id="1364" name="ddB7PartsProvider" hidden="1">
              <a:extLst>
                <a:ext uri="{63B3BB69-23CF-44E3-9099-C40C66FF867C}">
                  <a14:compatExt spid="_x0000_s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32</xdr:row>
          <xdr:rowOff>19050</xdr:rowOff>
        </xdr:from>
        <xdr:to>
          <xdr:col>13</xdr:col>
          <xdr:colOff>0</xdr:colOff>
          <xdr:row>33</xdr:row>
          <xdr:rowOff>9525</xdr:rowOff>
        </xdr:to>
        <xdr:sp macro="" textlink="">
          <xdr:nvSpPr>
            <xdr:cNvPr id="1365" name="ddB7PartType" hidden="1">
              <a:extLst>
                <a:ext uri="{63B3BB69-23CF-44E3-9099-C40C66FF867C}">
                  <a14:compatExt spid="_x0000_s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25</xdr:row>
          <xdr:rowOff>19050</xdr:rowOff>
        </xdr:from>
        <xdr:to>
          <xdr:col>15</xdr:col>
          <xdr:colOff>1504950</xdr:colOff>
          <xdr:row>26</xdr:row>
          <xdr:rowOff>9525</xdr:rowOff>
        </xdr:to>
        <xdr:sp macro="" textlink="">
          <xdr:nvSpPr>
            <xdr:cNvPr id="1366" name="ddB7Customer" hidden="1">
              <a:extLst>
                <a:ext uri="{63B3BB69-23CF-44E3-9099-C40C66FF867C}">
                  <a14:compatExt spid="_x0000_s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36</xdr:row>
          <xdr:rowOff>19050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1367" name="ddB7EngineModels" hidden="1">
              <a:extLst>
                <a:ext uri="{63B3BB69-23CF-44E3-9099-C40C66FF867C}">
                  <a14:compatExt spid="_x0000_s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35</xdr:row>
          <xdr:rowOff>28575</xdr:rowOff>
        </xdr:from>
        <xdr:to>
          <xdr:col>13</xdr:col>
          <xdr:colOff>9525</xdr:colOff>
          <xdr:row>36</xdr:row>
          <xdr:rowOff>9525</xdr:rowOff>
        </xdr:to>
        <xdr:sp macro="" textlink="">
          <xdr:nvSpPr>
            <xdr:cNvPr id="1368" name="ddB7EngineMake" hidden="1">
              <a:extLst>
                <a:ext uri="{63B3BB69-23CF-44E3-9099-C40C66FF867C}">
                  <a14:compatExt spid="_x0000_s1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36</xdr:row>
          <xdr:rowOff>9525</xdr:rowOff>
        </xdr:from>
        <xdr:to>
          <xdr:col>15</xdr:col>
          <xdr:colOff>1504950</xdr:colOff>
          <xdr:row>37</xdr:row>
          <xdr:rowOff>0</xdr:rowOff>
        </xdr:to>
        <xdr:sp macro="" textlink="">
          <xdr:nvSpPr>
            <xdr:cNvPr id="1369" name="ddB7FrameModel" hidden="1">
              <a:extLst>
                <a:ext uri="{63B3BB69-23CF-44E3-9099-C40C66FF867C}">
                  <a14:compatExt spid="_x0000_s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19050</xdr:colOff>
          <xdr:row>35</xdr:row>
          <xdr:rowOff>28575</xdr:rowOff>
        </xdr:from>
        <xdr:to>
          <xdr:col>15</xdr:col>
          <xdr:colOff>1504950</xdr:colOff>
          <xdr:row>36</xdr:row>
          <xdr:rowOff>9525</xdr:rowOff>
        </xdr:to>
        <xdr:sp macro="" textlink="">
          <xdr:nvSpPr>
            <xdr:cNvPr id="1370" name="ddB7FrameMake" hidden="1">
              <a:extLst>
                <a:ext uri="{63B3BB69-23CF-44E3-9099-C40C66FF867C}">
                  <a14:compatExt spid="_x0000_s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27</xdr:row>
          <xdr:rowOff>28575</xdr:rowOff>
        </xdr:from>
        <xdr:to>
          <xdr:col>20</xdr:col>
          <xdr:colOff>1495425</xdr:colOff>
          <xdr:row>28</xdr:row>
          <xdr:rowOff>57150</xdr:rowOff>
        </xdr:to>
        <xdr:sp macro="" textlink="">
          <xdr:nvSpPr>
            <xdr:cNvPr id="1371" name="ddB8Task1" hidden="1">
              <a:extLst>
                <a:ext uri="{63B3BB69-23CF-44E3-9099-C40C66FF867C}">
                  <a14:compatExt spid="_x0000_s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27</xdr:row>
          <xdr:rowOff>47625</xdr:rowOff>
        </xdr:from>
        <xdr:to>
          <xdr:col>19</xdr:col>
          <xdr:colOff>161925</xdr:colOff>
          <xdr:row>28</xdr:row>
          <xdr:rowOff>57150</xdr:rowOff>
        </xdr:to>
        <xdr:sp macro="" textlink="">
          <xdr:nvSpPr>
            <xdr:cNvPr id="1372" name="cbB8Task1" hidden="1">
              <a:extLst>
                <a:ext uri="{63B3BB69-23CF-44E3-9099-C40C66FF867C}">
                  <a14:compatExt spid="_x0000_s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28</xdr:row>
          <xdr:rowOff>66675</xdr:rowOff>
        </xdr:from>
        <xdr:to>
          <xdr:col>20</xdr:col>
          <xdr:colOff>1495425</xdr:colOff>
          <xdr:row>29</xdr:row>
          <xdr:rowOff>95250</xdr:rowOff>
        </xdr:to>
        <xdr:sp macro="" textlink="">
          <xdr:nvSpPr>
            <xdr:cNvPr id="1373" name="ddB8Task2" hidden="1">
              <a:extLst>
                <a:ext uri="{63B3BB69-23CF-44E3-9099-C40C66FF867C}">
                  <a14:compatExt spid="_x0000_s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28</xdr:row>
          <xdr:rowOff>85725</xdr:rowOff>
        </xdr:from>
        <xdr:to>
          <xdr:col>19</xdr:col>
          <xdr:colOff>161925</xdr:colOff>
          <xdr:row>29</xdr:row>
          <xdr:rowOff>95250</xdr:rowOff>
        </xdr:to>
        <xdr:sp macro="" textlink="">
          <xdr:nvSpPr>
            <xdr:cNvPr id="1374" name="cbB8Task2" hidden="1">
              <a:extLst>
                <a:ext uri="{63B3BB69-23CF-44E3-9099-C40C66FF867C}">
                  <a14:compatExt spid="_x0000_s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29</xdr:row>
          <xdr:rowOff>104775</xdr:rowOff>
        </xdr:from>
        <xdr:to>
          <xdr:col>20</xdr:col>
          <xdr:colOff>1495425</xdr:colOff>
          <xdr:row>30</xdr:row>
          <xdr:rowOff>133350</xdr:rowOff>
        </xdr:to>
        <xdr:sp macro="" textlink="">
          <xdr:nvSpPr>
            <xdr:cNvPr id="1375" name="ddB8Task3" hidden="1">
              <a:extLst>
                <a:ext uri="{63B3BB69-23CF-44E3-9099-C40C66FF867C}">
                  <a14:compatExt spid="_x0000_s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29</xdr:row>
          <xdr:rowOff>123825</xdr:rowOff>
        </xdr:from>
        <xdr:to>
          <xdr:col>19</xdr:col>
          <xdr:colOff>161925</xdr:colOff>
          <xdr:row>30</xdr:row>
          <xdr:rowOff>133350</xdr:rowOff>
        </xdr:to>
        <xdr:sp macro="" textlink="">
          <xdr:nvSpPr>
            <xdr:cNvPr id="1376" name="cbB8Task3" hidden="1">
              <a:extLst>
                <a:ext uri="{63B3BB69-23CF-44E3-9099-C40C66FF867C}">
                  <a14:compatExt spid="_x0000_s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30</xdr:row>
          <xdr:rowOff>133350</xdr:rowOff>
        </xdr:from>
        <xdr:to>
          <xdr:col>20</xdr:col>
          <xdr:colOff>1495425</xdr:colOff>
          <xdr:row>31</xdr:row>
          <xdr:rowOff>161925</xdr:rowOff>
        </xdr:to>
        <xdr:sp macro="" textlink="">
          <xdr:nvSpPr>
            <xdr:cNvPr id="1377" name="ddB8Task4" hidden="1">
              <a:extLst>
                <a:ext uri="{63B3BB69-23CF-44E3-9099-C40C66FF867C}">
                  <a14:compatExt spid="_x0000_s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30</xdr:row>
          <xdr:rowOff>152400</xdr:rowOff>
        </xdr:from>
        <xdr:to>
          <xdr:col>19</xdr:col>
          <xdr:colOff>161925</xdr:colOff>
          <xdr:row>31</xdr:row>
          <xdr:rowOff>161925</xdr:rowOff>
        </xdr:to>
        <xdr:sp macro="" textlink="">
          <xdr:nvSpPr>
            <xdr:cNvPr id="1378" name="cbB8Task4" hidden="1">
              <a:extLst>
                <a:ext uri="{63B3BB69-23CF-44E3-9099-C40C66FF867C}">
                  <a14:compatExt spid="_x0000_s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228600</xdr:colOff>
          <xdr:row>31</xdr:row>
          <xdr:rowOff>161925</xdr:rowOff>
        </xdr:from>
        <xdr:to>
          <xdr:col>20</xdr:col>
          <xdr:colOff>1495425</xdr:colOff>
          <xdr:row>33</xdr:row>
          <xdr:rowOff>0</xdr:rowOff>
        </xdr:to>
        <xdr:sp macro="" textlink="">
          <xdr:nvSpPr>
            <xdr:cNvPr id="1379" name="ddB8Task5" hidden="1">
              <a:extLst>
                <a:ext uri="{63B3BB69-23CF-44E3-9099-C40C66FF867C}">
                  <a14:compatExt spid="_x0000_s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31</xdr:row>
          <xdr:rowOff>180975</xdr:rowOff>
        </xdr:from>
        <xdr:to>
          <xdr:col>19</xdr:col>
          <xdr:colOff>161925</xdr:colOff>
          <xdr:row>33</xdr:row>
          <xdr:rowOff>0</xdr:rowOff>
        </xdr:to>
        <xdr:sp macro="" textlink="">
          <xdr:nvSpPr>
            <xdr:cNvPr id="1380" name="cbB8Task5" hidden="1">
              <a:extLst>
                <a:ext uri="{63B3BB69-23CF-44E3-9099-C40C66FF867C}">
                  <a14:compatExt spid="_x0000_s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31</xdr:row>
          <xdr:rowOff>19050</xdr:rowOff>
        </xdr:from>
        <xdr:to>
          <xdr:col>18</xdr:col>
          <xdr:colOff>0</xdr:colOff>
          <xdr:row>32</xdr:row>
          <xdr:rowOff>9525</xdr:rowOff>
        </xdr:to>
        <xdr:sp macro="" textlink="">
          <xdr:nvSpPr>
            <xdr:cNvPr id="1381" name="ddB8PartsProvider" hidden="1">
              <a:extLst>
                <a:ext uri="{63B3BB69-23CF-44E3-9099-C40C66FF867C}">
                  <a14:compatExt spid="_x0000_s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619125</xdr:colOff>
          <xdr:row>32</xdr:row>
          <xdr:rowOff>19050</xdr:rowOff>
        </xdr:from>
        <xdr:to>
          <xdr:col>18</xdr:col>
          <xdr:colOff>0</xdr:colOff>
          <xdr:row>33</xdr:row>
          <xdr:rowOff>9525</xdr:rowOff>
        </xdr:to>
        <xdr:sp macro="" textlink="">
          <xdr:nvSpPr>
            <xdr:cNvPr id="1382" name="ddB8PartType" hidden="1">
              <a:extLst>
                <a:ext uri="{63B3BB69-23CF-44E3-9099-C40C66FF867C}">
                  <a14:compatExt spid="_x0000_s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25</xdr:row>
          <xdr:rowOff>19050</xdr:rowOff>
        </xdr:from>
        <xdr:to>
          <xdr:col>20</xdr:col>
          <xdr:colOff>1504950</xdr:colOff>
          <xdr:row>26</xdr:row>
          <xdr:rowOff>9525</xdr:rowOff>
        </xdr:to>
        <xdr:sp macro="" textlink="">
          <xdr:nvSpPr>
            <xdr:cNvPr id="1383" name="ddB8Customer" hidden="1">
              <a:extLst>
                <a:ext uri="{63B3BB69-23CF-44E3-9099-C40C66FF867C}">
                  <a14:compatExt spid="_x0000_s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36</xdr:row>
          <xdr:rowOff>19050</xdr:rowOff>
        </xdr:from>
        <xdr:to>
          <xdr:col>18</xdr:col>
          <xdr:colOff>9525</xdr:colOff>
          <xdr:row>37</xdr:row>
          <xdr:rowOff>0</xdr:rowOff>
        </xdr:to>
        <xdr:sp macro="" textlink="">
          <xdr:nvSpPr>
            <xdr:cNvPr id="1384" name="ddB8EngineModels" hidden="1">
              <a:extLst>
                <a:ext uri="{63B3BB69-23CF-44E3-9099-C40C66FF867C}">
                  <a14:compatExt spid="_x0000_s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0</xdr:colOff>
          <xdr:row>35</xdr:row>
          <xdr:rowOff>28575</xdr:rowOff>
        </xdr:from>
        <xdr:to>
          <xdr:col>18</xdr:col>
          <xdr:colOff>9525</xdr:colOff>
          <xdr:row>36</xdr:row>
          <xdr:rowOff>9525</xdr:rowOff>
        </xdr:to>
        <xdr:sp macro="" textlink="">
          <xdr:nvSpPr>
            <xdr:cNvPr id="1385" name="ddB8EngineMake" hidden="1">
              <a:extLst>
                <a:ext uri="{63B3BB69-23CF-44E3-9099-C40C66FF867C}">
                  <a14:compatExt spid="_x0000_s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36</xdr:row>
          <xdr:rowOff>9525</xdr:rowOff>
        </xdr:from>
        <xdr:to>
          <xdr:col>20</xdr:col>
          <xdr:colOff>1504950</xdr:colOff>
          <xdr:row>37</xdr:row>
          <xdr:rowOff>0</xdr:rowOff>
        </xdr:to>
        <xdr:sp macro="" textlink="">
          <xdr:nvSpPr>
            <xdr:cNvPr id="1386" name="ddB8FrameModel" hidden="1">
              <a:extLst>
                <a:ext uri="{63B3BB69-23CF-44E3-9099-C40C66FF867C}">
                  <a14:compatExt spid="_x0000_s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19050</xdr:colOff>
          <xdr:row>35</xdr:row>
          <xdr:rowOff>28575</xdr:rowOff>
        </xdr:from>
        <xdr:to>
          <xdr:col>20</xdr:col>
          <xdr:colOff>1504950</xdr:colOff>
          <xdr:row>36</xdr:row>
          <xdr:rowOff>9525</xdr:rowOff>
        </xdr:to>
        <xdr:sp macro="" textlink="">
          <xdr:nvSpPr>
            <xdr:cNvPr id="1387" name="ddB8FrameMake" hidden="1">
              <a:extLst>
                <a:ext uri="{63B3BB69-23CF-44E3-9099-C40C66FF867C}">
                  <a14:compatExt spid="_x0000_s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6</xdr:row>
          <xdr:rowOff>19050</xdr:rowOff>
        </xdr:from>
        <xdr:to>
          <xdr:col>5</xdr:col>
          <xdr:colOff>1504950</xdr:colOff>
          <xdr:row>7</xdr:row>
          <xdr:rowOff>0</xdr:rowOff>
        </xdr:to>
        <xdr:sp macro="" textlink="">
          <xdr:nvSpPr>
            <xdr:cNvPr id="1388" name="B1Clear" hidden="1">
              <a:extLst>
                <a:ext uri="{63B3BB69-23CF-44E3-9099-C40C66FF867C}">
                  <a14:compatExt spid="_x0000_s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695325</xdr:colOff>
          <xdr:row>6</xdr:row>
          <xdr:rowOff>19050</xdr:rowOff>
        </xdr:from>
        <xdr:to>
          <xdr:col>10</xdr:col>
          <xdr:colOff>1504950</xdr:colOff>
          <xdr:row>7</xdr:row>
          <xdr:rowOff>0</xdr:rowOff>
        </xdr:to>
        <xdr:sp macro="" textlink="">
          <xdr:nvSpPr>
            <xdr:cNvPr id="1389" name="B2Clear" hidden="1">
              <a:extLst>
                <a:ext uri="{63B3BB69-23CF-44E3-9099-C40C66FF867C}">
                  <a14:compatExt spid="_x0000_s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6</xdr:row>
          <xdr:rowOff>19050</xdr:rowOff>
        </xdr:from>
        <xdr:to>
          <xdr:col>15</xdr:col>
          <xdr:colOff>1504950</xdr:colOff>
          <xdr:row>7</xdr:row>
          <xdr:rowOff>0</xdr:rowOff>
        </xdr:to>
        <xdr:sp macro="" textlink="">
          <xdr:nvSpPr>
            <xdr:cNvPr id="1390" name="B3Clear" hidden="1">
              <a:extLst>
                <a:ext uri="{63B3BB69-23CF-44E3-9099-C40C66FF867C}">
                  <a14:compatExt spid="_x0000_s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695325</xdr:colOff>
          <xdr:row>6</xdr:row>
          <xdr:rowOff>19050</xdr:rowOff>
        </xdr:from>
        <xdr:to>
          <xdr:col>20</xdr:col>
          <xdr:colOff>1504950</xdr:colOff>
          <xdr:row>7</xdr:row>
          <xdr:rowOff>0</xdr:rowOff>
        </xdr:to>
        <xdr:sp macro="" textlink="">
          <xdr:nvSpPr>
            <xdr:cNvPr id="1391" name="B4Clear" hidden="1">
              <a:extLst>
                <a:ext uri="{63B3BB69-23CF-44E3-9099-C40C66FF867C}">
                  <a14:compatExt spid="_x0000_s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23</xdr:row>
          <xdr:rowOff>19050</xdr:rowOff>
        </xdr:from>
        <xdr:to>
          <xdr:col>5</xdr:col>
          <xdr:colOff>1504950</xdr:colOff>
          <xdr:row>24</xdr:row>
          <xdr:rowOff>0</xdr:rowOff>
        </xdr:to>
        <xdr:sp macro="" textlink="">
          <xdr:nvSpPr>
            <xdr:cNvPr id="1392" name="B5Clear" hidden="1">
              <a:extLst>
                <a:ext uri="{63B3BB69-23CF-44E3-9099-C40C66FF867C}">
                  <a14:compatExt spid="_x0000_s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695325</xdr:colOff>
          <xdr:row>23</xdr:row>
          <xdr:rowOff>19050</xdr:rowOff>
        </xdr:from>
        <xdr:to>
          <xdr:col>10</xdr:col>
          <xdr:colOff>1504950</xdr:colOff>
          <xdr:row>24</xdr:row>
          <xdr:rowOff>0</xdr:rowOff>
        </xdr:to>
        <xdr:sp macro="" textlink="">
          <xdr:nvSpPr>
            <xdr:cNvPr id="1393" name="B6Clear" hidden="1">
              <a:extLst>
                <a:ext uri="{63B3BB69-23CF-44E3-9099-C40C66FF867C}">
                  <a14:compatExt spid="_x0000_s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695325</xdr:colOff>
          <xdr:row>23</xdr:row>
          <xdr:rowOff>19050</xdr:rowOff>
        </xdr:from>
        <xdr:to>
          <xdr:col>15</xdr:col>
          <xdr:colOff>1504950</xdr:colOff>
          <xdr:row>24</xdr:row>
          <xdr:rowOff>0</xdr:rowOff>
        </xdr:to>
        <xdr:sp macro="" textlink="">
          <xdr:nvSpPr>
            <xdr:cNvPr id="1394" name="B7Clear" hidden="1">
              <a:extLst>
                <a:ext uri="{63B3BB69-23CF-44E3-9099-C40C66FF867C}">
                  <a14:compatExt spid="_x0000_s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695325</xdr:colOff>
          <xdr:row>23</xdr:row>
          <xdr:rowOff>19050</xdr:rowOff>
        </xdr:from>
        <xdr:to>
          <xdr:col>20</xdr:col>
          <xdr:colOff>1504950</xdr:colOff>
          <xdr:row>24</xdr:row>
          <xdr:rowOff>0</xdr:rowOff>
        </xdr:to>
        <xdr:sp macro="" textlink="">
          <xdr:nvSpPr>
            <xdr:cNvPr id="1396" name="B8Clear" hidden="1">
              <a:extLst>
                <a:ext uri="{63B3BB69-23CF-44E3-9099-C40C66FF867C}">
                  <a14:compatExt spid="_x0000_s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sks" displayName="tasks" ref="A1:A23" totalsRowShown="0" headerRowDxfId="51" dataDxfId="50">
  <autoFilter ref="A1:A23"/>
  <tableColumns count="1">
    <tableColumn id="1" name="Tasks" dataDxfId="4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partsProviders" displayName="partsProviders" ref="C1:C4" totalsRowShown="0">
  <autoFilter ref="C1:C4"/>
  <tableColumns count="1">
    <tableColumn id="1" name="PartsProvider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partTypes" displayName="partTypes" ref="E1:E5" totalsRowShown="0">
  <autoFilter ref="E1:E5"/>
  <tableColumns count="1">
    <tableColumn id="1" name="Part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engineModels" displayName="engineModels" ref="G1:G78" totalsRowShown="0" dataDxfId="48">
  <autoFilter ref="G1:G78"/>
  <tableColumns count="1">
    <tableColumn id="1" name="Engine Model List" dataDxfId="4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customers" displayName="customers" ref="I1:I58" totalsRowShown="0" headerRowDxfId="46" dataDxfId="44" headerRowBorderDxfId="45" tableBorderDxfId="43" headerRowCellStyle="Comma" dataCellStyle="Comma">
  <autoFilter ref="I1:I58"/>
  <tableColumns count="1">
    <tableColumn id="1" name="Customer Name" dataDxfId="42" dataCellStyle="Comm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engineMakes" displayName="engineMakes" ref="K1:K6" totalsRowShown="0" dataDxfId="41">
  <autoFilter ref="K1:K6"/>
  <tableColumns count="1">
    <tableColumn id="1" name="Engine Makes" dataDxfId="40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id="7" name="frameMakes" displayName="frameMakes" ref="M1:M7" totalsRowShown="0" dataDxfId="39">
  <autoFilter ref="M1:M7"/>
  <tableColumns count="1">
    <tableColumn id="1" name="Frame Makes" dataDxfId="38"/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id="8" name="frameModels" displayName="frameModels" ref="O1:O31" totalsRowShown="0" dataDxfId="37">
  <autoFilter ref="O1:O31"/>
  <tableColumns count="1">
    <tableColumn id="1" name="Frame Models" dataDxfId="36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id="9" name="holidays" displayName="holidays" ref="Q1:Q7" totalsRowShown="0" dataDxfId="35">
  <autoFilter ref="Q1:Q7"/>
  <tableColumns count="1">
    <tableColumn id="1" name="Holidays" dataDxfId="34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able10" displayName="Table10" ref="S1:T5" totalsRowShown="0">
  <autoFilter ref="S1:T5"/>
  <tableColumns count="2">
    <tableColumn id="1" name="Days till Due"/>
    <tableColumn id="2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24.emf"/><Relationship Id="rId299" Type="http://schemas.openxmlformats.org/officeDocument/2006/relationships/control" Target="../activeX/activeX226.xml"/><Relationship Id="rId303" Type="http://schemas.openxmlformats.org/officeDocument/2006/relationships/control" Target="../activeX/activeX230.xml"/><Relationship Id="rId21" Type="http://schemas.openxmlformats.org/officeDocument/2006/relationships/image" Target="../media/image10.emf"/><Relationship Id="rId42" Type="http://schemas.openxmlformats.org/officeDocument/2006/relationships/control" Target="../activeX/activeX25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67.xml"/><Relationship Id="rId138" Type="http://schemas.openxmlformats.org/officeDocument/2006/relationships/image" Target="../media/image28.emf"/><Relationship Id="rId159" Type="http://schemas.openxmlformats.org/officeDocument/2006/relationships/image" Target="../media/image34.emf"/><Relationship Id="rId170" Type="http://schemas.openxmlformats.org/officeDocument/2006/relationships/control" Target="../activeX/activeX131.xml"/><Relationship Id="rId191" Type="http://schemas.openxmlformats.org/officeDocument/2006/relationships/control" Target="../activeX/activeX146.xml"/><Relationship Id="rId205" Type="http://schemas.openxmlformats.org/officeDocument/2006/relationships/control" Target="../activeX/activeX155.xml"/><Relationship Id="rId226" Type="http://schemas.openxmlformats.org/officeDocument/2006/relationships/control" Target="../activeX/activeX168.xml"/><Relationship Id="rId247" Type="http://schemas.openxmlformats.org/officeDocument/2006/relationships/control" Target="../activeX/activeX186.xml"/><Relationship Id="rId107" Type="http://schemas.openxmlformats.org/officeDocument/2006/relationships/control" Target="../activeX/activeX85.xml"/><Relationship Id="rId268" Type="http://schemas.openxmlformats.org/officeDocument/2006/relationships/image" Target="../media/image64.emf"/><Relationship Id="rId289" Type="http://schemas.openxmlformats.org/officeDocument/2006/relationships/image" Target="../media/image68.emf"/><Relationship Id="rId11" Type="http://schemas.openxmlformats.org/officeDocument/2006/relationships/image" Target="../media/image5.emf"/><Relationship Id="rId32" Type="http://schemas.openxmlformats.org/officeDocument/2006/relationships/image" Target="../media/image14.emf"/><Relationship Id="rId53" Type="http://schemas.openxmlformats.org/officeDocument/2006/relationships/control" Target="../activeX/activeX36.xml"/><Relationship Id="rId74" Type="http://schemas.openxmlformats.org/officeDocument/2006/relationships/control" Target="../activeX/activeX57.xml"/><Relationship Id="rId128" Type="http://schemas.openxmlformats.org/officeDocument/2006/relationships/control" Target="../activeX/activeX102.xml"/><Relationship Id="rId149" Type="http://schemas.openxmlformats.org/officeDocument/2006/relationships/image" Target="../media/image32.emf"/><Relationship Id="rId314" Type="http://schemas.openxmlformats.org/officeDocument/2006/relationships/control" Target="../activeX/activeX240.xml"/><Relationship Id="rId5" Type="http://schemas.openxmlformats.org/officeDocument/2006/relationships/image" Target="../media/image2.emf"/><Relationship Id="rId95" Type="http://schemas.openxmlformats.org/officeDocument/2006/relationships/image" Target="../media/image19.emf"/><Relationship Id="rId160" Type="http://schemas.openxmlformats.org/officeDocument/2006/relationships/control" Target="../activeX/activeX124.xml"/><Relationship Id="rId181" Type="http://schemas.openxmlformats.org/officeDocument/2006/relationships/image" Target="../media/image41.emf"/><Relationship Id="rId216" Type="http://schemas.openxmlformats.org/officeDocument/2006/relationships/image" Target="../media/image52.emf"/><Relationship Id="rId237" Type="http://schemas.openxmlformats.org/officeDocument/2006/relationships/image" Target="../media/image59.emf"/><Relationship Id="rId258" Type="http://schemas.openxmlformats.org/officeDocument/2006/relationships/image" Target="../media/image63.emf"/><Relationship Id="rId279" Type="http://schemas.openxmlformats.org/officeDocument/2006/relationships/control" Target="../activeX/activeX210.xml"/><Relationship Id="rId22" Type="http://schemas.openxmlformats.org/officeDocument/2006/relationships/control" Target="../activeX/activeX10.xml"/><Relationship Id="rId43" Type="http://schemas.openxmlformats.org/officeDocument/2006/relationships/control" Target="../activeX/activeX26.xml"/><Relationship Id="rId64" Type="http://schemas.openxmlformats.org/officeDocument/2006/relationships/control" Target="../activeX/activeX47.xml"/><Relationship Id="rId118" Type="http://schemas.openxmlformats.org/officeDocument/2006/relationships/control" Target="../activeX/activeX92.xml"/><Relationship Id="rId139" Type="http://schemas.openxmlformats.org/officeDocument/2006/relationships/control" Target="../activeX/activeX109.xml"/><Relationship Id="rId290" Type="http://schemas.openxmlformats.org/officeDocument/2006/relationships/control" Target="../activeX/activeX220.xml"/><Relationship Id="rId304" Type="http://schemas.openxmlformats.org/officeDocument/2006/relationships/image" Target="../media/image72.emf"/><Relationship Id="rId85" Type="http://schemas.openxmlformats.org/officeDocument/2006/relationships/control" Target="../activeX/activeX68.xml"/><Relationship Id="rId150" Type="http://schemas.openxmlformats.org/officeDocument/2006/relationships/control" Target="../activeX/activeX116.xml"/><Relationship Id="rId171" Type="http://schemas.openxmlformats.org/officeDocument/2006/relationships/image" Target="../media/image38.emf"/><Relationship Id="rId192" Type="http://schemas.openxmlformats.org/officeDocument/2006/relationships/image" Target="../media/image44.emf"/><Relationship Id="rId206" Type="http://schemas.openxmlformats.org/officeDocument/2006/relationships/image" Target="../media/image49.emf"/><Relationship Id="rId227" Type="http://schemas.openxmlformats.org/officeDocument/2006/relationships/control" Target="../activeX/activeX169.xml"/><Relationship Id="rId248" Type="http://schemas.openxmlformats.org/officeDocument/2006/relationships/control" Target="../activeX/activeX187.xml"/><Relationship Id="rId269" Type="http://schemas.openxmlformats.org/officeDocument/2006/relationships/control" Target="../activeX/activeX203.xml"/><Relationship Id="rId12" Type="http://schemas.openxmlformats.org/officeDocument/2006/relationships/control" Target="../activeX/activeX5.xml"/><Relationship Id="rId33" Type="http://schemas.openxmlformats.org/officeDocument/2006/relationships/control" Target="../activeX/activeX17.xml"/><Relationship Id="rId108" Type="http://schemas.openxmlformats.org/officeDocument/2006/relationships/image" Target="../media/image21.emf"/><Relationship Id="rId129" Type="http://schemas.openxmlformats.org/officeDocument/2006/relationships/image" Target="../media/image25.emf"/><Relationship Id="rId280" Type="http://schemas.openxmlformats.org/officeDocument/2006/relationships/control" Target="../activeX/activeX211.xml"/><Relationship Id="rId315" Type="http://schemas.openxmlformats.org/officeDocument/2006/relationships/control" Target="../activeX/activeX241.xml"/><Relationship Id="rId54" Type="http://schemas.openxmlformats.org/officeDocument/2006/relationships/control" Target="../activeX/activeX37.xml"/><Relationship Id="rId75" Type="http://schemas.openxmlformats.org/officeDocument/2006/relationships/control" Target="../activeX/activeX58.xml"/><Relationship Id="rId96" Type="http://schemas.openxmlformats.org/officeDocument/2006/relationships/control" Target="../activeX/activeX75.xml"/><Relationship Id="rId140" Type="http://schemas.openxmlformats.org/officeDocument/2006/relationships/control" Target="../activeX/activeX110.xml"/><Relationship Id="rId161" Type="http://schemas.openxmlformats.org/officeDocument/2006/relationships/control" Target="../activeX/activeX125.xml"/><Relationship Id="rId182" Type="http://schemas.openxmlformats.org/officeDocument/2006/relationships/control" Target="../activeX/activeX139.xml"/><Relationship Id="rId217" Type="http://schemas.openxmlformats.org/officeDocument/2006/relationships/control" Target="../activeX/activeX163.xml"/><Relationship Id="rId6" Type="http://schemas.openxmlformats.org/officeDocument/2006/relationships/control" Target="../activeX/activeX2.xml"/><Relationship Id="rId238" Type="http://schemas.openxmlformats.org/officeDocument/2006/relationships/control" Target="../activeX/activeX177.xml"/><Relationship Id="rId259" Type="http://schemas.openxmlformats.org/officeDocument/2006/relationships/control" Target="../activeX/activeX194.xml"/><Relationship Id="rId23" Type="http://schemas.openxmlformats.org/officeDocument/2006/relationships/image" Target="../media/image11.emf"/><Relationship Id="rId119" Type="http://schemas.openxmlformats.org/officeDocument/2006/relationships/control" Target="../activeX/activeX93.xml"/><Relationship Id="rId270" Type="http://schemas.openxmlformats.org/officeDocument/2006/relationships/control" Target="../activeX/activeX204.xml"/><Relationship Id="rId291" Type="http://schemas.openxmlformats.org/officeDocument/2006/relationships/control" Target="../activeX/activeX221.xml"/><Relationship Id="rId305" Type="http://schemas.openxmlformats.org/officeDocument/2006/relationships/control" Target="../activeX/activeX231.xml"/><Relationship Id="rId44" Type="http://schemas.openxmlformats.org/officeDocument/2006/relationships/control" Target="../activeX/activeX27.xml"/><Relationship Id="rId65" Type="http://schemas.openxmlformats.org/officeDocument/2006/relationships/control" Target="../activeX/activeX48.xml"/><Relationship Id="rId86" Type="http://schemas.openxmlformats.org/officeDocument/2006/relationships/control" Target="../activeX/activeX69.xml"/><Relationship Id="rId130" Type="http://schemas.openxmlformats.org/officeDocument/2006/relationships/control" Target="../activeX/activeX103.xml"/><Relationship Id="rId151" Type="http://schemas.openxmlformats.org/officeDocument/2006/relationships/control" Target="../activeX/activeX117.xml"/><Relationship Id="rId172" Type="http://schemas.openxmlformats.org/officeDocument/2006/relationships/control" Target="../activeX/activeX132.xml"/><Relationship Id="rId193" Type="http://schemas.openxmlformats.org/officeDocument/2006/relationships/control" Target="../activeX/activeX147.xml"/><Relationship Id="rId207" Type="http://schemas.openxmlformats.org/officeDocument/2006/relationships/control" Target="../activeX/activeX156.xml"/><Relationship Id="rId228" Type="http://schemas.openxmlformats.org/officeDocument/2006/relationships/control" Target="../activeX/activeX170.xml"/><Relationship Id="rId249" Type="http://schemas.openxmlformats.org/officeDocument/2006/relationships/image" Target="../media/image60.emf"/><Relationship Id="rId13" Type="http://schemas.openxmlformats.org/officeDocument/2006/relationships/image" Target="../media/image6.emf"/><Relationship Id="rId109" Type="http://schemas.openxmlformats.org/officeDocument/2006/relationships/control" Target="../activeX/activeX86.xml"/><Relationship Id="rId260" Type="http://schemas.openxmlformats.org/officeDocument/2006/relationships/control" Target="../activeX/activeX195.xml"/><Relationship Id="rId281" Type="http://schemas.openxmlformats.org/officeDocument/2006/relationships/control" Target="../activeX/activeX212.xml"/><Relationship Id="rId316" Type="http://schemas.openxmlformats.org/officeDocument/2006/relationships/control" Target="../activeX/activeX242.xml"/><Relationship Id="rId34" Type="http://schemas.openxmlformats.org/officeDocument/2006/relationships/image" Target="../media/image15.emf"/><Relationship Id="rId55" Type="http://schemas.openxmlformats.org/officeDocument/2006/relationships/control" Target="../activeX/activeX38.xml"/><Relationship Id="rId76" Type="http://schemas.openxmlformats.org/officeDocument/2006/relationships/control" Target="../activeX/activeX59.xml"/><Relationship Id="rId97" Type="http://schemas.openxmlformats.org/officeDocument/2006/relationships/control" Target="../activeX/activeX76.xml"/><Relationship Id="rId120" Type="http://schemas.openxmlformats.org/officeDocument/2006/relationships/control" Target="../activeX/activeX94.xml"/><Relationship Id="rId141" Type="http://schemas.openxmlformats.org/officeDocument/2006/relationships/control" Target="../activeX/activeX111.xml"/><Relationship Id="rId7" Type="http://schemas.openxmlformats.org/officeDocument/2006/relationships/image" Target="../media/image3.emf"/><Relationship Id="rId162" Type="http://schemas.openxmlformats.org/officeDocument/2006/relationships/image" Target="../media/image35.emf"/><Relationship Id="rId183" Type="http://schemas.openxmlformats.org/officeDocument/2006/relationships/control" Target="../activeX/activeX140.xml"/><Relationship Id="rId218" Type="http://schemas.openxmlformats.org/officeDocument/2006/relationships/image" Target="../media/image53.emf"/><Relationship Id="rId239" Type="http://schemas.openxmlformats.org/officeDocument/2006/relationships/control" Target="../activeX/activeX178.xml"/><Relationship Id="rId250" Type="http://schemas.openxmlformats.org/officeDocument/2006/relationships/control" Target="../activeX/activeX188.xml"/><Relationship Id="rId271" Type="http://schemas.openxmlformats.org/officeDocument/2006/relationships/image" Target="../media/image65.emf"/><Relationship Id="rId292" Type="http://schemas.openxmlformats.org/officeDocument/2006/relationships/image" Target="../media/image69.emf"/><Relationship Id="rId306" Type="http://schemas.openxmlformats.org/officeDocument/2006/relationships/control" Target="../activeX/activeX232.xml"/><Relationship Id="rId24" Type="http://schemas.openxmlformats.org/officeDocument/2006/relationships/control" Target="../activeX/activeX11.xml"/><Relationship Id="rId45" Type="http://schemas.openxmlformats.org/officeDocument/2006/relationships/control" Target="../activeX/activeX28.xml"/><Relationship Id="rId66" Type="http://schemas.openxmlformats.org/officeDocument/2006/relationships/control" Target="../activeX/activeX49.xml"/><Relationship Id="rId87" Type="http://schemas.openxmlformats.org/officeDocument/2006/relationships/control" Target="../activeX/activeX70.xml"/><Relationship Id="rId110" Type="http://schemas.openxmlformats.org/officeDocument/2006/relationships/control" Target="../activeX/activeX87.xml"/><Relationship Id="rId131" Type="http://schemas.openxmlformats.org/officeDocument/2006/relationships/control" Target="../activeX/activeX104.xml"/><Relationship Id="rId61" Type="http://schemas.openxmlformats.org/officeDocument/2006/relationships/control" Target="../activeX/activeX44.xml"/><Relationship Id="rId82" Type="http://schemas.openxmlformats.org/officeDocument/2006/relationships/control" Target="../activeX/activeX65.xml"/><Relationship Id="rId152" Type="http://schemas.openxmlformats.org/officeDocument/2006/relationships/control" Target="../activeX/activeX118.xml"/><Relationship Id="rId173" Type="http://schemas.openxmlformats.org/officeDocument/2006/relationships/image" Target="../media/image39.emf"/><Relationship Id="rId194" Type="http://schemas.openxmlformats.org/officeDocument/2006/relationships/image" Target="../media/image45.emf"/><Relationship Id="rId199" Type="http://schemas.openxmlformats.org/officeDocument/2006/relationships/control" Target="../activeX/activeX150.xml"/><Relationship Id="rId203" Type="http://schemas.openxmlformats.org/officeDocument/2006/relationships/image" Target="../media/image48.emf"/><Relationship Id="rId208" Type="http://schemas.openxmlformats.org/officeDocument/2006/relationships/control" Target="../activeX/activeX157.xml"/><Relationship Id="rId229" Type="http://schemas.openxmlformats.org/officeDocument/2006/relationships/control" Target="../activeX/activeX171.xml"/><Relationship Id="rId19" Type="http://schemas.openxmlformats.org/officeDocument/2006/relationships/image" Target="../media/image9.emf"/><Relationship Id="rId224" Type="http://schemas.openxmlformats.org/officeDocument/2006/relationships/image" Target="../media/image56.emf"/><Relationship Id="rId240" Type="http://schemas.openxmlformats.org/officeDocument/2006/relationships/control" Target="../activeX/activeX179.xml"/><Relationship Id="rId245" Type="http://schemas.openxmlformats.org/officeDocument/2006/relationships/control" Target="../activeX/activeX184.xml"/><Relationship Id="rId261" Type="http://schemas.openxmlformats.org/officeDocument/2006/relationships/control" Target="../activeX/activeX196.xml"/><Relationship Id="rId266" Type="http://schemas.openxmlformats.org/officeDocument/2006/relationships/control" Target="../activeX/activeX201.xml"/><Relationship Id="rId287" Type="http://schemas.openxmlformats.org/officeDocument/2006/relationships/control" Target="../activeX/activeX218.xml"/><Relationship Id="rId14" Type="http://schemas.openxmlformats.org/officeDocument/2006/relationships/control" Target="../activeX/activeX6.xml"/><Relationship Id="rId30" Type="http://schemas.openxmlformats.org/officeDocument/2006/relationships/control" Target="../activeX/activeX15.xml"/><Relationship Id="rId35" Type="http://schemas.openxmlformats.org/officeDocument/2006/relationships/control" Target="../activeX/activeX18.xml"/><Relationship Id="rId56" Type="http://schemas.openxmlformats.org/officeDocument/2006/relationships/control" Target="../activeX/activeX39.xml"/><Relationship Id="rId77" Type="http://schemas.openxmlformats.org/officeDocument/2006/relationships/control" Target="../activeX/activeX60.xml"/><Relationship Id="rId100" Type="http://schemas.openxmlformats.org/officeDocument/2006/relationships/control" Target="../activeX/activeX78.xml"/><Relationship Id="rId105" Type="http://schemas.openxmlformats.org/officeDocument/2006/relationships/control" Target="../activeX/activeX83.xml"/><Relationship Id="rId126" Type="http://schemas.openxmlformats.org/officeDocument/2006/relationships/control" Target="../activeX/activeX100.xml"/><Relationship Id="rId147" Type="http://schemas.openxmlformats.org/officeDocument/2006/relationships/image" Target="../media/image31.emf"/><Relationship Id="rId168" Type="http://schemas.openxmlformats.org/officeDocument/2006/relationships/control" Target="../activeX/activeX130.xml"/><Relationship Id="rId282" Type="http://schemas.openxmlformats.org/officeDocument/2006/relationships/control" Target="../activeX/activeX213.xml"/><Relationship Id="rId312" Type="http://schemas.openxmlformats.org/officeDocument/2006/relationships/control" Target="../activeX/activeX238.xml"/><Relationship Id="rId8" Type="http://schemas.openxmlformats.org/officeDocument/2006/relationships/control" Target="../activeX/activeX3.xml"/><Relationship Id="rId51" Type="http://schemas.openxmlformats.org/officeDocument/2006/relationships/control" Target="../activeX/activeX34.xml"/><Relationship Id="rId72" Type="http://schemas.openxmlformats.org/officeDocument/2006/relationships/control" Target="../activeX/activeX55.xml"/><Relationship Id="rId93" Type="http://schemas.openxmlformats.org/officeDocument/2006/relationships/control" Target="../activeX/activeX73.xml"/><Relationship Id="rId98" Type="http://schemas.openxmlformats.org/officeDocument/2006/relationships/image" Target="../media/image20.emf"/><Relationship Id="rId121" Type="http://schemas.openxmlformats.org/officeDocument/2006/relationships/control" Target="../activeX/activeX95.xml"/><Relationship Id="rId142" Type="http://schemas.openxmlformats.org/officeDocument/2006/relationships/control" Target="../activeX/activeX112.xml"/><Relationship Id="rId163" Type="http://schemas.openxmlformats.org/officeDocument/2006/relationships/control" Target="../activeX/activeX126.xml"/><Relationship Id="rId184" Type="http://schemas.openxmlformats.org/officeDocument/2006/relationships/image" Target="../media/image42.emf"/><Relationship Id="rId189" Type="http://schemas.openxmlformats.org/officeDocument/2006/relationships/control" Target="../activeX/activeX144.xml"/><Relationship Id="rId219" Type="http://schemas.openxmlformats.org/officeDocument/2006/relationships/control" Target="../activeX/activeX164.xml"/><Relationship Id="rId3" Type="http://schemas.openxmlformats.org/officeDocument/2006/relationships/vmlDrawing" Target="../drawings/vmlDrawing1.vml"/><Relationship Id="rId214" Type="http://schemas.openxmlformats.org/officeDocument/2006/relationships/control" Target="../activeX/activeX161.xml"/><Relationship Id="rId230" Type="http://schemas.openxmlformats.org/officeDocument/2006/relationships/control" Target="../activeX/activeX172.xml"/><Relationship Id="rId235" Type="http://schemas.openxmlformats.org/officeDocument/2006/relationships/control" Target="../activeX/activeX175.xml"/><Relationship Id="rId251" Type="http://schemas.openxmlformats.org/officeDocument/2006/relationships/control" Target="../activeX/activeX189.xml"/><Relationship Id="rId256" Type="http://schemas.openxmlformats.org/officeDocument/2006/relationships/control" Target="../activeX/activeX192.xml"/><Relationship Id="rId277" Type="http://schemas.openxmlformats.org/officeDocument/2006/relationships/image" Target="../media/image67.emf"/><Relationship Id="rId298" Type="http://schemas.openxmlformats.org/officeDocument/2006/relationships/image" Target="../media/image71.emf"/><Relationship Id="rId25" Type="http://schemas.openxmlformats.org/officeDocument/2006/relationships/image" Target="../media/image12.emf"/><Relationship Id="rId46" Type="http://schemas.openxmlformats.org/officeDocument/2006/relationships/control" Target="../activeX/activeX29.xml"/><Relationship Id="rId67" Type="http://schemas.openxmlformats.org/officeDocument/2006/relationships/control" Target="../activeX/activeX50.xml"/><Relationship Id="rId116" Type="http://schemas.openxmlformats.org/officeDocument/2006/relationships/control" Target="../activeX/activeX91.xml"/><Relationship Id="rId137" Type="http://schemas.openxmlformats.org/officeDocument/2006/relationships/control" Target="../activeX/activeX108.xml"/><Relationship Id="rId158" Type="http://schemas.openxmlformats.org/officeDocument/2006/relationships/control" Target="../activeX/activeX123.xml"/><Relationship Id="rId272" Type="http://schemas.openxmlformats.org/officeDocument/2006/relationships/control" Target="../activeX/activeX205.xml"/><Relationship Id="rId293" Type="http://schemas.openxmlformats.org/officeDocument/2006/relationships/control" Target="../activeX/activeX222.xml"/><Relationship Id="rId302" Type="http://schemas.openxmlformats.org/officeDocument/2006/relationships/control" Target="../activeX/activeX229.xml"/><Relationship Id="rId307" Type="http://schemas.openxmlformats.org/officeDocument/2006/relationships/control" Target="../activeX/activeX233.xml"/><Relationship Id="rId20" Type="http://schemas.openxmlformats.org/officeDocument/2006/relationships/control" Target="../activeX/activeX9.xml"/><Relationship Id="rId41" Type="http://schemas.openxmlformats.org/officeDocument/2006/relationships/control" Target="../activeX/activeX24.xml"/><Relationship Id="rId62" Type="http://schemas.openxmlformats.org/officeDocument/2006/relationships/control" Target="../activeX/activeX45.xml"/><Relationship Id="rId83" Type="http://schemas.openxmlformats.org/officeDocument/2006/relationships/control" Target="../activeX/activeX66.xml"/><Relationship Id="rId88" Type="http://schemas.openxmlformats.org/officeDocument/2006/relationships/image" Target="../media/image16.emf"/><Relationship Id="rId111" Type="http://schemas.openxmlformats.org/officeDocument/2006/relationships/image" Target="../media/image22.emf"/><Relationship Id="rId132" Type="http://schemas.openxmlformats.org/officeDocument/2006/relationships/image" Target="../media/image26.emf"/><Relationship Id="rId153" Type="http://schemas.openxmlformats.org/officeDocument/2006/relationships/control" Target="../activeX/activeX119.xml"/><Relationship Id="rId174" Type="http://schemas.openxmlformats.org/officeDocument/2006/relationships/control" Target="../activeX/activeX133.xml"/><Relationship Id="rId179" Type="http://schemas.openxmlformats.org/officeDocument/2006/relationships/control" Target="../activeX/activeX137.xml"/><Relationship Id="rId195" Type="http://schemas.openxmlformats.org/officeDocument/2006/relationships/control" Target="../activeX/activeX148.xml"/><Relationship Id="rId209" Type="http://schemas.openxmlformats.org/officeDocument/2006/relationships/image" Target="../media/image50.emf"/><Relationship Id="rId190" Type="http://schemas.openxmlformats.org/officeDocument/2006/relationships/control" Target="../activeX/activeX145.xml"/><Relationship Id="rId204" Type="http://schemas.openxmlformats.org/officeDocument/2006/relationships/control" Target="../activeX/activeX154.xml"/><Relationship Id="rId220" Type="http://schemas.openxmlformats.org/officeDocument/2006/relationships/image" Target="../media/image54.emf"/><Relationship Id="rId225" Type="http://schemas.openxmlformats.org/officeDocument/2006/relationships/control" Target="../activeX/activeX167.xml"/><Relationship Id="rId241" Type="http://schemas.openxmlformats.org/officeDocument/2006/relationships/control" Target="../activeX/activeX180.xml"/><Relationship Id="rId246" Type="http://schemas.openxmlformats.org/officeDocument/2006/relationships/control" Target="../activeX/activeX185.xml"/><Relationship Id="rId267" Type="http://schemas.openxmlformats.org/officeDocument/2006/relationships/control" Target="../activeX/activeX202.xml"/><Relationship Id="rId288" Type="http://schemas.openxmlformats.org/officeDocument/2006/relationships/control" Target="../activeX/activeX219.xml"/><Relationship Id="rId15" Type="http://schemas.openxmlformats.org/officeDocument/2006/relationships/image" Target="../media/image7.emf"/><Relationship Id="rId36" Type="http://schemas.openxmlformats.org/officeDocument/2006/relationships/control" Target="../activeX/activeX19.xml"/><Relationship Id="rId57" Type="http://schemas.openxmlformats.org/officeDocument/2006/relationships/control" Target="../activeX/activeX40.xml"/><Relationship Id="rId106" Type="http://schemas.openxmlformats.org/officeDocument/2006/relationships/control" Target="../activeX/activeX84.xml"/><Relationship Id="rId127" Type="http://schemas.openxmlformats.org/officeDocument/2006/relationships/control" Target="../activeX/activeX101.xml"/><Relationship Id="rId262" Type="http://schemas.openxmlformats.org/officeDocument/2006/relationships/control" Target="../activeX/activeX197.xml"/><Relationship Id="rId283" Type="http://schemas.openxmlformats.org/officeDocument/2006/relationships/control" Target="../activeX/activeX214.xml"/><Relationship Id="rId313" Type="http://schemas.openxmlformats.org/officeDocument/2006/relationships/control" Target="../activeX/activeX239.xml"/><Relationship Id="rId10" Type="http://schemas.openxmlformats.org/officeDocument/2006/relationships/control" Target="../activeX/activeX4.xml"/><Relationship Id="rId31" Type="http://schemas.openxmlformats.org/officeDocument/2006/relationships/control" Target="../activeX/activeX16.xml"/><Relationship Id="rId52" Type="http://schemas.openxmlformats.org/officeDocument/2006/relationships/control" Target="../activeX/activeX35.xml"/><Relationship Id="rId73" Type="http://schemas.openxmlformats.org/officeDocument/2006/relationships/control" Target="../activeX/activeX56.xml"/><Relationship Id="rId78" Type="http://schemas.openxmlformats.org/officeDocument/2006/relationships/control" Target="../activeX/activeX61.xml"/><Relationship Id="rId94" Type="http://schemas.openxmlformats.org/officeDocument/2006/relationships/control" Target="../activeX/activeX74.xml"/><Relationship Id="rId99" Type="http://schemas.openxmlformats.org/officeDocument/2006/relationships/control" Target="../activeX/activeX77.xml"/><Relationship Id="rId101" Type="http://schemas.openxmlformats.org/officeDocument/2006/relationships/control" Target="../activeX/activeX79.xml"/><Relationship Id="rId122" Type="http://schemas.openxmlformats.org/officeDocument/2006/relationships/control" Target="../activeX/activeX96.xml"/><Relationship Id="rId143" Type="http://schemas.openxmlformats.org/officeDocument/2006/relationships/image" Target="../media/image29.emf"/><Relationship Id="rId148" Type="http://schemas.openxmlformats.org/officeDocument/2006/relationships/control" Target="../activeX/activeX115.xml"/><Relationship Id="rId164" Type="http://schemas.openxmlformats.org/officeDocument/2006/relationships/control" Target="../activeX/activeX127.xml"/><Relationship Id="rId169" Type="http://schemas.openxmlformats.org/officeDocument/2006/relationships/image" Target="../media/image37.emf"/><Relationship Id="rId185" Type="http://schemas.openxmlformats.org/officeDocument/2006/relationships/control" Target="../activeX/activeX141.xml"/><Relationship Id="rId4" Type="http://schemas.openxmlformats.org/officeDocument/2006/relationships/control" Target="../activeX/activeX1.xml"/><Relationship Id="rId9" Type="http://schemas.openxmlformats.org/officeDocument/2006/relationships/image" Target="../media/image4.emf"/><Relationship Id="rId180" Type="http://schemas.openxmlformats.org/officeDocument/2006/relationships/control" Target="../activeX/activeX138.xml"/><Relationship Id="rId210" Type="http://schemas.openxmlformats.org/officeDocument/2006/relationships/control" Target="../activeX/activeX158.xml"/><Relationship Id="rId215" Type="http://schemas.openxmlformats.org/officeDocument/2006/relationships/control" Target="../activeX/activeX162.xml"/><Relationship Id="rId236" Type="http://schemas.openxmlformats.org/officeDocument/2006/relationships/control" Target="../activeX/activeX176.xml"/><Relationship Id="rId257" Type="http://schemas.openxmlformats.org/officeDocument/2006/relationships/control" Target="../activeX/activeX193.xml"/><Relationship Id="rId278" Type="http://schemas.openxmlformats.org/officeDocument/2006/relationships/control" Target="../activeX/activeX209.xml"/><Relationship Id="rId26" Type="http://schemas.openxmlformats.org/officeDocument/2006/relationships/control" Target="../activeX/activeX12.xml"/><Relationship Id="rId231" Type="http://schemas.openxmlformats.org/officeDocument/2006/relationships/image" Target="../media/image57.emf"/><Relationship Id="rId252" Type="http://schemas.openxmlformats.org/officeDocument/2006/relationships/image" Target="../media/image61.emf"/><Relationship Id="rId273" Type="http://schemas.openxmlformats.org/officeDocument/2006/relationships/control" Target="../activeX/activeX206.xml"/><Relationship Id="rId294" Type="http://schemas.openxmlformats.org/officeDocument/2006/relationships/control" Target="../activeX/activeX223.xml"/><Relationship Id="rId308" Type="http://schemas.openxmlformats.org/officeDocument/2006/relationships/control" Target="../activeX/activeX234.xml"/><Relationship Id="rId47" Type="http://schemas.openxmlformats.org/officeDocument/2006/relationships/control" Target="../activeX/activeX30.xml"/><Relationship Id="rId68" Type="http://schemas.openxmlformats.org/officeDocument/2006/relationships/control" Target="../activeX/activeX51.xml"/><Relationship Id="rId89" Type="http://schemas.openxmlformats.org/officeDocument/2006/relationships/control" Target="../activeX/activeX71.xml"/><Relationship Id="rId112" Type="http://schemas.openxmlformats.org/officeDocument/2006/relationships/control" Target="../activeX/activeX88.xml"/><Relationship Id="rId133" Type="http://schemas.openxmlformats.org/officeDocument/2006/relationships/control" Target="../activeX/activeX105.xml"/><Relationship Id="rId154" Type="http://schemas.openxmlformats.org/officeDocument/2006/relationships/control" Target="../activeX/activeX120.xml"/><Relationship Id="rId175" Type="http://schemas.openxmlformats.org/officeDocument/2006/relationships/control" Target="../activeX/activeX134.xml"/><Relationship Id="rId196" Type="http://schemas.openxmlformats.org/officeDocument/2006/relationships/image" Target="../media/image46.emf"/><Relationship Id="rId200" Type="http://schemas.openxmlformats.org/officeDocument/2006/relationships/control" Target="../activeX/activeX151.xml"/><Relationship Id="rId16" Type="http://schemas.openxmlformats.org/officeDocument/2006/relationships/control" Target="../activeX/activeX7.xml"/><Relationship Id="rId221" Type="http://schemas.openxmlformats.org/officeDocument/2006/relationships/control" Target="../activeX/activeX165.xml"/><Relationship Id="rId242" Type="http://schemas.openxmlformats.org/officeDocument/2006/relationships/control" Target="../activeX/activeX181.xml"/><Relationship Id="rId263" Type="http://schemas.openxmlformats.org/officeDocument/2006/relationships/control" Target="../activeX/activeX198.xml"/><Relationship Id="rId284" Type="http://schemas.openxmlformats.org/officeDocument/2006/relationships/control" Target="../activeX/activeX215.xml"/><Relationship Id="rId37" Type="http://schemas.openxmlformats.org/officeDocument/2006/relationships/control" Target="../activeX/activeX20.xml"/><Relationship Id="rId58" Type="http://schemas.openxmlformats.org/officeDocument/2006/relationships/control" Target="../activeX/activeX41.xml"/><Relationship Id="rId79" Type="http://schemas.openxmlformats.org/officeDocument/2006/relationships/control" Target="../activeX/activeX62.xml"/><Relationship Id="rId102" Type="http://schemas.openxmlformats.org/officeDocument/2006/relationships/control" Target="../activeX/activeX80.xml"/><Relationship Id="rId123" Type="http://schemas.openxmlformats.org/officeDocument/2006/relationships/control" Target="../activeX/activeX97.xml"/><Relationship Id="rId144" Type="http://schemas.openxmlformats.org/officeDocument/2006/relationships/control" Target="../activeX/activeX113.xml"/><Relationship Id="rId90" Type="http://schemas.openxmlformats.org/officeDocument/2006/relationships/image" Target="../media/image17.emf"/><Relationship Id="rId165" Type="http://schemas.openxmlformats.org/officeDocument/2006/relationships/control" Target="../activeX/activeX128.xml"/><Relationship Id="rId186" Type="http://schemas.openxmlformats.org/officeDocument/2006/relationships/control" Target="../activeX/activeX142.xml"/><Relationship Id="rId211" Type="http://schemas.openxmlformats.org/officeDocument/2006/relationships/control" Target="../activeX/activeX159.xml"/><Relationship Id="rId232" Type="http://schemas.openxmlformats.org/officeDocument/2006/relationships/control" Target="../activeX/activeX173.xml"/><Relationship Id="rId253" Type="http://schemas.openxmlformats.org/officeDocument/2006/relationships/control" Target="../activeX/activeX190.xml"/><Relationship Id="rId274" Type="http://schemas.openxmlformats.org/officeDocument/2006/relationships/image" Target="../media/image66.emf"/><Relationship Id="rId295" Type="http://schemas.openxmlformats.org/officeDocument/2006/relationships/image" Target="../media/image70.emf"/><Relationship Id="rId309" Type="http://schemas.openxmlformats.org/officeDocument/2006/relationships/control" Target="../activeX/activeX235.xml"/><Relationship Id="rId27" Type="http://schemas.openxmlformats.org/officeDocument/2006/relationships/control" Target="../activeX/activeX13.xml"/><Relationship Id="rId48" Type="http://schemas.openxmlformats.org/officeDocument/2006/relationships/control" Target="../activeX/activeX31.xml"/><Relationship Id="rId69" Type="http://schemas.openxmlformats.org/officeDocument/2006/relationships/control" Target="../activeX/activeX52.xml"/><Relationship Id="rId113" Type="http://schemas.openxmlformats.org/officeDocument/2006/relationships/control" Target="../activeX/activeX89.xml"/><Relationship Id="rId134" Type="http://schemas.openxmlformats.org/officeDocument/2006/relationships/control" Target="../activeX/activeX106.xml"/><Relationship Id="rId80" Type="http://schemas.openxmlformats.org/officeDocument/2006/relationships/control" Target="../activeX/activeX63.xml"/><Relationship Id="rId155" Type="http://schemas.openxmlformats.org/officeDocument/2006/relationships/control" Target="../activeX/activeX121.xml"/><Relationship Id="rId176" Type="http://schemas.openxmlformats.org/officeDocument/2006/relationships/control" Target="../activeX/activeX135.xml"/><Relationship Id="rId197" Type="http://schemas.openxmlformats.org/officeDocument/2006/relationships/control" Target="../activeX/activeX149.xml"/><Relationship Id="rId201" Type="http://schemas.openxmlformats.org/officeDocument/2006/relationships/control" Target="../activeX/activeX152.xml"/><Relationship Id="rId222" Type="http://schemas.openxmlformats.org/officeDocument/2006/relationships/image" Target="../media/image55.emf"/><Relationship Id="rId243" Type="http://schemas.openxmlformats.org/officeDocument/2006/relationships/control" Target="../activeX/activeX182.xml"/><Relationship Id="rId264" Type="http://schemas.openxmlformats.org/officeDocument/2006/relationships/control" Target="../activeX/activeX199.xml"/><Relationship Id="rId285" Type="http://schemas.openxmlformats.org/officeDocument/2006/relationships/control" Target="../activeX/activeX216.xml"/><Relationship Id="rId17" Type="http://schemas.openxmlformats.org/officeDocument/2006/relationships/image" Target="../media/image8.emf"/><Relationship Id="rId38" Type="http://schemas.openxmlformats.org/officeDocument/2006/relationships/control" Target="../activeX/activeX21.xml"/><Relationship Id="rId59" Type="http://schemas.openxmlformats.org/officeDocument/2006/relationships/control" Target="../activeX/activeX42.xml"/><Relationship Id="rId103" Type="http://schemas.openxmlformats.org/officeDocument/2006/relationships/control" Target="../activeX/activeX81.xml"/><Relationship Id="rId124" Type="http://schemas.openxmlformats.org/officeDocument/2006/relationships/control" Target="../activeX/activeX98.xml"/><Relationship Id="rId310" Type="http://schemas.openxmlformats.org/officeDocument/2006/relationships/control" Target="../activeX/activeX236.xml"/><Relationship Id="rId70" Type="http://schemas.openxmlformats.org/officeDocument/2006/relationships/control" Target="../activeX/activeX53.xml"/><Relationship Id="rId91" Type="http://schemas.openxmlformats.org/officeDocument/2006/relationships/control" Target="../activeX/activeX72.xml"/><Relationship Id="rId145" Type="http://schemas.openxmlformats.org/officeDocument/2006/relationships/image" Target="../media/image30.emf"/><Relationship Id="rId166" Type="http://schemas.openxmlformats.org/officeDocument/2006/relationships/control" Target="../activeX/activeX129.xml"/><Relationship Id="rId187" Type="http://schemas.openxmlformats.org/officeDocument/2006/relationships/image" Target="../media/image43.emf"/><Relationship Id="rId1" Type="http://schemas.openxmlformats.org/officeDocument/2006/relationships/printerSettings" Target="../printerSettings/printerSettings2.bin"/><Relationship Id="rId212" Type="http://schemas.openxmlformats.org/officeDocument/2006/relationships/image" Target="../media/image51.emf"/><Relationship Id="rId233" Type="http://schemas.openxmlformats.org/officeDocument/2006/relationships/control" Target="../activeX/activeX174.xml"/><Relationship Id="rId254" Type="http://schemas.openxmlformats.org/officeDocument/2006/relationships/control" Target="../activeX/activeX191.xml"/><Relationship Id="rId28" Type="http://schemas.openxmlformats.org/officeDocument/2006/relationships/control" Target="../activeX/activeX14.xml"/><Relationship Id="rId49" Type="http://schemas.openxmlformats.org/officeDocument/2006/relationships/control" Target="../activeX/activeX32.xml"/><Relationship Id="rId114" Type="http://schemas.openxmlformats.org/officeDocument/2006/relationships/image" Target="../media/image23.emf"/><Relationship Id="rId275" Type="http://schemas.openxmlformats.org/officeDocument/2006/relationships/control" Target="../activeX/activeX207.xml"/><Relationship Id="rId296" Type="http://schemas.openxmlformats.org/officeDocument/2006/relationships/control" Target="../activeX/activeX224.xml"/><Relationship Id="rId300" Type="http://schemas.openxmlformats.org/officeDocument/2006/relationships/control" Target="../activeX/activeX227.xml"/><Relationship Id="rId60" Type="http://schemas.openxmlformats.org/officeDocument/2006/relationships/control" Target="../activeX/activeX43.xml"/><Relationship Id="rId81" Type="http://schemas.openxmlformats.org/officeDocument/2006/relationships/control" Target="../activeX/activeX64.xml"/><Relationship Id="rId135" Type="http://schemas.openxmlformats.org/officeDocument/2006/relationships/image" Target="../media/image27.emf"/><Relationship Id="rId156" Type="http://schemas.openxmlformats.org/officeDocument/2006/relationships/image" Target="../media/image33.emf"/><Relationship Id="rId177" Type="http://schemas.openxmlformats.org/officeDocument/2006/relationships/control" Target="../activeX/activeX136.xml"/><Relationship Id="rId198" Type="http://schemas.openxmlformats.org/officeDocument/2006/relationships/image" Target="../media/image47.emf"/><Relationship Id="rId202" Type="http://schemas.openxmlformats.org/officeDocument/2006/relationships/control" Target="../activeX/activeX153.xml"/><Relationship Id="rId223" Type="http://schemas.openxmlformats.org/officeDocument/2006/relationships/control" Target="../activeX/activeX166.xml"/><Relationship Id="rId244" Type="http://schemas.openxmlformats.org/officeDocument/2006/relationships/control" Target="../activeX/activeX183.xml"/><Relationship Id="rId18" Type="http://schemas.openxmlformats.org/officeDocument/2006/relationships/control" Target="../activeX/activeX8.xml"/><Relationship Id="rId39" Type="http://schemas.openxmlformats.org/officeDocument/2006/relationships/control" Target="../activeX/activeX22.xml"/><Relationship Id="rId265" Type="http://schemas.openxmlformats.org/officeDocument/2006/relationships/control" Target="../activeX/activeX200.xml"/><Relationship Id="rId286" Type="http://schemas.openxmlformats.org/officeDocument/2006/relationships/control" Target="../activeX/activeX217.xml"/><Relationship Id="rId50" Type="http://schemas.openxmlformats.org/officeDocument/2006/relationships/control" Target="../activeX/activeX33.xml"/><Relationship Id="rId104" Type="http://schemas.openxmlformats.org/officeDocument/2006/relationships/control" Target="../activeX/activeX82.xml"/><Relationship Id="rId125" Type="http://schemas.openxmlformats.org/officeDocument/2006/relationships/control" Target="../activeX/activeX99.xml"/><Relationship Id="rId146" Type="http://schemas.openxmlformats.org/officeDocument/2006/relationships/control" Target="../activeX/activeX114.xml"/><Relationship Id="rId167" Type="http://schemas.openxmlformats.org/officeDocument/2006/relationships/image" Target="../media/image36.emf"/><Relationship Id="rId188" Type="http://schemas.openxmlformats.org/officeDocument/2006/relationships/control" Target="../activeX/activeX143.xml"/><Relationship Id="rId311" Type="http://schemas.openxmlformats.org/officeDocument/2006/relationships/control" Target="../activeX/activeX237.xml"/><Relationship Id="rId71" Type="http://schemas.openxmlformats.org/officeDocument/2006/relationships/control" Target="../activeX/activeX54.xml"/><Relationship Id="rId92" Type="http://schemas.openxmlformats.org/officeDocument/2006/relationships/image" Target="../media/image18.emf"/><Relationship Id="rId213" Type="http://schemas.openxmlformats.org/officeDocument/2006/relationships/control" Target="../activeX/activeX160.xml"/><Relationship Id="rId234" Type="http://schemas.openxmlformats.org/officeDocument/2006/relationships/image" Target="../media/image58.emf"/><Relationship Id="rId2" Type="http://schemas.openxmlformats.org/officeDocument/2006/relationships/drawing" Target="../drawings/drawing2.xml"/><Relationship Id="rId29" Type="http://schemas.openxmlformats.org/officeDocument/2006/relationships/image" Target="../media/image13.emf"/><Relationship Id="rId255" Type="http://schemas.openxmlformats.org/officeDocument/2006/relationships/image" Target="../media/image62.emf"/><Relationship Id="rId276" Type="http://schemas.openxmlformats.org/officeDocument/2006/relationships/control" Target="../activeX/activeX208.xml"/><Relationship Id="rId297" Type="http://schemas.openxmlformats.org/officeDocument/2006/relationships/control" Target="../activeX/activeX225.xml"/><Relationship Id="rId40" Type="http://schemas.openxmlformats.org/officeDocument/2006/relationships/control" Target="../activeX/activeX23.xml"/><Relationship Id="rId115" Type="http://schemas.openxmlformats.org/officeDocument/2006/relationships/control" Target="../activeX/activeX90.xml"/><Relationship Id="rId136" Type="http://schemas.openxmlformats.org/officeDocument/2006/relationships/control" Target="../activeX/activeX107.xml"/><Relationship Id="rId157" Type="http://schemas.openxmlformats.org/officeDocument/2006/relationships/control" Target="../activeX/activeX122.xml"/><Relationship Id="rId178" Type="http://schemas.openxmlformats.org/officeDocument/2006/relationships/image" Target="../media/image40.emf"/><Relationship Id="rId301" Type="http://schemas.openxmlformats.org/officeDocument/2006/relationships/control" Target="../activeX/activeX22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46"/>
  <sheetViews>
    <sheetView zoomScaleNormal="100" workbookViewId="0">
      <selection activeCell="A39" sqref="A39:D39"/>
    </sheetView>
  </sheetViews>
  <sheetFormatPr defaultRowHeight="15.75" x14ac:dyDescent="0.25"/>
  <cols>
    <col min="1" max="1" width="2" style="3" bestFit="1" customWidth="1"/>
    <col min="2" max="2" width="19.140625" style="2" bestFit="1" customWidth="1"/>
    <col min="3" max="3" width="2" style="3" bestFit="1" customWidth="1"/>
    <col min="4" max="4" width="28.5703125" style="2" bestFit="1" customWidth="1"/>
    <col min="5" max="5" width="2.28515625" style="3" bestFit="1" customWidth="1"/>
    <col min="6" max="6" width="22.7109375" style="2" bestFit="1" customWidth="1"/>
    <col min="7" max="7" width="2.140625" style="3" bestFit="1" customWidth="1"/>
    <col min="8" max="8" width="28.5703125" style="2" bestFit="1" customWidth="1"/>
    <col min="9" max="9" width="2.28515625" style="3" bestFit="1" customWidth="1"/>
    <col min="10" max="10" width="22.7109375" style="2" bestFit="1" customWidth="1"/>
    <col min="11" max="11" width="2.28515625" style="3" bestFit="1" customWidth="1"/>
    <col min="12" max="12" width="27.5703125" style="2" bestFit="1" customWidth="1"/>
    <col min="13" max="13" width="2" style="2" bestFit="1" customWidth="1"/>
    <col min="14" max="14" width="18.42578125" style="2" bestFit="1" customWidth="1"/>
    <col min="15" max="15" width="2" style="2" bestFit="1" customWidth="1"/>
    <col min="16" max="16" width="28.140625" style="2" bestFit="1" customWidth="1"/>
    <col min="17" max="17" width="2" style="2" bestFit="1" customWidth="1"/>
    <col min="18" max="18" width="18.42578125" style="2" bestFit="1" customWidth="1"/>
    <col min="19" max="19" width="2" style="2" bestFit="1" customWidth="1"/>
    <col min="20" max="20" width="28.140625" style="2" bestFit="1" customWidth="1"/>
    <col min="21" max="16384" width="9.140625" style="2"/>
  </cols>
  <sheetData>
    <row r="1" spans="1:20" x14ac:dyDescent="0.25">
      <c r="A1" s="130"/>
      <c r="B1" s="130"/>
      <c r="C1" s="130"/>
      <c r="D1" s="130"/>
      <c r="E1" s="130"/>
      <c r="F1" s="130"/>
      <c r="G1" s="130"/>
      <c r="H1" s="130"/>
      <c r="I1" s="130"/>
      <c r="J1" s="130"/>
      <c r="K1" s="130"/>
      <c r="L1" s="130"/>
      <c r="M1" s="130"/>
      <c r="N1" s="130"/>
      <c r="O1" s="130"/>
      <c r="P1" s="130"/>
      <c r="Q1" s="131"/>
      <c r="R1" s="131"/>
      <c r="S1" s="131"/>
      <c r="T1" s="131"/>
    </row>
    <row r="2" spans="1:20" x14ac:dyDescent="0.25">
      <c r="A2" s="130"/>
      <c r="B2" s="130"/>
      <c r="C2" s="130"/>
      <c r="D2" s="130"/>
      <c r="E2" s="130"/>
      <c r="F2" s="130"/>
      <c r="G2" s="130"/>
      <c r="H2" s="130"/>
      <c r="I2" s="130"/>
      <c r="J2" s="130"/>
      <c r="K2" s="130"/>
      <c r="L2" s="130"/>
      <c r="M2" s="130"/>
      <c r="N2" s="130"/>
      <c r="O2" s="130"/>
      <c r="P2" s="130"/>
      <c r="Q2" s="131"/>
      <c r="R2" s="131"/>
      <c r="S2" s="131"/>
      <c r="T2" s="131"/>
    </row>
    <row r="3" spans="1:20" x14ac:dyDescent="0.25">
      <c r="A3" s="130"/>
      <c r="B3" s="130"/>
      <c r="C3" s="130"/>
      <c r="D3" s="130"/>
      <c r="E3" s="130"/>
      <c r="F3" s="130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1"/>
      <c r="R3" s="131"/>
      <c r="S3" s="131"/>
      <c r="T3" s="131"/>
    </row>
    <row r="4" spans="1:20" x14ac:dyDescent="0.25">
      <c r="A4" s="130"/>
      <c r="B4" s="130"/>
      <c r="C4" s="130"/>
      <c r="D4" s="130"/>
      <c r="E4" s="130"/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1"/>
      <c r="R4" s="131"/>
      <c r="S4" s="131"/>
      <c r="T4" s="131"/>
    </row>
    <row r="5" spans="1:20" x14ac:dyDescent="0.25">
      <c r="A5" s="130"/>
      <c r="B5" s="130"/>
      <c r="C5" s="130"/>
      <c r="D5" s="130"/>
      <c r="E5" s="130"/>
      <c r="F5" s="130"/>
      <c r="G5" s="130"/>
      <c r="H5" s="130"/>
      <c r="I5" s="130"/>
      <c r="J5" s="130"/>
      <c r="K5" s="130"/>
      <c r="L5" s="130"/>
      <c r="M5" s="130"/>
      <c r="N5" s="130"/>
      <c r="O5" s="130"/>
      <c r="P5" s="130"/>
      <c r="Q5" s="131"/>
      <c r="R5" s="131"/>
      <c r="S5" s="131"/>
      <c r="T5" s="131"/>
    </row>
    <row r="6" spans="1:20" x14ac:dyDescent="0.25">
      <c r="A6" s="130"/>
      <c r="B6" s="130"/>
      <c r="C6" s="130"/>
      <c r="D6" s="130"/>
      <c r="E6" s="130"/>
      <c r="F6" s="130"/>
      <c r="G6" s="130"/>
      <c r="H6" s="130"/>
      <c r="I6" s="130"/>
      <c r="J6" s="130"/>
      <c r="K6" s="130"/>
      <c r="L6" s="130"/>
      <c r="M6" s="130"/>
      <c r="N6" s="130"/>
      <c r="O6" s="130"/>
      <c r="P6" s="130"/>
      <c r="Q6" s="131"/>
      <c r="R6" s="131"/>
      <c r="S6" s="131"/>
      <c r="T6" s="131"/>
    </row>
    <row r="7" spans="1:20" ht="24" customHeight="1" x14ac:dyDescent="0.4">
      <c r="A7" s="132" t="s">
        <v>83</v>
      </c>
      <c r="B7" s="132"/>
      <c r="C7" s="132"/>
      <c r="D7" s="132"/>
      <c r="E7" s="120" t="s">
        <v>78</v>
      </c>
      <c r="F7" s="121"/>
      <c r="G7" s="121"/>
      <c r="H7" s="122"/>
      <c r="I7" s="120" t="s">
        <v>69</v>
      </c>
      <c r="J7" s="121"/>
      <c r="K7" s="121"/>
      <c r="L7" s="122"/>
      <c r="M7" s="120" t="s">
        <v>52</v>
      </c>
      <c r="N7" s="121"/>
      <c r="O7" s="121"/>
      <c r="P7" s="122"/>
      <c r="Q7" s="120" t="s">
        <v>63</v>
      </c>
      <c r="R7" s="121"/>
      <c r="S7" s="121"/>
      <c r="T7" s="122"/>
    </row>
    <row r="8" spans="1:20" s="4" customFormat="1" ht="18.75" x14ac:dyDescent="0.3">
      <c r="A8" s="110" t="s">
        <v>84</v>
      </c>
      <c r="B8" s="111"/>
      <c r="C8" s="111"/>
      <c r="D8" s="111"/>
      <c r="E8" s="99" t="s">
        <v>79</v>
      </c>
      <c r="F8" s="100"/>
      <c r="G8" s="100"/>
      <c r="H8" s="100"/>
      <c r="I8" s="110" t="s">
        <v>61</v>
      </c>
      <c r="J8" s="111"/>
      <c r="K8" s="111"/>
      <c r="L8" s="111"/>
      <c r="M8" s="110" t="s">
        <v>26</v>
      </c>
      <c r="N8" s="111"/>
      <c r="O8" s="111"/>
      <c r="P8" s="111"/>
      <c r="Q8" s="110" t="s">
        <v>64</v>
      </c>
      <c r="R8" s="111"/>
      <c r="S8" s="111"/>
      <c r="T8" s="111"/>
    </row>
    <row r="9" spans="1:20" s="4" customFormat="1" ht="18.75" x14ac:dyDescent="0.3">
      <c r="A9" s="118" t="s">
        <v>82</v>
      </c>
      <c r="B9" s="118"/>
      <c r="C9" s="118"/>
      <c r="D9" s="118"/>
      <c r="E9" s="119" t="s">
        <v>80</v>
      </c>
      <c r="F9" s="100"/>
      <c r="G9" s="100"/>
      <c r="H9" s="100"/>
      <c r="I9" s="119"/>
      <c r="J9" s="119"/>
      <c r="K9" s="119"/>
      <c r="L9" s="119"/>
      <c r="M9" s="118"/>
      <c r="N9" s="118"/>
      <c r="O9" s="118"/>
      <c r="P9" s="118"/>
      <c r="Q9" s="110" t="s">
        <v>65</v>
      </c>
      <c r="R9" s="123"/>
      <c r="S9" s="123"/>
      <c r="T9" s="123"/>
    </row>
    <row r="10" spans="1:20" s="23" customFormat="1" ht="15" x14ac:dyDescent="0.25">
      <c r="A10" s="22"/>
      <c r="B10" s="20" t="s">
        <v>81</v>
      </c>
      <c r="C10" s="24"/>
      <c r="D10" s="42" t="s">
        <v>85</v>
      </c>
      <c r="E10" s="45"/>
      <c r="F10" s="46" t="s">
        <v>81</v>
      </c>
      <c r="G10" s="47"/>
      <c r="H10" s="42" t="s">
        <v>23</v>
      </c>
      <c r="I10" s="19"/>
      <c r="J10" s="20" t="s">
        <v>13</v>
      </c>
      <c r="K10" s="21"/>
      <c r="L10" s="42" t="s">
        <v>62</v>
      </c>
      <c r="M10" s="22"/>
      <c r="N10" s="20" t="s">
        <v>13</v>
      </c>
      <c r="O10" s="24"/>
      <c r="P10" s="43" t="s">
        <v>23</v>
      </c>
      <c r="Q10" s="19"/>
      <c r="R10" s="20" t="s">
        <v>66</v>
      </c>
      <c r="S10" s="21"/>
      <c r="T10" s="42" t="s">
        <v>57</v>
      </c>
    </row>
    <row r="11" spans="1:20" s="1" customFormat="1" ht="12.75" x14ac:dyDescent="0.2">
      <c r="A11" s="5" t="s">
        <v>0</v>
      </c>
      <c r="B11" s="6" t="s">
        <v>11</v>
      </c>
      <c r="C11" s="40"/>
      <c r="D11" s="7" t="s">
        <v>39</v>
      </c>
      <c r="E11" s="48"/>
      <c r="F11" s="49" t="s">
        <v>11</v>
      </c>
      <c r="G11" s="50"/>
      <c r="H11" s="51" t="s">
        <v>1</v>
      </c>
      <c r="I11" s="5"/>
      <c r="J11" s="6" t="s">
        <v>11</v>
      </c>
      <c r="K11" s="12"/>
      <c r="L11" s="7" t="s">
        <v>1</v>
      </c>
      <c r="M11" s="17"/>
      <c r="N11" s="6" t="s">
        <v>11</v>
      </c>
      <c r="O11" s="18"/>
      <c r="P11" s="7" t="s">
        <v>47</v>
      </c>
      <c r="Q11" s="17"/>
      <c r="R11" s="6" t="s">
        <v>11</v>
      </c>
      <c r="S11" s="18"/>
      <c r="T11" s="7" t="s">
        <v>42</v>
      </c>
    </row>
    <row r="12" spans="1:20" s="1" customFormat="1" ht="12.75" x14ac:dyDescent="0.2">
      <c r="A12" s="25"/>
      <c r="B12" s="6" t="s">
        <v>4</v>
      </c>
      <c r="C12" s="40"/>
      <c r="D12" s="7" t="s">
        <v>38</v>
      </c>
      <c r="E12" s="48" t="s">
        <v>0</v>
      </c>
      <c r="F12" s="49" t="s">
        <v>4</v>
      </c>
      <c r="G12" s="50" t="s">
        <v>0</v>
      </c>
      <c r="H12" s="51" t="s">
        <v>2</v>
      </c>
      <c r="I12" s="5" t="s">
        <v>0</v>
      </c>
      <c r="J12" s="6" t="s">
        <v>60</v>
      </c>
      <c r="K12" s="12"/>
      <c r="L12" s="7" t="s">
        <v>2</v>
      </c>
      <c r="M12" s="17"/>
      <c r="N12" s="6" t="s">
        <v>4</v>
      </c>
      <c r="O12" s="18"/>
      <c r="P12" s="7" t="s">
        <v>43</v>
      </c>
      <c r="Q12" s="17"/>
      <c r="R12" s="6" t="s">
        <v>4</v>
      </c>
      <c r="S12" s="18"/>
      <c r="T12" s="7" t="s">
        <v>45</v>
      </c>
    </row>
    <row r="13" spans="1:20" s="1" customFormat="1" ht="12.75" x14ac:dyDescent="0.2">
      <c r="A13" s="26"/>
      <c r="B13" s="6" t="s">
        <v>37</v>
      </c>
      <c r="C13" s="40"/>
      <c r="D13" s="7" t="s">
        <v>3</v>
      </c>
      <c r="E13" s="48"/>
      <c r="F13" s="49" t="s">
        <v>55</v>
      </c>
      <c r="G13" s="50"/>
      <c r="H13" s="51" t="s">
        <v>3</v>
      </c>
      <c r="I13" s="5"/>
      <c r="J13" s="6" t="s">
        <v>55</v>
      </c>
      <c r="K13" s="12"/>
      <c r="L13" s="7" t="s">
        <v>3</v>
      </c>
      <c r="M13" s="17"/>
      <c r="N13" s="6" t="s">
        <v>44</v>
      </c>
      <c r="O13" s="18"/>
      <c r="P13" s="7" t="s">
        <v>3</v>
      </c>
      <c r="Q13" s="17"/>
      <c r="R13" s="6" t="s">
        <v>55</v>
      </c>
      <c r="S13" s="18"/>
      <c r="T13" s="7" t="s">
        <v>3</v>
      </c>
    </row>
    <row r="14" spans="1:20" s="1" customFormat="1" ht="12.75" x14ac:dyDescent="0.2">
      <c r="A14" s="39"/>
      <c r="B14" s="6" t="s">
        <v>33</v>
      </c>
      <c r="C14" s="40" t="s">
        <v>17</v>
      </c>
      <c r="D14" s="7" t="s">
        <v>5</v>
      </c>
      <c r="E14" s="48"/>
      <c r="F14" s="49" t="s">
        <v>56</v>
      </c>
      <c r="G14" s="50" t="s">
        <v>17</v>
      </c>
      <c r="H14" s="51" t="s">
        <v>5</v>
      </c>
      <c r="I14" s="5"/>
      <c r="J14" s="6" t="s">
        <v>56</v>
      </c>
      <c r="K14" s="12" t="s">
        <v>0</v>
      </c>
      <c r="L14" s="7" t="s">
        <v>5</v>
      </c>
      <c r="M14" s="17"/>
      <c r="N14" s="6" t="s">
        <v>41</v>
      </c>
      <c r="O14" s="18"/>
      <c r="P14" s="7" t="s">
        <v>5</v>
      </c>
      <c r="Q14" s="44"/>
      <c r="R14" s="6" t="s">
        <v>56</v>
      </c>
      <c r="S14" s="18" t="s">
        <v>0</v>
      </c>
      <c r="T14" s="7" t="s">
        <v>5</v>
      </c>
    </row>
    <row r="15" spans="1:20" s="1" customFormat="1" ht="12.75" x14ac:dyDescent="0.2">
      <c r="A15" s="14"/>
      <c r="B15" s="6" t="s">
        <v>10</v>
      </c>
      <c r="C15" s="40" t="s">
        <v>17</v>
      </c>
      <c r="D15" s="7" t="s">
        <v>6</v>
      </c>
      <c r="E15" s="48"/>
      <c r="F15" s="49" t="s">
        <v>10</v>
      </c>
      <c r="G15" s="50"/>
      <c r="H15" s="51" t="s">
        <v>6</v>
      </c>
      <c r="I15" s="5"/>
      <c r="J15" s="6" t="s">
        <v>50</v>
      </c>
      <c r="K15" s="12" t="s">
        <v>0</v>
      </c>
      <c r="L15" s="7" t="s">
        <v>6</v>
      </c>
      <c r="M15" s="17"/>
      <c r="N15" s="6" t="s">
        <v>49</v>
      </c>
      <c r="O15" s="18"/>
      <c r="P15" s="7" t="s">
        <v>6</v>
      </c>
      <c r="Q15" s="17"/>
      <c r="R15" s="6" t="s">
        <v>49</v>
      </c>
      <c r="S15" s="18"/>
      <c r="T15" s="7" t="s">
        <v>6</v>
      </c>
    </row>
    <row r="16" spans="1:20" s="1" customFormat="1" ht="12.75" x14ac:dyDescent="0.2">
      <c r="A16" s="16"/>
      <c r="B16" s="8" t="s">
        <v>22</v>
      </c>
      <c r="C16" s="13" t="s">
        <v>0</v>
      </c>
      <c r="D16" s="9" t="s">
        <v>8</v>
      </c>
      <c r="E16" s="52"/>
      <c r="F16" s="53" t="s">
        <v>22</v>
      </c>
      <c r="G16" s="54" t="s">
        <v>0</v>
      </c>
      <c r="H16" s="55" t="s">
        <v>8</v>
      </c>
      <c r="I16" s="16"/>
      <c r="J16" s="8" t="s">
        <v>22</v>
      </c>
      <c r="K16" s="13" t="s">
        <v>0</v>
      </c>
      <c r="L16" s="9" t="s">
        <v>8</v>
      </c>
      <c r="M16" s="16"/>
      <c r="N16" s="8" t="s">
        <v>32</v>
      </c>
      <c r="O16" s="13"/>
      <c r="P16" s="9" t="s">
        <v>8</v>
      </c>
      <c r="Q16" s="17"/>
      <c r="R16" s="8"/>
      <c r="S16" s="13" t="s">
        <v>0</v>
      </c>
      <c r="T16" s="9" t="s">
        <v>8</v>
      </c>
    </row>
    <row r="17" spans="1:20" ht="26.25" x14ac:dyDescent="0.4">
      <c r="A17" s="112" t="s">
        <v>18</v>
      </c>
      <c r="B17" s="113"/>
      <c r="C17" s="113"/>
      <c r="D17" s="114"/>
      <c r="E17" s="115" t="s">
        <v>18</v>
      </c>
      <c r="F17" s="116"/>
      <c r="G17" s="116"/>
      <c r="H17" s="117"/>
      <c r="I17" s="115" t="s">
        <v>68</v>
      </c>
      <c r="J17" s="116"/>
      <c r="K17" s="116"/>
      <c r="L17" s="117"/>
      <c r="M17" s="115" t="s">
        <v>67</v>
      </c>
      <c r="N17" s="116"/>
      <c r="O17" s="116"/>
      <c r="P17" s="117"/>
      <c r="Q17" s="115" t="s">
        <v>18</v>
      </c>
      <c r="R17" s="116"/>
      <c r="S17" s="116"/>
      <c r="T17" s="117"/>
    </row>
    <row r="18" spans="1:20" s="4" customFormat="1" ht="18.75" x14ac:dyDescent="0.3">
      <c r="A18" s="110" t="s">
        <v>59</v>
      </c>
      <c r="B18" s="111"/>
      <c r="C18" s="111"/>
      <c r="D18" s="111"/>
      <c r="E18" s="110" t="s">
        <v>48</v>
      </c>
      <c r="F18" s="111"/>
      <c r="G18" s="111"/>
      <c r="H18" s="111"/>
      <c r="I18" s="110" t="s">
        <v>46</v>
      </c>
      <c r="J18" s="111"/>
      <c r="K18" s="111"/>
      <c r="L18" s="111"/>
      <c r="M18" s="110" t="s">
        <v>53</v>
      </c>
      <c r="N18" s="111"/>
      <c r="O18" s="111"/>
      <c r="P18" s="111"/>
      <c r="Q18" s="110" t="s">
        <v>27</v>
      </c>
      <c r="R18" s="110"/>
      <c r="S18" s="110"/>
      <c r="T18" s="110"/>
    </row>
    <row r="19" spans="1:20" s="4" customFormat="1" ht="18.75" x14ac:dyDescent="0.3">
      <c r="A19" s="110"/>
      <c r="B19" s="111"/>
      <c r="C19" s="111"/>
      <c r="D19" s="111"/>
      <c r="E19" s="99"/>
      <c r="F19" s="99"/>
      <c r="G19" s="99"/>
      <c r="H19" s="99"/>
      <c r="I19" s="99"/>
      <c r="J19" s="99"/>
      <c r="K19" s="99"/>
      <c r="L19" s="99"/>
      <c r="M19" s="110" t="s">
        <v>19</v>
      </c>
      <c r="N19" s="110"/>
      <c r="O19" s="110"/>
      <c r="P19" s="110"/>
      <c r="Q19" s="110" t="s">
        <v>19</v>
      </c>
      <c r="R19" s="110"/>
      <c r="S19" s="110"/>
      <c r="T19" s="110"/>
    </row>
    <row r="20" spans="1:20" s="23" customFormat="1" ht="15" x14ac:dyDescent="0.25">
      <c r="A20" s="22"/>
      <c r="B20" s="20" t="s">
        <v>12</v>
      </c>
      <c r="C20" s="24"/>
      <c r="D20" s="42" t="s">
        <v>23</v>
      </c>
      <c r="E20" s="22"/>
      <c r="F20" s="20" t="s">
        <v>21</v>
      </c>
      <c r="G20" s="24"/>
      <c r="H20" s="42" t="s">
        <v>23</v>
      </c>
      <c r="I20" s="22"/>
      <c r="J20" s="20" t="s">
        <v>13</v>
      </c>
      <c r="K20" s="24"/>
      <c r="L20" s="43" t="s">
        <v>25</v>
      </c>
      <c r="M20" s="22"/>
      <c r="N20" s="20" t="s">
        <v>13</v>
      </c>
      <c r="O20" s="21"/>
      <c r="P20" s="43" t="s">
        <v>23</v>
      </c>
      <c r="Q20" s="22"/>
      <c r="R20" s="20" t="s">
        <v>13</v>
      </c>
      <c r="S20" s="21"/>
      <c r="T20" s="43" t="s">
        <v>23</v>
      </c>
    </row>
    <row r="21" spans="1:20" s="1" customFormat="1" ht="12.75" x14ac:dyDescent="0.2">
      <c r="A21" s="5" t="s">
        <v>0</v>
      </c>
      <c r="B21" s="6" t="s">
        <v>11</v>
      </c>
      <c r="C21" s="10"/>
      <c r="D21" s="7" t="s">
        <v>1</v>
      </c>
      <c r="E21" s="5" t="s">
        <v>0</v>
      </c>
      <c r="F21" s="6" t="s">
        <v>11</v>
      </c>
      <c r="G21" s="12"/>
      <c r="H21" s="7" t="s">
        <v>1</v>
      </c>
      <c r="I21" s="17" t="s">
        <v>0</v>
      </c>
      <c r="J21" s="6" t="s">
        <v>11</v>
      </c>
      <c r="K21" s="10"/>
      <c r="L21" s="7" t="s">
        <v>1</v>
      </c>
      <c r="M21" s="5" t="s">
        <v>0</v>
      </c>
      <c r="N21" s="6" t="s">
        <v>11</v>
      </c>
      <c r="O21" s="12"/>
      <c r="P21" s="7" t="s">
        <v>1</v>
      </c>
      <c r="Q21" s="5" t="s">
        <v>0</v>
      </c>
      <c r="R21" s="6" t="s">
        <v>11</v>
      </c>
      <c r="S21" s="12"/>
      <c r="T21" s="7" t="s">
        <v>28</v>
      </c>
    </row>
    <row r="22" spans="1:20" s="1" customFormat="1" ht="12.75" x14ac:dyDescent="0.2">
      <c r="A22" s="14"/>
      <c r="B22" s="6" t="s">
        <v>4</v>
      </c>
      <c r="C22" s="10"/>
      <c r="D22" s="7" t="s">
        <v>2</v>
      </c>
      <c r="E22" s="5"/>
      <c r="F22" s="6" t="s">
        <v>4</v>
      </c>
      <c r="G22" s="12"/>
      <c r="H22" s="7" t="s">
        <v>2</v>
      </c>
      <c r="I22" s="14"/>
      <c r="J22" s="6" t="s">
        <v>4</v>
      </c>
      <c r="K22" s="10"/>
      <c r="L22" s="7" t="s">
        <v>2</v>
      </c>
      <c r="M22" s="14"/>
      <c r="N22" s="6" t="s">
        <v>4</v>
      </c>
      <c r="O22" s="12"/>
      <c r="P22" s="7" t="s">
        <v>2</v>
      </c>
      <c r="Q22" s="14"/>
      <c r="R22" s="6" t="s">
        <v>4</v>
      </c>
      <c r="S22" s="12"/>
      <c r="T22" s="7" t="s">
        <v>29</v>
      </c>
    </row>
    <row r="23" spans="1:20" s="1" customFormat="1" ht="12.75" x14ac:dyDescent="0.2">
      <c r="A23" s="14"/>
      <c r="B23" s="6" t="s">
        <v>7</v>
      </c>
      <c r="C23" s="10"/>
      <c r="D23" s="7" t="s">
        <v>3</v>
      </c>
      <c r="E23" s="5"/>
      <c r="F23" s="6" t="s">
        <v>7</v>
      </c>
      <c r="G23" s="12"/>
      <c r="H23" s="7" t="s">
        <v>3</v>
      </c>
      <c r="I23" s="14"/>
      <c r="J23" s="6" t="s">
        <v>7</v>
      </c>
      <c r="K23" s="10"/>
      <c r="L23" s="7" t="s">
        <v>3</v>
      </c>
      <c r="M23" s="14"/>
      <c r="N23" s="6" t="s">
        <v>7</v>
      </c>
      <c r="O23" s="12"/>
      <c r="P23" s="7" t="s">
        <v>3</v>
      </c>
      <c r="Q23" s="14"/>
      <c r="R23" s="6" t="s">
        <v>7</v>
      </c>
      <c r="S23" s="12"/>
      <c r="T23" s="7" t="s">
        <v>3</v>
      </c>
    </row>
    <row r="24" spans="1:20" s="1" customFormat="1" ht="12.75" x14ac:dyDescent="0.2">
      <c r="A24" s="14"/>
      <c r="B24" s="6" t="s">
        <v>9</v>
      </c>
      <c r="C24" s="27" t="s">
        <v>0</v>
      </c>
      <c r="D24" s="7" t="s">
        <v>5</v>
      </c>
      <c r="E24" s="5"/>
      <c r="F24" s="6" t="s">
        <v>9</v>
      </c>
      <c r="G24" s="12" t="s">
        <v>0</v>
      </c>
      <c r="H24" s="7" t="s">
        <v>5</v>
      </c>
      <c r="I24" s="14"/>
      <c r="J24" s="6" t="s">
        <v>9</v>
      </c>
      <c r="K24" s="41" t="s">
        <v>0</v>
      </c>
      <c r="L24" s="7" t="s">
        <v>5</v>
      </c>
      <c r="M24" s="14"/>
      <c r="N24" s="6" t="s">
        <v>9</v>
      </c>
      <c r="O24" s="12" t="s">
        <v>0</v>
      </c>
      <c r="P24" s="7" t="s">
        <v>5</v>
      </c>
      <c r="Q24" s="14"/>
      <c r="R24" s="6" t="s">
        <v>9</v>
      </c>
      <c r="S24" s="12" t="s">
        <v>0</v>
      </c>
      <c r="T24" s="7" t="s">
        <v>5</v>
      </c>
    </row>
    <row r="25" spans="1:20" s="1" customFormat="1" ht="12.75" x14ac:dyDescent="0.2">
      <c r="A25" s="14"/>
      <c r="B25" s="6" t="s">
        <v>10</v>
      </c>
      <c r="C25" s="27" t="s">
        <v>0</v>
      </c>
      <c r="D25" s="7" t="s">
        <v>6</v>
      </c>
      <c r="E25" s="5"/>
      <c r="F25" s="6" t="s">
        <v>10</v>
      </c>
      <c r="G25" s="12" t="s">
        <v>0</v>
      </c>
      <c r="H25" s="7" t="s">
        <v>6</v>
      </c>
      <c r="I25" s="14"/>
      <c r="J25" s="6" t="s">
        <v>10</v>
      </c>
      <c r="K25" s="41" t="s">
        <v>0</v>
      </c>
      <c r="L25" s="7" t="s">
        <v>6</v>
      </c>
      <c r="M25" s="14"/>
      <c r="N25" s="6" t="s">
        <v>10</v>
      </c>
      <c r="O25" s="12" t="s">
        <v>0</v>
      </c>
      <c r="P25" s="7" t="s">
        <v>6</v>
      </c>
      <c r="Q25" s="14"/>
      <c r="R25" s="6" t="s">
        <v>10</v>
      </c>
      <c r="S25" s="12" t="s">
        <v>0</v>
      </c>
      <c r="T25" s="7" t="s">
        <v>6</v>
      </c>
    </row>
    <row r="26" spans="1:20" s="1" customFormat="1" ht="12.75" x14ac:dyDescent="0.2">
      <c r="A26" s="15"/>
      <c r="B26" s="8"/>
      <c r="C26" s="13" t="s">
        <v>0</v>
      </c>
      <c r="D26" s="9" t="s">
        <v>8</v>
      </c>
      <c r="E26" s="15"/>
      <c r="F26" s="8"/>
      <c r="G26" s="13" t="s">
        <v>0</v>
      </c>
      <c r="H26" s="9" t="s">
        <v>8</v>
      </c>
      <c r="I26" s="15"/>
      <c r="J26" s="8"/>
      <c r="K26" s="13" t="s">
        <v>0</v>
      </c>
      <c r="L26" s="9" t="s">
        <v>8</v>
      </c>
      <c r="M26" s="15"/>
      <c r="N26" s="8"/>
      <c r="O26" s="13" t="s">
        <v>0</v>
      </c>
      <c r="P26" s="9" t="s">
        <v>8</v>
      </c>
      <c r="Q26" s="15"/>
      <c r="R26" s="8"/>
      <c r="S26" s="13" t="s">
        <v>0</v>
      </c>
      <c r="T26" s="9" t="s">
        <v>8</v>
      </c>
    </row>
    <row r="27" spans="1:20" ht="26.25" x14ac:dyDescent="0.4">
      <c r="A27" s="127" t="s">
        <v>18</v>
      </c>
      <c r="B27" s="128"/>
      <c r="C27" s="128"/>
      <c r="D27" s="128"/>
      <c r="E27" s="126" t="s">
        <v>58</v>
      </c>
      <c r="F27" s="126"/>
      <c r="G27" s="126"/>
      <c r="H27" s="126"/>
      <c r="I27" s="126" t="s">
        <v>40</v>
      </c>
      <c r="J27" s="126"/>
      <c r="K27" s="126"/>
      <c r="L27" s="126"/>
      <c r="M27" s="126" t="s">
        <v>36</v>
      </c>
      <c r="N27" s="126"/>
      <c r="O27" s="126"/>
      <c r="P27" s="126"/>
      <c r="Q27" s="126" t="s">
        <v>18</v>
      </c>
      <c r="R27" s="126"/>
      <c r="S27" s="126"/>
      <c r="T27" s="126"/>
    </row>
    <row r="28" spans="1:20" s="4" customFormat="1" ht="18.75" x14ac:dyDescent="0.3">
      <c r="A28" s="110"/>
      <c r="B28" s="111"/>
      <c r="C28" s="111"/>
      <c r="D28" s="111"/>
      <c r="E28" s="110"/>
      <c r="F28" s="111"/>
      <c r="G28" s="111"/>
      <c r="H28" s="111"/>
      <c r="I28" s="110"/>
      <c r="J28" s="111"/>
      <c r="K28" s="111"/>
      <c r="L28" s="111"/>
      <c r="M28" s="110"/>
      <c r="N28" s="111"/>
      <c r="O28" s="111"/>
      <c r="P28" s="111"/>
      <c r="Q28" s="110" t="s">
        <v>27</v>
      </c>
      <c r="R28" s="110"/>
      <c r="S28" s="110"/>
      <c r="T28" s="110"/>
    </row>
    <row r="29" spans="1:20" s="4" customFormat="1" ht="18.75" x14ac:dyDescent="0.3">
      <c r="A29" s="110"/>
      <c r="B29" s="111"/>
      <c r="C29" s="111"/>
      <c r="D29" s="111"/>
      <c r="E29" s="110"/>
      <c r="F29" s="111"/>
      <c r="G29" s="111"/>
      <c r="H29" s="111"/>
      <c r="I29" s="110"/>
      <c r="J29" s="111"/>
      <c r="K29" s="111"/>
      <c r="L29" s="111"/>
      <c r="M29" s="110"/>
      <c r="N29" s="111"/>
      <c r="O29" s="111"/>
      <c r="P29" s="111"/>
      <c r="Q29" s="110"/>
      <c r="R29" s="110"/>
      <c r="S29" s="110"/>
      <c r="T29" s="110"/>
    </row>
    <row r="30" spans="1:20" s="23" customFormat="1" ht="15" x14ac:dyDescent="0.25">
      <c r="A30" s="19"/>
      <c r="B30" s="20" t="s">
        <v>21</v>
      </c>
      <c r="C30" s="21"/>
      <c r="D30" s="43" t="s">
        <v>51</v>
      </c>
      <c r="E30" s="19"/>
      <c r="F30" s="20" t="s">
        <v>13</v>
      </c>
      <c r="G30" s="21"/>
      <c r="H30" s="43" t="s">
        <v>25</v>
      </c>
      <c r="I30" s="22"/>
      <c r="J30" s="20" t="s">
        <v>12</v>
      </c>
      <c r="K30" s="24"/>
      <c r="L30" s="42" t="s">
        <v>23</v>
      </c>
      <c r="M30" s="22"/>
      <c r="N30" s="20" t="s">
        <v>21</v>
      </c>
      <c r="O30" s="21"/>
      <c r="P30" s="43" t="s">
        <v>23</v>
      </c>
      <c r="Q30" s="22"/>
      <c r="R30" s="20" t="s">
        <v>13</v>
      </c>
      <c r="S30" s="21"/>
      <c r="T30" s="43" t="s">
        <v>23</v>
      </c>
    </row>
    <row r="31" spans="1:20" s="1" customFormat="1" ht="12.75" x14ac:dyDescent="0.2">
      <c r="A31" s="17"/>
      <c r="B31" s="6" t="s">
        <v>11</v>
      </c>
      <c r="C31" s="18"/>
      <c r="D31" s="7" t="s">
        <v>1</v>
      </c>
      <c r="E31" s="17"/>
      <c r="F31" s="6" t="s">
        <v>11</v>
      </c>
      <c r="G31" s="18"/>
      <c r="H31" s="7" t="s">
        <v>1</v>
      </c>
      <c r="I31" s="17" t="s">
        <v>0</v>
      </c>
      <c r="J31" s="6" t="s">
        <v>11</v>
      </c>
      <c r="K31" s="10"/>
      <c r="L31" s="7" t="s">
        <v>1</v>
      </c>
      <c r="M31" s="5" t="s">
        <v>0</v>
      </c>
      <c r="N31" s="6" t="s">
        <v>11</v>
      </c>
      <c r="O31" s="12" t="s">
        <v>0</v>
      </c>
      <c r="P31" s="7" t="s">
        <v>34</v>
      </c>
      <c r="Q31" s="5"/>
      <c r="R31" s="6" t="s">
        <v>11</v>
      </c>
      <c r="S31" s="12"/>
      <c r="T31" s="7" t="s">
        <v>1</v>
      </c>
    </row>
    <row r="32" spans="1:20" s="1" customFormat="1" ht="12.75" x14ac:dyDescent="0.2">
      <c r="A32" s="17"/>
      <c r="B32" s="6" t="s">
        <v>4</v>
      </c>
      <c r="C32" s="18"/>
      <c r="D32" s="7" t="s">
        <v>2</v>
      </c>
      <c r="E32" s="17"/>
      <c r="F32" s="6" t="s">
        <v>4</v>
      </c>
      <c r="G32" s="18"/>
      <c r="H32" s="7" t="s">
        <v>2</v>
      </c>
      <c r="I32" s="14" t="s">
        <v>0</v>
      </c>
      <c r="J32" s="6" t="s">
        <v>4</v>
      </c>
      <c r="K32" s="10"/>
      <c r="L32" s="7" t="s">
        <v>31</v>
      </c>
      <c r="M32" s="14" t="s">
        <v>0</v>
      </c>
      <c r="N32" s="6" t="s">
        <v>4</v>
      </c>
      <c r="O32" s="12" t="s">
        <v>0</v>
      </c>
      <c r="P32" s="7" t="s">
        <v>35</v>
      </c>
      <c r="Q32" s="14"/>
      <c r="R32" s="6" t="s">
        <v>4</v>
      </c>
      <c r="S32" s="12"/>
      <c r="T32" s="7" t="s">
        <v>2</v>
      </c>
    </row>
    <row r="33" spans="1:20" s="1" customFormat="1" ht="12.75" x14ac:dyDescent="0.2">
      <c r="A33" s="17"/>
      <c r="B33" s="6" t="s">
        <v>55</v>
      </c>
      <c r="C33" s="18"/>
      <c r="D33" s="7" t="s">
        <v>3</v>
      </c>
      <c r="E33" s="17"/>
      <c r="F33" s="6" t="s">
        <v>7</v>
      </c>
      <c r="G33" s="18"/>
      <c r="H33" s="7" t="s">
        <v>3</v>
      </c>
      <c r="I33" s="14"/>
      <c r="J33" s="6" t="s">
        <v>7</v>
      </c>
      <c r="K33" s="10"/>
      <c r="L33" s="7" t="s">
        <v>3</v>
      </c>
      <c r="M33" s="14" t="s">
        <v>0</v>
      </c>
      <c r="N33" s="6" t="s">
        <v>7</v>
      </c>
      <c r="O33" s="12" t="s">
        <v>0</v>
      </c>
      <c r="P33" s="7" t="s">
        <v>3</v>
      </c>
      <c r="Q33" s="14"/>
      <c r="R33" s="6" t="s">
        <v>7</v>
      </c>
      <c r="S33" s="12"/>
      <c r="T33" s="7" t="s">
        <v>3</v>
      </c>
    </row>
    <row r="34" spans="1:20" s="1" customFormat="1" ht="12.75" x14ac:dyDescent="0.2">
      <c r="A34" s="17" t="s">
        <v>0</v>
      </c>
      <c r="B34" s="6" t="s">
        <v>56</v>
      </c>
      <c r="C34" s="18" t="s">
        <v>0</v>
      </c>
      <c r="D34" s="7" t="s">
        <v>5</v>
      </c>
      <c r="E34" s="17" t="s">
        <v>0</v>
      </c>
      <c r="F34" s="6" t="s">
        <v>56</v>
      </c>
      <c r="G34" s="18" t="s">
        <v>0</v>
      </c>
      <c r="H34" s="7" t="s">
        <v>5</v>
      </c>
      <c r="I34" s="14"/>
      <c r="J34" s="6" t="s">
        <v>9</v>
      </c>
      <c r="K34" s="10" t="s">
        <v>0</v>
      </c>
      <c r="L34" s="7" t="s">
        <v>5</v>
      </c>
      <c r="M34" s="14" t="s">
        <v>0</v>
      </c>
      <c r="N34" s="6" t="s">
        <v>33</v>
      </c>
      <c r="O34" s="12" t="s">
        <v>0</v>
      </c>
      <c r="P34" s="7" t="s">
        <v>5</v>
      </c>
      <c r="Q34" s="14"/>
      <c r="R34" s="6" t="s">
        <v>9</v>
      </c>
      <c r="S34" s="12"/>
      <c r="T34" s="7" t="s">
        <v>5</v>
      </c>
    </row>
    <row r="35" spans="1:20" s="1" customFormat="1" ht="12.75" x14ac:dyDescent="0.2">
      <c r="A35" s="17"/>
      <c r="B35" s="6" t="s">
        <v>10</v>
      </c>
      <c r="C35" s="18"/>
      <c r="D35" s="7" t="s">
        <v>6</v>
      </c>
      <c r="E35" s="17"/>
      <c r="F35" s="6" t="s">
        <v>10</v>
      </c>
      <c r="G35" s="18"/>
      <c r="H35" s="7" t="s">
        <v>6</v>
      </c>
      <c r="I35" s="14"/>
      <c r="J35" s="6" t="s">
        <v>10</v>
      </c>
      <c r="K35" s="10" t="s">
        <v>0</v>
      </c>
      <c r="L35" s="7" t="s">
        <v>6</v>
      </c>
      <c r="M35" s="14" t="s">
        <v>0</v>
      </c>
      <c r="N35" s="6" t="s">
        <v>22</v>
      </c>
      <c r="O35" s="12" t="s">
        <v>0</v>
      </c>
      <c r="P35" s="7" t="s">
        <v>6</v>
      </c>
      <c r="Q35" s="14"/>
      <c r="R35" s="6" t="s">
        <v>10</v>
      </c>
      <c r="S35" s="12"/>
      <c r="T35" s="7" t="s">
        <v>6</v>
      </c>
    </row>
    <row r="36" spans="1:20" s="1" customFormat="1" ht="12.75" x14ac:dyDescent="0.2">
      <c r="A36" s="16"/>
      <c r="B36" s="8"/>
      <c r="C36" s="13" t="s">
        <v>0</v>
      </c>
      <c r="D36" s="9" t="s">
        <v>8</v>
      </c>
      <c r="E36" s="16"/>
      <c r="F36" s="8"/>
      <c r="G36" s="13" t="s">
        <v>0</v>
      </c>
      <c r="H36" s="9" t="s">
        <v>8</v>
      </c>
      <c r="I36" s="15"/>
      <c r="J36" s="8"/>
      <c r="K36" s="11" t="s">
        <v>0</v>
      </c>
      <c r="L36" s="9" t="s">
        <v>8</v>
      </c>
      <c r="M36" s="15" t="s">
        <v>0</v>
      </c>
      <c r="N36" s="8" t="s">
        <v>30</v>
      </c>
      <c r="O36" s="13" t="s">
        <v>0</v>
      </c>
      <c r="P36" s="9" t="s">
        <v>8</v>
      </c>
      <c r="Q36" s="15"/>
      <c r="R36" s="8"/>
      <c r="S36" s="13"/>
      <c r="T36" s="9" t="s">
        <v>8</v>
      </c>
    </row>
    <row r="37" spans="1:20" ht="26.25" x14ac:dyDescent="0.4">
      <c r="A37" s="129" t="s">
        <v>70</v>
      </c>
      <c r="B37" s="129"/>
      <c r="C37" s="129"/>
      <c r="D37" s="129"/>
      <c r="E37" s="124" t="s">
        <v>54</v>
      </c>
      <c r="F37" s="124"/>
      <c r="G37" s="124"/>
      <c r="H37" s="124"/>
      <c r="I37" s="124" t="s">
        <v>18</v>
      </c>
      <c r="J37" s="124"/>
      <c r="K37" s="124"/>
      <c r="L37" s="124"/>
      <c r="M37" s="124" t="s">
        <v>20</v>
      </c>
      <c r="N37" s="124"/>
      <c r="O37" s="124"/>
      <c r="P37" s="124"/>
      <c r="Q37" s="124" t="s">
        <v>18</v>
      </c>
      <c r="R37" s="124"/>
      <c r="S37" s="124"/>
      <c r="T37" s="124"/>
    </row>
    <row r="38" spans="1:20" s="4" customFormat="1" ht="18.75" x14ac:dyDescent="0.3">
      <c r="A38" s="110" t="s">
        <v>71</v>
      </c>
      <c r="B38" s="111"/>
      <c r="C38" s="111"/>
      <c r="D38" s="111"/>
      <c r="E38" s="99"/>
      <c r="F38" s="99"/>
      <c r="G38" s="99"/>
      <c r="H38" s="99"/>
      <c r="I38" s="110" t="s">
        <v>16</v>
      </c>
      <c r="J38" s="110"/>
      <c r="K38" s="110"/>
      <c r="L38" s="110"/>
      <c r="M38" s="125" t="s">
        <v>26</v>
      </c>
      <c r="N38" s="125"/>
      <c r="O38" s="125"/>
      <c r="P38" s="125"/>
      <c r="Q38" s="110" t="s">
        <v>24</v>
      </c>
      <c r="R38" s="110"/>
      <c r="S38" s="110"/>
      <c r="T38" s="110"/>
    </row>
    <row r="39" spans="1:20" s="4" customFormat="1" ht="18.75" x14ac:dyDescent="0.3">
      <c r="A39" s="99" t="s">
        <v>72</v>
      </c>
      <c r="B39" s="100"/>
      <c r="C39" s="100"/>
      <c r="D39" s="100"/>
      <c r="E39" s="101"/>
      <c r="F39" s="102"/>
      <c r="G39" s="102"/>
      <c r="H39" s="103"/>
      <c r="I39" s="104" t="s">
        <v>14</v>
      </c>
      <c r="J39" s="105"/>
      <c r="K39" s="105"/>
      <c r="L39" s="106"/>
      <c r="M39" s="107" t="s">
        <v>14</v>
      </c>
      <c r="N39" s="108"/>
      <c r="O39" s="108"/>
      <c r="P39" s="109"/>
      <c r="Q39" s="104" t="s">
        <v>14</v>
      </c>
      <c r="R39" s="105"/>
      <c r="S39" s="105"/>
      <c r="T39" s="106"/>
    </row>
    <row r="40" spans="1:20" s="23" customFormat="1" ht="15" x14ac:dyDescent="0.25">
      <c r="A40" s="19"/>
      <c r="B40" s="20" t="s">
        <v>73</v>
      </c>
      <c r="C40" s="21"/>
      <c r="D40" s="43" t="s">
        <v>23</v>
      </c>
      <c r="E40" s="19"/>
      <c r="F40" s="20" t="s">
        <v>21</v>
      </c>
      <c r="G40" s="21"/>
      <c r="H40" s="43" t="s">
        <v>23</v>
      </c>
      <c r="I40" s="19"/>
      <c r="J40" s="20" t="s">
        <v>12</v>
      </c>
      <c r="K40" s="21"/>
      <c r="L40" s="43" t="s">
        <v>23</v>
      </c>
      <c r="M40" s="28"/>
      <c r="N40" s="20" t="s">
        <v>15</v>
      </c>
      <c r="O40" s="29"/>
      <c r="P40" s="43" t="s">
        <v>23</v>
      </c>
      <c r="Q40" s="22"/>
      <c r="R40" s="20" t="s">
        <v>13</v>
      </c>
      <c r="S40" s="21"/>
      <c r="T40" s="43" t="s">
        <v>23</v>
      </c>
    </row>
    <row r="41" spans="1:20" s="1" customFormat="1" ht="12.75" x14ac:dyDescent="0.2">
      <c r="A41" s="5" t="s">
        <v>17</v>
      </c>
      <c r="B41" s="6" t="s">
        <v>74</v>
      </c>
      <c r="C41" s="12"/>
      <c r="D41" s="7" t="s">
        <v>1</v>
      </c>
      <c r="E41" s="5" t="s">
        <v>0</v>
      </c>
      <c r="F41" s="6" t="s">
        <v>11</v>
      </c>
      <c r="G41" s="12"/>
      <c r="H41" s="7" t="s">
        <v>1</v>
      </c>
      <c r="I41" s="5"/>
      <c r="J41" s="6" t="s">
        <v>11</v>
      </c>
      <c r="K41" s="12"/>
      <c r="L41" s="7" t="s">
        <v>1</v>
      </c>
      <c r="M41" s="30"/>
      <c r="N41" s="31" t="s">
        <v>11</v>
      </c>
      <c r="O41" s="32"/>
      <c r="P41" s="33" t="s">
        <v>1</v>
      </c>
      <c r="Q41" s="5"/>
      <c r="R41" s="6" t="s">
        <v>11</v>
      </c>
      <c r="S41" s="12"/>
      <c r="T41" s="7" t="s">
        <v>1</v>
      </c>
    </row>
    <row r="42" spans="1:20" s="1" customFormat="1" ht="12.75" x14ac:dyDescent="0.2">
      <c r="A42" s="5" t="s">
        <v>0</v>
      </c>
      <c r="B42" s="6" t="s">
        <v>4</v>
      </c>
      <c r="C42" s="12"/>
      <c r="D42" s="7" t="s">
        <v>2</v>
      </c>
      <c r="E42" s="5"/>
      <c r="F42" s="6" t="s">
        <v>4</v>
      </c>
      <c r="G42" s="12"/>
      <c r="H42" s="7" t="s">
        <v>2</v>
      </c>
      <c r="I42" s="5"/>
      <c r="J42" s="6" t="s">
        <v>4</v>
      </c>
      <c r="K42" s="12"/>
      <c r="L42" s="7" t="s">
        <v>2</v>
      </c>
      <c r="M42" s="34"/>
      <c r="N42" s="31" t="s">
        <v>4</v>
      </c>
      <c r="O42" s="32"/>
      <c r="P42" s="33" t="s">
        <v>2</v>
      </c>
      <c r="Q42" s="14"/>
      <c r="R42" s="6" t="s">
        <v>4</v>
      </c>
      <c r="S42" s="12"/>
      <c r="T42" s="7" t="s">
        <v>2</v>
      </c>
    </row>
    <row r="43" spans="1:20" s="1" customFormat="1" ht="12.75" x14ac:dyDescent="0.2">
      <c r="A43" s="5" t="s">
        <v>0</v>
      </c>
      <c r="B43" s="6" t="s">
        <v>75</v>
      </c>
      <c r="C43" s="12"/>
      <c r="D43" s="7" t="s">
        <v>3</v>
      </c>
      <c r="E43" s="5"/>
      <c r="F43" s="6" t="s">
        <v>7</v>
      </c>
      <c r="G43" s="12"/>
      <c r="H43" s="7" t="s">
        <v>3</v>
      </c>
      <c r="I43" s="5"/>
      <c r="J43" s="6" t="s">
        <v>7</v>
      </c>
      <c r="K43" s="12"/>
      <c r="L43" s="7" t="s">
        <v>3</v>
      </c>
      <c r="M43" s="34"/>
      <c r="N43" s="31" t="s">
        <v>7</v>
      </c>
      <c r="O43" s="32"/>
      <c r="P43" s="33" t="s">
        <v>3</v>
      </c>
      <c r="Q43" s="14"/>
      <c r="R43" s="6" t="s">
        <v>7</v>
      </c>
      <c r="S43" s="12"/>
      <c r="T43" s="7" t="s">
        <v>3</v>
      </c>
    </row>
    <row r="44" spans="1:20" s="1" customFormat="1" ht="12.75" x14ac:dyDescent="0.2">
      <c r="A44" s="5" t="s">
        <v>0</v>
      </c>
      <c r="B44" s="6" t="s">
        <v>76</v>
      </c>
      <c r="C44" s="12" t="s">
        <v>0</v>
      </c>
      <c r="D44" s="7" t="s">
        <v>5</v>
      </c>
      <c r="E44" s="5"/>
      <c r="F44" s="6" t="s">
        <v>9</v>
      </c>
      <c r="G44" s="12"/>
      <c r="H44" s="7" t="s">
        <v>5</v>
      </c>
      <c r="I44" s="5"/>
      <c r="J44" s="6" t="s">
        <v>9</v>
      </c>
      <c r="K44" s="12"/>
      <c r="L44" s="7" t="s">
        <v>5</v>
      </c>
      <c r="M44" s="34"/>
      <c r="N44" s="31" t="s">
        <v>9</v>
      </c>
      <c r="O44" s="32"/>
      <c r="P44" s="33" t="s">
        <v>5</v>
      </c>
      <c r="Q44" s="14"/>
      <c r="R44" s="6" t="s">
        <v>9</v>
      </c>
      <c r="S44" s="12"/>
      <c r="T44" s="7" t="s">
        <v>5</v>
      </c>
    </row>
    <row r="45" spans="1:20" s="1" customFormat="1" ht="12.75" x14ac:dyDescent="0.2">
      <c r="A45" s="5" t="s">
        <v>0</v>
      </c>
      <c r="B45" s="6" t="s">
        <v>77</v>
      </c>
      <c r="C45" s="12" t="s">
        <v>0</v>
      </c>
      <c r="D45" s="7" t="s">
        <v>6</v>
      </c>
      <c r="E45" s="5"/>
      <c r="F45" s="6" t="s">
        <v>10</v>
      </c>
      <c r="G45" s="12"/>
      <c r="H45" s="7" t="s">
        <v>6</v>
      </c>
      <c r="I45" s="5"/>
      <c r="J45" s="6" t="s">
        <v>10</v>
      </c>
      <c r="K45" s="12"/>
      <c r="L45" s="7" t="s">
        <v>6</v>
      </c>
      <c r="M45" s="34"/>
      <c r="N45" s="31" t="s">
        <v>10</v>
      </c>
      <c r="O45" s="32"/>
      <c r="P45" s="33" t="s">
        <v>6</v>
      </c>
      <c r="Q45" s="14"/>
      <c r="R45" s="6" t="s">
        <v>10</v>
      </c>
      <c r="S45" s="12"/>
      <c r="T45" s="7" t="s">
        <v>6</v>
      </c>
    </row>
    <row r="46" spans="1:20" s="1" customFormat="1" ht="12.75" x14ac:dyDescent="0.2">
      <c r="A46" s="15"/>
      <c r="B46" s="8"/>
      <c r="C46" s="13"/>
      <c r="D46" s="9"/>
      <c r="E46" s="16"/>
      <c r="F46" s="8"/>
      <c r="G46" s="13"/>
      <c r="H46" s="9" t="s">
        <v>8</v>
      </c>
      <c r="I46" s="16"/>
      <c r="J46" s="8"/>
      <c r="K46" s="13"/>
      <c r="L46" s="9" t="s">
        <v>8</v>
      </c>
      <c r="M46" s="35"/>
      <c r="N46" s="36"/>
      <c r="O46" s="37"/>
      <c r="P46" s="38" t="s">
        <v>8</v>
      </c>
      <c r="Q46" s="15"/>
      <c r="R46" s="8"/>
      <c r="S46" s="13"/>
      <c r="T46" s="9" t="s">
        <v>8</v>
      </c>
    </row>
  </sheetData>
  <mergeCells count="61">
    <mergeCell ref="A1:T6"/>
    <mergeCell ref="A8:D8"/>
    <mergeCell ref="E7:H7"/>
    <mergeCell ref="I7:L7"/>
    <mergeCell ref="E8:H8"/>
    <mergeCell ref="I8:L8"/>
    <mergeCell ref="A7:D7"/>
    <mergeCell ref="M8:P8"/>
    <mergeCell ref="A38:D38"/>
    <mergeCell ref="E38:H38"/>
    <mergeCell ref="I38:L38"/>
    <mergeCell ref="A18:D18"/>
    <mergeCell ref="E18:H18"/>
    <mergeCell ref="I18:L18"/>
    <mergeCell ref="A28:D28"/>
    <mergeCell ref="E28:H28"/>
    <mergeCell ref="I28:L28"/>
    <mergeCell ref="A27:D27"/>
    <mergeCell ref="E27:H27"/>
    <mergeCell ref="I27:L27"/>
    <mergeCell ref="A37:D37"/>
    <mergeCell ref="E37:H37"/>
    <mergeCell ref="I37:L37"/>
    <mergeCell ref="A19:D19"/>
    <mergeCell ref="M37:P37"/>
    <mergeCell ref="M38:P38"/>
    <mergeCell ref="Q7:T7"/>
    <mergeCell ref="Q8:T8"/>
    <mergeCell ref="Q17:T17"/>
    <mergeCell ref="Q18:T18"/>
    <mergeCell ref="Q27:T27"/>
    <mergeCell ref="Q28:T28"/>
    <mergeCell ref="Q37:T37"/>
    <mergeCell ref="Q38:T38"/>
    <mergeCell ref="M17:P17"/>
    <mergeCell ref="M18:P18"/>
    <mergeCell ref="M27:P27"/>
    <mergeCell ref="M9:P9"/>
    <mergeCell ref="M28:P28"/>
    <mergeCell ref="A9:D9"/>
    <mergeCell ref="E9:H9"/>
    <mergeCell ref="I9:L9"/>
    <mergeCell ref="M7:P7"/>
    <mergeCell ref="Q9:T9"/>
    <mergeCell ref="E19:H19"/>
    <mergeCell ref="I19:L19"/>
    <mergeCell ref="M19:P19"/>
    <mergeCell ref="Q19:T19"/>
    <mergeCell ref="A17:D17"/>
    <mergeCell ref="E17:H17"/>
    <mergeCell ref="I17:L17"/>
    <mergeCell ref="A29:D29"/>
    <mergeCell ref="E29:H29"/>
    <mergeCell ref="I29:L29"/>
    <mergeCell ref="M29:P29"/>
    <mergeCell ref="Q29:T29"/>
    <mergeCell ref="A39:D39"/>
    <mergeCell ref="E39:H39"/>
    <mergeCell ref="I39:L39"/>
    <mergeCell ref="M39:P39"/>
    <mergeCell ref="Q39:T39"/>
  </mergeCells>
  <pageMargins left="0.7" right="0.7" top="0.75" bottom="0.75" header="0.3" footer="0.3"/>
  <pageSetup orientation="portrait" verticalDpi="4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6:U40"/>
  <sheetViews>
    <sheetView showGridLines="0" tabSelected="1" zoomScaleNormal="100" workbookViewId="0">
      <selection activeCell="H12" sqref="H12"/>
    </sheetView>
  </sheetViews>
  <sheetFormatPr defaultRowHeight="15" x14ac:dyDescent="0.25"/>
  <cols>
    <col min="1" max="1" width="3.28515625" customWidth="1"/>
    <col min="2" max="2" width="13.42578125" bestFit="1" customWidth="1"/>
    <col min="3" max="3" width="12.5703125" customWidth="1"/>
    <col min="4" max="4" width="3.28515625" customWidth="1"/>
    <col min="5" max="5" width="13.5703125" bestFit="1" customWidth="1"/>
    <col min="6" max="6" width="22.7109375" customWidth="1"/>
    <col min="7" max="7" width="13.42578125" bestFit="1" customWidth="1"/>
    <col min="8" max="8" width="12.5703125" customWidth="1"/>
    <col min="9" max="9" width="3.28515625" customWidth="1"/>
    <col min="10" max="10" width="13.5703125" bestFit="1" customWidth="1"/>
    <col min="11" max="11" width="22.7109375" customWidth="1"/>
    <col min="12" max="12" width="13.42578125" bestFit="1" customWidth="1"/>
    <col min="13" max="13" width="12.5703125" customWidth="1"/>
    <col min="14" max="14" width="3.28515625" customWidth="1"/>
    <col min="15" max="15" width="13.5703125" bestFit="1" customWidth="1"/>
    <col min="16" max="16" width="22.7109375" customWidth="1"/>
    <col min="17" max="17" width="13.42578125" bestFit="1" customWidth="1"/>
    <col min="18" max="18" width="12.5703125" customWidth="1"/>
    <col min="19" max="19" width="3.28515625" customWidth="1"/>
    <col min="20" max="20" width="13.5703125" bestFit="1" customWidth="1"/>
    <col min="21" max="21" width="22.7109375" customWidth="1"/>
  </cols>
  <sheetData>
    <row r="6" spans="2:21" ht="15.75" thickBot="1" x14ac:dyDescent="0.3">
      <c r="B6" s="67">
        <v>1</v>
      </c>
      <c r="C6" s="67">
        <f ca="1">IFERROR(NETWORKDAYS(TODAY(),C12,holidays[])-1,"x")</f>
        <v>-522</v>
      </c>
      <c r="F6" s="67">
        <f ca="1">IFERROR(VLOOKUP(C6,Table10[],2,1),0)</f>
        <v>0</v>
      </c>
      <c r="G6" s="67">
        <v>2</v>
      </c>
      <c r="H6" s="67">
        <f ca="1">IFERROR(NETWORKDAYS(TODAY(),H12,holidays[])-1,"x")</f>
        <v>8</v>
      </c>
      <c r="K6" s="67" t="str">
        <f ca="1">IFERROR(VLOOKUP(H6,Table10[],2,1),0)</f>
        <v>GREEN</v>
      </c>
      <c r="L6" s="67">
        <v>3</v>
      </c>
      <c r="M6" s="67">
        <f ca="1">IFERROR(NETWORKDAYS(TODAY(),M12,holidays[])-1,"x")</f>
        <v>-4</v>
      </c>
      <c r="P6" s="67">
        <f ca="1">IFERROR(VLOOKUP(M6,Table10[],2,1),0)</f>
        <v>0</v>
      </c>
      <c r="Q6" s="67">
        <v>4</v>
      </c>
      <c r="R6" s="67">
        <f ca="1">IFERROR(NETWORKDAYS(TODAY(),R12,holidays[])-1,"x")</f>
        <v>3</v>
      </c>
      <c r="U6" s="67" t="str">
        <f ca="1">IFERROR(VLOOKUP(R6,Table10[],2,1),0)</f>
        <v>ORANGE</v>
      </c>
    </row>
    <row r="7" spans="2:21" ht="21" thickTop="1" thickBot="1" x14ac:dyDescent="0.35">
      <c r="B7" s="78" t="str">
        <f>"BAY " &amp;B6</f>
        <v>BAY 1</v>
      </c>
      <c r="C7" s="79"/>
      <c r="D7" s="79"/>
      <c r="E7" s="79"/>
      <c r="F7" s="80"/>
      <c r="G7" s="78" t="str">
        <f>"BAY " &amp;G6</f>
        <v>BAY 2</v>
      </c>
      <c r="H7" s="79"/>
      <c r="I7" s="79"/>
      <c r="J7" s="79"/>
      <c r="K7" s="80"/>
      <c r="L7" s="78" t="str">
        <f>"BAY " &amp;L6</f>
        <v>BAY 3</v>
      </c>
      <c r="M7" s="79"/>
      <c r="N7" s="79"/>
      <c r="O7" s="79"/>
      <c r="P7" s="80"/>
      <c r="Q7" s="78" t="str">
        <f>"BAY " &amp;Q6</f>
        <v>BAY 4</v>
      </c>
      <c r="R7" s="79"/>
      <c r="S7" s="79"/>
      <c r="T7" s="79"/>
      <c r="U7" s="80"/>
    </row>
    <row r="8" spans="2:21" ht="15.75" thickTop="1" x14ac:dyDescent="0.25">
      <c r="B8" s="69" t="s">
        <v>118</v>
      </c>
      <c r="C8" s="68"/>
      <c r="D8" s="57"/>
      <c r="E8" s="63" t="s">
        <v>86</v>
      </c>
      <c r="F8" s="70"/>
      <c r="G8" s="69" t="s">
        <v>118</v>
      </c>
      <c r="H8" s="68">
        <f>C8+375</f>
        <v>375</v>
      </c>
      <c r="I8" s="57"/>
      <c r="J8" s="63" t="s">
        <v>86</v>
      </c>
      <c r="K8" s="70" t="s">
        <v>117</v>
      </c>
      <c r="L8" s="69" t="s">
        <v>118</v>
      </c>
      <c r="M8" s="68">
        <f>H8+375</f>
        <v>750</v>
      </c>
      <c r="N8" s="57"/>
      <c r="O8" s="63" t="s">
        <v>86</v>
      </c>
      <c r="P8" s="70" t="s">
        <v>117</v>
      </c>
      <c r="Q8" s="69" t="s">
        <v>118</v>
      </c>
      <c r="R8" s="68">
        <f>M8+375</f>
        <v>1125</v>
      </c>
      <c r="S8" s="57"/>
      <c r="T8" s="63" t="s">
        <v>86</v>
      </c>
      <c r="U8" s="70" t="s">
        <v>117</v>
      </c>
    </row>
    <row r="9" spans="2:21" x14ac:dyDescent="0.25">
      <c r="B9" s="71"/>
      <c r="C9" s="57"/>
      <c r="D9" s="57"/>
      <c r="E9" s="63" t="s">
        <v>106</v>
      </c>
      <c r="F9" s="72"/>
      <c r="G9" s="71"/>
      <c r="H9" s="57"/>
      <c r="I9" s="57"/>
      <c r="J9" s="63" t="s">
        <v>106</v>
      </c>
      <c r="K9" s="72"/>
      <c r="L9" s="71"/>
      <c r="M9" s="57"/>
      <c r="N9" s="57"/>
      <c r="O9" s="63" t="s">
        <v>106</v>
      </c>
      <c r="P9" s="72"/>
      <c r="Q9" s="71"/>
      <c r="R9" s="57"/>
      <c r="S9" s="57"/>
      <c r="T9" s="63" t="s">
        <v>106</v>
      </c>
      <c r="U9" s="72"/>
    </row>
    <row r="10" spans="2:21" x14ac:dyDescent="0.25">
      <c r="B10" s="69" t="s">
        <v>87</v>
      </c>
      <c r="C10" s="60"/>
      <c r="D10" s="57"/>
      <c r="E10" s="65" t="s">
        <v>89</v>
      </c>
      <c r="F10" s="90"/>
      <c r="G10" s="69" t="s">
        <v>87</v>
      </c>
      <c r="H10" s="60">
        <v>42556</v>
      </c>
      <c r="I10" s="57"/>
      <c r="J10" s="65" t="s">
        <v>89</v>
      </c>
      <c r="K10" s="90"/>
      <c r="L10" s="69" t="s">
        <v>87</v>
      </c>
      <c r="M10" s="60">
        <v>42548</v>
      </c>
      <c r="N10" s="57"/>
      <c r="O10" s="65" t="s">
        <v>89</v>
      </c>
      <c r="P10" s="90"/>
      <c r="Q10" s="69" t="s">
        <v>87</v>
      </c>
      <c r="R10" s="60">
        <v>42548</v>
      </c>
      <c r="S10" s="57"/>
      <c r="T10" s="65" t="s">
        <v>89</v>
      </c>
      <c r="U10" s="90"/>
    </row>
    <row r="11" spans="2:21" x14ac:dyDescent="0.25">
      <c r="B11" s="69" t="s">
        <v>88</v>
      </c>
      <c r="C11" s="61"/>
      <c r="D11" s="57"/>
      <c r="E11" s="88"/>
      <c r="F11" s="73"/>
      <c r="G11" s="69" t="s">
        <v>88</v>
      </c>
      <c r="H11" s="61">
        <v>10</v>
      </c>
      <c r="I11" s="57"/>
      <c r="J11" s="88"/>
      <c r="K11" s="73"/>
      <c r="L11" s="69" t="s">
        <v>88</v>
      </c>
      <c r="M11" s="61">
        <v>5</v>
      </c>
      <c r="N11" s="57"/>
      <c r="O11" s="88"/>
      <c r="P11" s="73"/>
      <c r="Q11" s="69" t="s">
        <v>88</v>
      </c>
      <c r="R11" s="61">
        <v>10</v>
      </c>
      <c r="S11" s="57"/>
      <c r="T11" s="88"/>
      <c r="U11" s="73"/>
    </row>
    <row r="12" spans="2:21" x14ac:dyDescent="0.25">
      <c r="B12" s="69" t="s">
        <v>116</v>
      </c>
      <c r="C12" s="62">
        <v>41827</v>
      </c>
      <c r="D12" s="57"/>
      <c r="E12" s="88"/>
      <c r="F12" s="73"/>
      <c r="G12" s="69" t="s">
        <v>116</v>
      </c>
      <c r="H12" s="62">
        <f>IF(H10&lt;&gt;0,WORKDAY(H10,H11, holidays[]),"")</f>
        <v>42570</v>
      </c>
      <c r="I12" s="57"/>
      <c r="J12" s="88"/>
      <c r="K12" s="73"/>
      <c r="L12" s="69" t="s">
        <v>116</v>
      </c>
      <c r="M12" s="62">
        <f>IF(M10&lt;&gt;0,WORKDAY(M10,M11, holidays[]),"")</f>
        <v>42556</v>
      </c>
      <c r="N12" s="57"/>
      <c r="O12" s="88"/>
      <c r="P12" s="73"/>
      <c r="Q12" s="69" t="s">
        <v>116</v>
      </c>
      <c r="R12" s="62">
        <f>IF(R10&lt;&gt;0,WORKDAY(R10,R11, holidays[]),"")</f>
        <v>42563</v>
      </c>
      <c r="S12" s="57"/>
      <c r="T12" s="88"/>
      <c r="U12" s="73"/>
    </row>
    <row r="13" spans="2:21" x14ac:dyDescent="0.25">
      <c r="B13" s="71"/>
      <c r="C13" s="57"/>
      <c r="D13" s="57"/>
      <c r="E13" s="88"/>
      <c r="F13" s="73"/>
      <c r="G13" s="71"/>
      <c r="H13" s="57"/>
      <c r="I13" s="57"/>
      <c r="J13" s="88"/>
      <c r="K13" s="73"/>
      <c r="L13" s="71"/>
      <c r="M13" s="57"/>
      <c r="N13" s="57"/>
      <c r="O13" s="88"/>
      <c r="P13" s="73"/>
      <c r="Q13" s="71"/>
      <c r="R13" s="57"/>
      <c r="S13" s="57"/>
      <c r="T13" s="88"/>
      <c r="U13" s="73"/>
    </row>
    <row r="14" spans="2:21" x14ac:dyDescent="0.25">
      <c r="B14" s="91" t="s">
        <v>102</v>
      </c>
      <c r="C14" s="82"/>
      <c r="D14" s="57"/>
      <c r="E14" s="88"/>
      <c r="F14" s="73"/>
      <c r="G14" s="91" t="s">
        <v>102</v>
      </c>
      <c r="H14" s="82"/>
      <c r="I14" s="57"/>
      <c r="J14" s="88"/>
      <c r="K14" s="73"/>
      <c r="L14" s="91" t="s">
        <v>102</v>
      </c>
      <c r="M14" s="82"/>
      <c r="N14" s="57"/>
      <c r="O14" s="88"/>
      <c r="P14" s="73"/>
      <c r="Q14" s="91" t="s">
        <v>102</v>
      </c>
      <c r="R14" s="82"/>
      <c r="S14" s="57"/>
      <c r="T14" s="88"/>
      <c r="U14" s="73"/>
    </row>
    <row r="15" spans="2:21" x14ac:dyDescent="0.25">
      <c r="B15" s="74" t="s">
        <v>103</v>
      </c>
      <c r="C15" s="83"/>
      <c r="D15" s="57"/>
      <c r="E15" s="88"/>
      <c r="F15" s="73"/>
      <c r="G15" s="74" t="s">
        <v>103</v>
      </c>
      <c r="H15" s="83"/>
      <c r="I15" s="57"/>
      <c r="J15" s="88"/>
      <c r="K15" s="73"/>
      <c r="L15" s="74" t="s">
        <v>103</v>
      </c>
      <c r="M15" s="83"/>
      <c r="N15" s="57"/>
      <c r="O15" s="88"/>
      <c r="P15" s="73"/>
      <c r="Q15" s="74" t="s">
        <v>103</v>
      </c>
      <c r="R15" s="83"/>
      <c r="S15" s="57"/>
      <c r="T15" s="88"/>
      <c r="U15" s="73"/>
    </row>
    <row r="16" spans="2:21" x14ac:dyDescent="0.25">
      <c r="B16" s="92" t="s">
        <v>107</v>
      </c>
      <c r="C16" s="84"/>
      <c r="D16" s="57"/>
      <c r="E16" s="89"/>
      <c r="F16" s="93"/>
      <c r="G16" s="92" t="s">
        <v>107</v>
      </c>
      <c r="H16" s="84"/>
      <c r="I16" s="57"/>
      <c r="J16" s="89"/>
      <c r="K16" s="93"/>
      <c r="L16" s="92" t="s">
        <v>107</v>
      </c>
      <c r="M16" s="84"/>
      <c r="N16" s="57"/>
      <c r="O16" s="89"/>
      <c r="P16" s="93"/>
      <c r="Q16" s="92" t="s">
        <v>107</v>
      </c>
      <c r="R16" s="84"/>
      <c r="S16" s="57"/>
      <c r="T16" s="89"/>
      <c r="U16" s="93"/>
    </row>
    <row r="17" spans="2:21" x14ac:dyDescent="0.25">
      <c r="B17" s="71"/>
      <c r="C17" s="57"/>
      <c r="D17" s="57"/>
      <c r="E17" s="57"/>
      <c r="F17" s="73"/>
      <c r="G17" s="71"/>
      <c r="H17" s="57"/>
      <c r="I17" s="57"/>
      <c r="J17" s="57"/>
      <c r="K17" s="73"/>
      <c r="L17" s="71"/>
      <c r="M17" s="57"/>
      <c r="N17" s="57"/>
      <c r="O17" s="57"/>
      <c r="P17" s="73"/>
      <c r="Q17" s="71"/>
      <c r="R17" s="57"/>
      <c r="S17" s="57"/>
      <c r="T17" s="57"/>
      <c r="U17" s="73"/>
    </row>
    <row r="18" spans="2:21" x14ac:dyDescent="0.25">
      <c r="B18" s="91" t="s">
        <v>119</v>
      </c>
      <c r="C18" s="82"/>
      <c r="D18" s="57"/>
      <c r="E18" s="81" t="s">
        <v>111</v>
      </c>
      <c r="F18" s="94"/>
      <c r="G18" s="91" t="s">
        <v>119</v>
      </c>
      <c r="H18" s="82"/>
      <c r="I18" s="57"/>
      <c r="J18" s="81" t="s">
        <v>111</v>
      </c>
      <c r="K18" s="94"/>
      <c r="L18" s="91" t="s">
        <v>119</v>
      </c>
      <c r="M18" s="82"/>
      <c r="N18" s="57"/>
      <c r="O18" s="81" t="s">
        <v>111</v>
      </c>
      <c r="P18" s="94"/>
      <c r="Q18" s="91" t="s">
        <v>119</v>
      </c>
      <c r="R18" s="82"/>
      <c r="S18" s="57"/>
      <c r="T18" s="81" t="s">
        <v>111</v>
      </c>
      <c r="U18" s="94"/>
    </row>
    <row r="19" spans="2:21" ht="15.75" customHeight="1" x14ac:dyDescent="0.25">
      <c r="B19" s="74" t="s">
        <v>112</v>
      </c>
      <c r="C19" s="83"/>
      <c r="D19" s="57"/>
      <c r="E19" s="86" t="s">
        <v>115</v>
      </c>
      <c r="F19" s="73"/>
      <c r="G19" s="74" t="s">
        <v>112</v>
      </c>
      <c r="H19" s="83"/>
      <c r="I19" s="57"/>
      <c r="J19" s="86" t="s">
        <v>115</v>
      </c>
      <c r="K19" s="73"/>
      <c r="L19" s="74" t="s">
        <v>112</v>
      </c>
      <c r="M19" s="83"/>
      <c r="N19" s="57"/>
      <c r="O19" s="86" t="s">
        <v>115</v>
      </c>
      <c r="P19" s="73"/>
      <c r="Q19" s="74" t="s">
        <v>112</v>
      </c>
      <c r="R19" s="83"/>
      <c r="S19" s="57"/>
      <c r="T19" s="86" t="s">
        <v>115</v>
      </c>
      <c r="U19" s="73"/>
    </row>
    <row r="20" spans="2:21" ht="15.75" customHeight="1" x14ac:dyDescent="0.25">
      <c r="B20" s="74" t="s">
        <v>113</v>
      </c>
      <c r="C20" s="83"/>
      <c r="D20" s="57"/>
      <c r="E20" s="86" t="s">
        <v>179</v>
      </c>
      <c r="F20" s="73"/>
      <c r="G20" s="74" t="s">
        <v>113</v>
      </c>
      <c r="H20" s="83"/>
      <c r="I20" s="57"/>
      <c r="J20" s="86" t="s">
        <v>179</v>
      </c>
      <c r="K20" s="73"/>
      <c r="L20" s="74" t="s">
        <v>113</v>
      </c>
      <c r="M20" s="83"/>
      <c r="N20" s="57"/>
      <c r="O20" s="86" t="s">
        <v>179</v>
      </c>
      <c r="P20" s="73"/>
      <c r="Q20" s="74" t="s">
        <v>113</v>
      </c>
      <c r="R20" s="83"/>
      <c r="S20" s="57"/>
      <c r="T20" s="86" t="s">
        <v>179</v>
      </c>
      <c r="U20" s="73"/>
    </row>
    <row r="21" spans="2:21" x14ac:dyDescent="0.25">
      <c r="B21" s="74" t="s">
        <v>120</v>
      </c>
      <c r="C21" s="85"/>
      <c r="D21" s="57"/>
      <c r="E21" s="87" t="s">
        <v>114</v>
      </c>
      <c r="F21" s="98"/>
      <c r="G21" s="74" t="s">
        <v>120</v>
      </c>
      <c r="H21" s="85"/>
      <c r="I21" s="57"/>
      <c r="J21" s="87" t="s">
        <v>114</v>
      </c>
      <c r="K21" s="95"/>
      <c r="L21" s="74" t="s">
        <v>120</v>
      </c>
      <c r="M21" s="85"/>
      <c r="N21" s="57"/>
      <c r="O21" s="87" t="s">
        <v>114</v>
      </c>
      <c r="P21" s="95"/>
      <c r="Q21" s="74" t="s">
        <v>120</v>
      </c>
      <c r="R21" s="85"/>
      <c r="S21" s="57"/>
      <c r="T21" s="87" t="s">
        <v>114</v>
      </c>
      <c r="U21" s="95">
        <v>5</v>
      </c>
    </row>
    <row r="22" spans="2:21" ht="15.75" thickBot="1" x14ac:dyDescent="0.3">
      <c r="B22" s="75" t="s">
        <v>114</v>
      </c>
      <c r="C22" s="96"/>
      <c r="D22" s="76"/>
      <c r="E22" s="76"/>
      <c r="F22" s="77"/>
      <c r="G22" s="75" t="s">
        <v>114</v>
      </c>
      <c r="H22" s="96"/>
      <c r="I22" s="76"/>
      <c r="J22" s="76"/>
      <c r="K22" s="77"/>
      <c r="L22" s="75" t="s">
        <v>114</v>
      </c>
      <c r="M22" s="96"/>
      <c r="N22" s="76"/>
      <c r="O22" s="76"/>
      <c r="P22" s="77"/>
      <c r="Q22" s="75" t="s">
        <v>114</v>
      </c>
      <c r="R22" s="96"/>
      <c r="S22" s="76"/>
      <c r="T22" s="76"/>
      <c r="U22" s="77"/>
    </row>
    <row r="23" spans="2:21" ht="16.5" thickTop="1" thickBot="1" x14ac:dyDescent="0.3">
      <c r="B23" s="67">
        <v>5</v>
      </c>
      <c r="C23" s="67">
        <f ca="1">IFERROR(NETWORKDAYS(TODAY(),C29,holidays[])-1,"x")</f>
        <v>-5</v>
      </c>
      <c r="F23" s="67">
        <f ca="1">IFERROR(VLOOKUP(C23,Table10[],2,1),0)</f>
        <v>0</v>
      </c>
      <c r="G23" s="67">
        <v>6</v>
      </c>
      <c r="H23" s="67" t="str">
        <f ca="1">IFERROR(NETWORKDAYS(TODAY(),H29,holidays[])-1,"x")</f>
        <v>x</v>
      </c>
      <c r="K23" s="67">
        <f ca="1">IFERROR(VLOOKUP(H23,Table10[],2,1),0)</f>
        <v>0</v>
      </c>
      <c r="L23" s="97" t="s">
        <v>190</v>
      </c>
      <c r="M23" s="67" t="str">
        <f ca="1">IFERROR(NETWORKDAYS(TODAY(),M29,holidays[])-1,"x")</f>
        <v>x</v>
      </c>
      <c r="P23" s="67">
        <f ca="1">IFERROR(VLOOKUP(M23,Table10[],2,1),0)</f>
        <v>0</v>
      </c>
      <c r="Q23" s="97" t="s">
        <v>191</v>
      </c>
      <c r="R23" s="67" t="str">
        <f ca="1">IFERROR(NETWORKDAYS(TODAY(),R29,holidays[])-1,"x")</f>
        <v>x</v>
      </c>
      <c r="U23" s="67">
        <f ca="1">IFERROR(VLOOKUP(R23,Table10[],2,1),0)</f>
        <v>0</v>
      </c>
    </row>
    <row r="24" spans="2:21" ht="21" thickTop="1" thickBot="1" x14ac:dyDescent="0.35">
      <c r="B24" s="78" t="str">
        <f>"BAY " &amp;B23</f>
        <v>BAY 5</v>
      </c>
      <c r="C24" s="79"/>
      <c r="D24" s="79"/>
      <c r="E24" s="79"/>
      <c r="F24" s="80"/>
      <c r="G24" s="78" t="str">
        <f>"BAY " &amp;G23</f>
        <v>BAY 6</v>
      </c>
      <c r="H24" s="79"/>
      <c r="I24" s="79"/>
      <c r="J24" s="79"/>
      <c r="K24" s="80"/>
      <c r="L24" s="78" t="str">
        <f>"BAY " &amp;L23</f>
        <v>BAY Special 1</v>
      </c>
      <c r="M24" s="79"/>
      <c r="N24" s="79"/>
      <c r="O24" s="79"/>
      <c r="P24" s="80"/>
      <c r="Q24" s="78" t="str">
        <f>"BAY " &amp;Q23</f>
        <v>BAY Special 2</v>
      </c>
      <c r="R24" s="79"/>
      <c r="S24" s="79"/>
      <c r="T24" s="79"/>
      <c r="U24" s="80"/>
    </row>
    <row r="25" spans="2:21" ht="15.75" thickTop="1" x14ac:dyDescent="0.25">
      <c r="B25" s="69" t="s">
        <v>118</v>
      </c>
      <c r="C25" s="68">
        <f>R8+375</f>
        <v>1500</v>
      </c>
      <c r="D25" s="57"/>
      <c r="E25" s="63" t="s">
        <v>86</v>
      </c>
      <c r="F25" s="70" t="s">
        <v>117</v>
      </c>
      <c r="G25" s="69" t="s">
        <v>118</v>
      </c>
      <c r="H25" s="68"/>
      <c r="I25" s="57"/>
      <c r="J25" s="63" t="s">
        <v>86</v>
      </c>
      <c r="K25" s="70"/>
      <c r="L25" s="69" t="s">
        <v>118</v>
      </c>
      <c r="M25" s="68"/>
      <c r="N25" s="57"/>
      <c r="O25" s="63" t="s">
        <v>86</v>
      </c>
      <c r="P25" s="70"/>
      <c r="Q25" s="69" t="s">
        <v>118</v>
      </c>
      <c r="R25" s="68"/>
      <c r="S25" s="57"/>
      <c r="T25" s="63" t="s">
        <v>86</v>
      </c>
      <c r="U25" s="70"/>
    </row>
    <row r="26" spans="2:21" x14ac:dyDescent="0.25">
      <c r="B26" s="71"/>
      <c r="C26" s="57"/>
      <c r="D26" s="57"/>
      <c r="E26" s="63" t="s">
        <v>106</v>
      </c>
      <c r="F26" s="72"/>
      <c r="G26" s="71"/>
      <c r="H26" s="57"/>
      <c r="I26" s="57"/>
      <c r="J26" s="63" t="s">
        <v>106</v>
      </c>
      <c r="K26" s="72"/>
      <c r="L26" s="71"/>
      <c r="M26" s="57"/>
      <c r="N26" s="57"/>
      <c r="O26" s="63" t="s">
        <v>106</v>
      </c>
      <c r="P26" s="72"/>
      <c r="Q26" s="71"/>
      <c r="R26" s="57"/>
      <c r="S26" s="57"/>
      <c r="T26" s="63" t="s">
        <v>106</v>
      </c>
      <c r="U26" s="72"/>
    </row>
    <row r="27" spans="2:21" x14ac:dyDescent="0.25">
      <c r="B27" s="69" t="s">
        <v>87</v>
      </c>
      <c r="C27" s="60">
        <v>42548</v>
      </c>
      <c r="D27" s="57"/>
      <c r="E27" s="65" t="s">
        <v>89</v>
      </c>
      <c r="F27" s="90"/>
      <c r="G27" s="69" t="s">
        <v>87</v>
      </c>
      <c r="H27" s="60"/>
      <c r="I27" s="57"/>
      <c r="J27" s="65" t="s">
        <v>89</v>
      </c>
      <c r="K27" s="90"/>
      <c r="L27" s="69" t="s">
        <v>87</v>
      </c>
      <c r="M27" s="60"/>
      <c r="N27" s="57"/>
      <c r="O27" s="65" t="s">
        <v>89</v>
      </c>
      <c r="P27" s="90"/>
      <c r="Q27" s="69" t="s">
        <v>87</v>
      </c>
      <c r="R27" s="60"/>
      <c r="S27" s="57"/>
      <c r="T27" s="65" t="s">
        <v>89</v>
      </c>
      <c r="U27" s="90"/>
    </row>
    <row r="28" spans="2:21" x14ac:dyDescent="0.25">
      <c r="B28" s="69" t="s">
        <v>88</v>
      </c>
      <c r="C28" s="61">
        <v>4</v>
      </c>
      <c r="D28" s="57"/>
      <c r="E28" s="88"/>
      <c r="F28" s="73"/>
      <c r="G28" s="69" t="s">
        <v>88</v>
      </c>
      <c r="H28" s="61"/>
      <c r="I28" s="57"/>
      <c r="J28" s="88"/>
      <c r="K28" s="73"/>
      <c r="L28" s="69" t="s">
        <v>88</v>
      </c>
      <c r="M28" s="61"/>
      <c r="N28" s="57"/>
      <c r="O28" s="88"/>
      <c r="P28" s="73"/>
      <c r="Q28" s="69" t="s">
        <v>88</v>
      </c>
      <c r="R28" s="61"/>
      <c r="S28" s="57"/>
      <c r="T28" s="88"/>
      <c r="U28" s="73"/>
    </row>
    <row r="29" spans="2:21" x14ac:dyDescent="0.25">
      <c r="B29" s="69" t="s">
        <v>116</v>
      </c>
      <c r="C29" s="62">
        <f>IF(C27&lt;&gt;0,WORKDAY(C27,C28, holidays[]),"")</f>
        <v>42552</v>
      </c>
      <c r="D29" s="57"/>
      <c r="E29" s="88"/>
      <c r="F29" s="73"/>
      <c r="G29" s="69" t="s">
        <v>116</v>
      </c>
      <c r="H29" s="62" t="str">
        <f>IF(H27&lt;&gt;0,WORKDAY(H27,H28, holidays[]),"")</f>
        <v/>
      </c>
      <c r="I29" s="57"/>
      <c r="J29" s="88"/>
      <c r="K29" s="73"/>
      <c r="L29" s="69" t="s">
        <v>116</v>
      </c>
      <c r="M29" s="62" t="str">
        <f>IF(M27&lt;&gt;0,WORKDAY(M27,M28, holidays[]),"")</f>
        <v/>
      </c>
      <c r="N29" s="57"/>
      <c r="O29" s="88"/>
      <c r="P29" s="73"/>
      <c r="Q29" s="69" t="s">
        <v>116</v>
      </c>
      <c r="R29" s="62" t="str">
        <f>IF(R27&lt;&gt;0,WORKDAY(R27,R28, holidays[]),"")</f>
        <v/>
      </c>
      <c r="S29" s="57"/>
      <c r="T29" s="88"/>
      <c r="U29" s="73"/>
    </row>
    <row r="30" spans="2:21" x14ac:dyDescent="0.25">
      <c r="B30" s="71"/>
      <c r="C30" s="57"/>
      <c r="D30" s="57"/>
      <c r="E30" s="88"/>
      <c r="F30" s="73"/>
      <c r="G30" s="71"/>
      <c r="H30" s="57"/>
      <c r="I30" s="57"/>
      <c r="J30" s="88"/>
      <c r="K30" s="73"/>
      <c r="L30" s="71"/>
      <c r="M30" s="57"/>
      <c r="N30" s="57"/>
      <c r="O30" s="88"/>
      <c r="P30" s="73"/>
      <c r="Q30" s="71"/>
      <c r="R30" s="57"/>
      <c r="S30" s="57"/>
      <c r="T30" s="88"/>
      <c r="U30" s="73"/>
    </row>
    <row r="31" spans="2:21" x14ac:dyDescent="0.25">
      <c r="B31" s="91" t="s">
        <v>102</v>
      </c>
      <c r="C31" s="82"/>
      <c r="D31" s="57"/>
      <c r="E31" s="88"/>
      <c r="F31" s="73"/>
      <c r="G31" s="91" t="s">
        <v>102</v>
      </c>
      <c r="H31" s="82"/>
      <c r="I31" s="57"/>
      <c r="J31" s="88"/>
      <c r="K31" s="73"/>
      <c r="L31" s="91" t="s">
        <v>102</v>
      </c>
      <c r="M31" s="82"/>
      <c r="N31" s="57"/>
      <c r="O31" s="88"/>
      <c r="P31" s="73"/>
      <c r="Q31" s="91" t="s">
        <v>102</v>
      </c>
      <c r="R31" s="82"/>
      <c r="S31" s="57"/>
      <c r="T31" s="88"/>
      <c r="U31" s="73"/>
    </row>
    <row r="32" spans="2:21" x14ac:dyDescent="0.25">
      <c r="B32" s="74" t="s">
        <v>103</v>
      </c>
      <c r="C32" s="83"/>
      <c r="D32" s="57"/>
      <c r="E32" s="88"/>
      <c r="F32" s="73"/>
      <c r="G32" s="74" t="s">
        <v>103</v>
      </c>
      <c r="H32" s="83"/>
      <c r="I32" s="57"/>
      <c r="J32" s="88"/>
      <c r="K32" s="73"/>
      <c r="L32" s="74" t="s">
        <v>103</v>
      </c>
      <c r="M32" s="83"/>
      <c r="N32" s="57"/>
      <c r="O32" s="88"/>
      <c r="P32" s="73"/>
      <c r="Q32" s="74" t="s">
        <v>103</v>
      </c>
      <c r="R32" s="83"/>
      <c r="S32" s="57"/>
      <c r="T32" s="88"/>
      <c r="U32" s="73"/>
    </row>
    <row r="33" spans="2:21" x14ac:dyDescent="0.25">
      <c r="B33" s="92" t="s">
        <v>107</v>
      </c>
      <c r="C33" s="84"/>
      <c r="D33" s="57"/>
      <c r="E33" s="89"/>
      <c r="F33" s="93"/>
      <c r="G33" s="92" t="s">
        <v>107</v>
      </c>
      <c r="H33" s="84"/>
      <c r="I33" s="57"/>
      <c r="J33" s="89"/>
      <c r="K33" s="93"/>
      <c r="L33" s="92" t="s">
        <v>107</v>
      </c>
      <c r="M33" s="84"/>
      <c r="N33" s="57"/>
      <c r="O33" s="89"/>
      <c r="P33" s="93"/>
      <c r="Q33" s="92" t="s">
        <v>107</v>
      </c>
      <c r="R33" s="84"/>
      <c r="S33" s="57"/>
      <c r="T33" s="89"/>
      <c r="U33" s="93"/>
    </row>
    <row r="34" spans="2:21" x14ac:dyDescent="0.25">
      <c r="B34" s="71"/>
      <c r="C34" s="57"/>
      <c r="D34" s="57"/>
      <c r="E34" s="57"/>
      <c r="F34" s="73"/>
      <c r="G34" s="71"/>
      <c r="H34" s="57"/>
      <c r="I34" s="57"/>
      <c r="J34" s="57"/>
      <c r="K34" s="73"/>
      <c r="L34" s="71"/>
      <c r="M34" s="57"/>
      <c r="N34" s="57"/>
      <c r="O34" s="57"/>
      <c r="P34" s="73"/>
      <c r="Q34" s="71"/>
      <c r="R34" s="57"/>
      <c r="S34" s="57"/>
      <c r="T34" s="57"/>
      <c r="U34" s="73"/>
    </row>
    <row r="35" spans="2:21" x14ac:dyDescent="0.25">
      <c r="B35" s="91" t="s">
        <v>119</v>
      </c>
      <c r="C35" s="82"/>
      <c r="D35" s="57"/>
      <c r="E35" s="81" t="s">
        <v>111</v>
      </c>
      <c r="F35" s="94"/>
      <c r="G35" s="91" t="s">
        <v>119</v>
      </c>
      <c r="H35" s="82"/>
      <c r="I35" s="57"/>
      <c r="J35" s="81" t="s">
        <v>111</v>
      </c>
      <c r="K35" s="94"/>
      <c r="L35" s="91" t="s">
        <v>119</v>
      </c>
      <c r="M35" s="82"/>
      <c r="N35" s="57"/>
      <c r="O35" s="81" t="s">
        <v>111</v>
      </c>
      <c r="P35" s="94"/>
      <c r="Q35" s="91" t="s">
        <v>119</v>
      </c>
      <c r="R35" s="82"/>
      <c r="S35" s="57"/>
      <c r="T35" s="81" t="s">
        <v>111</v>
      </c>
      <c r="U35" s="94"/>
    </row>
    <row r="36" spans="2:21" ht="15.75" customHeight="1" x14ac:dyDescent="0.25">
      <c r="B36" s="74" t="s">
        <v>112</v>
      </c>
      <c r="C36" s="83"/>
      <c r="D36" s="57"/>
      <c r="E36" s="86" t="s">
        <v>115</v>
      </c>
      <c r="F36" s="73"/>
      <c r="G36" s="74" t="s">
        <v>112</v>
      </c>
      <c r="H36" s="83"/>
      <c r="I36" s="57"/>
      <c r="J36" s="86" t="s">
        <v>115</v>
      </c>
      <c r="K36" s="73"/>
      <c r="L36" s="74" t="s">
        <v>112</v>
      </c>
      <c r="M36" s="83"/>
      <c r="N36" s="57"/>
      <c r="O36" s="86" t="s">
        <v>115</v>
      </c>
      <c r="P36" s="73"/>
      <c r="Q36" s="74" t="s">
        <v>112</v>
      </c>
      <c r="R36" s="83"/>
      <c r="S36" s="57"/>
      <c r="T36" s="86" t="s">
        <v>115</v>
      </c>
      <c r="U36" s="73"/>
    </row>
    <row r="37" spans="2:21" ht="15.75" customHeight="1" x14ac:dyDescent="0.25">
      <c r="B37" s="74" t="s">
        <v>113</v>
      </c>
      <c r="C37" s="83"/>
      <c r="D37" s="57"/>
      <c r="E37" s="86" t="s">
        <v>179</v>
      </c>
      <c r="F37" s="73"/>
      <c r="G37" s="74" t="s">
        <v>113</v>
      </c>
      <c r="H37" s="83"/>
      <c r="I37" s="57"/>
      <c r="J37" s="86" t="s">
        <v>179</v>
      </c>
      <c r="K37" s="73"/>
      <c r="L37" s="74" t="s">
        <v>113</v>
      </c>
      <c r="M37" s="83"/>
      <c r="N37" s="57"/>
      <c r="O37" s="86" t="s">
        <v>179</v>
      </c>
      <c r="P37" s="73"/>
      <c r="Q37" s="74" t="s">
        <v>113</v>
      </c>
      <c r="R37" s="83"/>
      <c r="S37" s="57"/>
      <c r="T37" s="86" t="s">
        <v>179</v>
      </c>
      <c r="U37" s="73"/>
    </row>
    <row r="38" spans="2:21" x14ac:dyDescent="0.25">
      <c r="B38" s="74" t="s">
        <v>120</v>
      </c>
      <c r="C38" s="85">
        <v>654</v>
      </c>
      <c r="D38" s="57"/>
      <c r="E38" s="87" t="s">
        <v>114</v>
      </c>
      <c r="F38" s="95"/>
      <c r="G38" s="74" t="s">
        <v>120</v>
      </c>
      <c r="H38" s="85"/>
      <c r="I38" s="57"/>
      <c r="J38" s="87" t="s">
        <v>114</v>
      </c>
      <c r="K38" s="95"/>
      <c r="L38" s="74" t="s">
        <v>120</v>
      </c>
      <c r="M38" s="85"/>
      <c r="N38" s="57"/>
      <c r="O38" s="87" t="s">
        <v>114</v>
      </c>
      <c r="P38" s="95"/>
      <c r="Q38" s="74" t="s">
        <v>120</v>
      </c>
      <c r="R38" s="85"/>
      <c r="S38" s="57"/>
      <c r="T38" s="87" t="s">
        <v>114</v>
      </c>
      <c r="U38" s="95"/>
    </row>
    <row r="39" spans="2:21" ht="15.75" thickBot="1" x14ac:dyDescent="0.3">
      <c r="B39" s="75" t="s">
        <v>114</v>
      </c>
      <c r="C39" s="96" t="s">
        <v>192</v>
      </c>
      <c r="D39" s="76"/>
      <c r="E39" s="76"/>
      <c r="F39" s="77"/>
      <c r="G39" s="75" t="s">
        <v>114</v>
      </c>
      <c r="H39" s="96"/>
      <c r="I39" s="76"/>
      <c r="J39" s="76"/>
      <c r="K39" s="77"/>
      <c r="L39" s="75" t="s">
        <v>114</v>
      </c>
      <c r="M39" s="96"/>
      <c r="N39" s="76"/>
      <c r="O39" s="76"/>
      <c r="P39" s="77"/>
      <c r="Q39" s="75" t="s">
        <v>114</v>
      </c>
      <c r="R39" s="96"/>
      <c r="S39" s="76"/>
      <c r="T39" s="76"/>
      <c r="U39" s="77"/>
    </row>
    <row r="40" spans="2:21" ht="15.75" thickTop="1" x14ac:dyDescent="0.25"/>
  </sheetData>
  <conditionalFormatting sqref="C8 F8 C10:C11 C21:C22 F21 H8 K8 H10:H11 H21:H22 K21 P8 M10:M11 M21:M22 P21 U8 R10:R11 R21:R22 U21 F25 C27:C28 C38:C39 F38 K25 H27:H28 H38:H39 K38 M25 P25 M27:M28 M38:M39 P38 R25 U25 R27:R28 R38:R39 U38 M8 R8 C25 H25">
    <cfRule type="cellIs" dxfId="33" priority="165" operator="notEqual">
      <formula>""</formula>
    </cfRule>
  </conditionalFormatting>
  <conditionalFormatting sqref="F23:H23 U6 U23 K23:M23 P23:R23 B23:C23 B6:C6 F6:H6 K6:M6 P6:R6">
    <cfRule type="cellIs" dxfId="32" priority="154" operator="notEqual">
      <formula>""</formula>
    </cfRule>
  </conditionalFormatting>
  <conditionalFormatting sqref="B7:F7 B8 E8:E9 B10:B12 E10 B18 B18 B18:C18 E18:F18 B14:C14 E10:F10">
    <cfRule type="expression" dxfId="31" priority="140">
      <formula>$F$6="GREEN"</formula>
    </cfRule>
  </conditionalFormatting>
  <conditionalFormatting sqref="B7:F7 B8 E8:E9 E10:F10 B10:B12 B14:C14 E18:F18 B18:C18">
    <cfRule type="expression" dxfId="30" priority="141">
      <formula>$F$6="ORANGE"</formula>
    </cfRule>
  </conditionalFormatting>
  <conditionalFormatting sqref="B7:F7 B8 E8:E9 E10:F10 B10:B12 B14:C14 B18:C18 E18:F18">
    <cfRule type="expression" dxfId="29" priority="142">
      <formula>$F$6="RED"</formula>
    </cfRule>
    <cfRule type="expression" dxfId="28" priority="143">
      <formula>$F$6="YELLOW"</formula>
    </cfRule>
  </conditionalFormatting>
  <conditionalFormatting sqref="G7:K7 G8 J8:J9 J10:K10 G10:G12 G14:H14 G18:H18 J18:K18">
    <cfRule type="expression" dxfId="27" priority="25">
      <formula>$K$6="RED"</formula>
    </cfRule>
    <cfRule type="expression" dxfId="26" priority="27">
      <formula>$K$6="ORANGE"</formula>
    </cfRule>
    <cfRule type="expression" dxfId="25" priority="28">
      <formula>$K$6="YELLOW"</formula>
    </cfRule>
    <cfRule type="expression" dxfId="24" priority="29">
      <formula>$K$6="GREEN"</formula>
    </cfRule>
  </conditionalFormatting>
  <conditionalFormatting sqref="L7:P7 L8 O8:O9 O10:P10 L10:L12 L14:M14 L18:M18 O18:P18">
    <cfRule type="expression" dxfId="23" priority="21">
      <formula>$P$6="RED"</formula>
    </cfRule>
    <cfRule type="expression" dxfId="22" priority="22">
      <formula>$P$6="ORANGE"</formula>
    </cfRule>
    <cfRule type="expression" dxfId="21" priority="23">
      <formula>$P$6="YELLOW"</formula>
    </cfRule>
    <cfRule type="expression" dxfId="20" priority="24">
      <formula>$P$6="GREEN"</formula>
    </cfRule>
  </conditionalFormatting>
  <conditionalFormatting sqref="Q7:U7 Q8 T8:T9 T10:U10 Q10:Q12 Q14:R14 Q18:R18 T18:U18">
    <cfRule type="expression" dxfId="19" priority="17">
      <formula>$U$6="RED"</formula>
    </cfRule>
    <cfRule type="expression" dxfId="18" priority="18">
      <formula>$U$6="ORANGE"</formula>
    </cfRule>
    <cfRule type="expression" dxfId="17" priority="19">
      <formula>$U$6="YELLOW"</formula>
    </cfRule>
    <cfRule type="expression" dxfId="16" priority="20">
      <formula>$U$6="GREEN"</formula>
    </cfRule>
  </conditionalFormatting>
  <conditionalFormatting sqref="B24:F24 B25 E25:E26 E27:F27 B27:B29 B31:C31 B35:C35 E35:F35">
    <cfRule type="expression" dxfId="15" priority="13">
      <formula>$F$23="RED"</formula>
    </cfRule>
    <cfRule type="expression" dxfId="14" priority="14">
      <formula>$F$23="ORANGE"</formula>
    </cfRule>
    <cfRule type="expression" dxfId="13" priority="15">
      <formula>$F$23="YELLOW"</formula>
    </cfRule>
    <cfRule type="expression" dxfId="12" priority="16">
      <formula>$F$23="GREEN"</formula>
    </cfRule>
  </conditionalFormatting>
  <conditionalFormatting sqref="G24:K24 G25 J25:J26 J27:K27 G27:G29 G31:H31 G35:H35 J35:K35">
    <cfRule type="expression" dxfId="11" priority="9">
      <formula>$K$23="RED"</formula>
    </cfRule>
    <cfRule type="expression" dxfId="10" priority="10">
      <formula>$K$23="ORANGE"</formula>
    </cfRule>
    <cfRule type="expression" dxfId="9" priority="11">
      <formula>$K$23="YELLOW"</formula>
    </cfRule>
    <cfRule type="expression" dxfId="8" priority="12">
      <formula>$K$23="GREEN"</formula>
    </cfRule>
  </conditionalFormatting>
  <conditionalFormatting sqref="L24:P24 L25 O25:O26 O27:P27 L27:L29 L31:M31 L35:M35 O35:P35">
    <cfRule type="expression" dxfId="7" priority="5">
      <formula>$P$23="RED"</formula>
    </cfRule>
    <cfRule type="expression" dxfId="6" priority="6">
      <formula>$P$23="ORANGE"</formula>
    </cfRule>
    <cfRule type="expression" dxfId="5" priority="7">
      <formula>$P$23="YELLOW"</formula>
    </cfRule>
    <cfRule type="expression" dxfId="4" priority="8">
      <formula>$P$23="GREEN"</formula>
    </cfRule>
  </conditionalFormatting>
  <conditionalFormatting sqref="Q24:U24 Q25 T25:T26 T27:U27 Q27:Q29 Q31:R31 Q35:R35 T35:U35">
    <cfRule type="expression" dxfId="3" priority="1">
      <formula>$U$23="RED"</formula>
    </cfRule>
    <cfRule type="expression" dxfId="2" priority="2">
      <formula>$U$23="ORANGE"</formula>
    </cfRule>
    <cfRule type="expression" dxfId="1" priority="3">
      <formula>$U$23="YELLOW"</formula>
    </cfRule>
    <cfRule type="expression" dxfId="0" priority="4">
      <formula>$U$23="GREEN"</formula>
    </cfRule>
  </conditionalFormatting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96" r:id="rId4" name="B8Clear">
          <controlPr defaultSize="0" autoLine="0" r:id="rId5">
            <anchor moveWithCells="1">
              <from>
                <xdr:col>20</xdr:col>
                <xdr:colOff>695325</xdr:colOff>
                <xdr:row>23</xdr:row>
                <xdr:rowOff>19050</xdr:rowOff>
              </from>
              <to>
                <xdr:col>20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6" r:id="rId4" name="B8Clear"/>
      </mc:Fallback>
    </mc:AlternateContent>
    <mc:AlternateContent xmlns:mc="http://schemas.openxmlformats.org/markup-compatibility/2006">
      <mc:Choice Requires="x14">
        <control shapeId="1394" r:id="rId6" name="B7Clear">
          <controlPr defaultSize="0" autoLine="0" r:id="rId7">
            <anchor moveWithCells="1">
              <from>
                <xdr:col>15</xdr:col>
                <xdr:colOff>695325</xdr:colOff>
                <xdr:row>23</xdr:row>
                <xdr:rowOff>19050</xdr:rowOff>
              </from>
              <to>
                <xdr:col>15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4" r:id="rId6" name="B7Clear"/>
      </mc:Fallback>
    </mc:AlternateContent>
    <mc:AlternateContent xmlns:mc="http://schemas.openxmlformats.org/markup-compatibility/2006">
      <mc:Choice Requires="x14">
        <control shapeId="1393" r:id="rId8" name="B6Clear">
          <controlPr defaultSize="0" autoLine="0" r:id="rId9">
            <anchor moveWithCells="1">
              <from>
                <xdr:col>10</xdr:col>
                <xdr:colOff>695325</xdr:colOff>
                <xdr:row>23</xdr:row>
                <xdr:rowOff>19050</xdr:rowOff>
              </from>
              <to>
                <xdr:col>10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3" r:id="rId8" name="B6Clear"/>
      </mc:Fallback>
    </mc:AlternateContent>
    <mc:AlternateContent xmlns:mc="http://schemas.openxmlformats.org/markup-compatibility/2006">
      <mc:Choice Requires="x14">
        <control shapeId="1392" r:id="rId10" name="B5Clear">
          <controlPr defaultSize="0" autoLine="0" r:id="rId11">
            <anchor moveWithCells="1">
              <from>
                <xdr:col>5</xdr:col>
                <xdr:colOff>695325</xdr:colOff>
                <xdr:row>23</xdr:row>
                <xdr:rowOff>19050</xdr:rowOff>
              </from>
              <to>
                <xdr:col>5</xdr:col>
                <xdr:colOff>1504950</xdr:colOff>
                <xdr:row>24</xdr:row>
                <xdr:rowOff>0</xdr:rowOff>
              </to>
            </anchor>
          </controlPr>
        </control>
      </mc:Choice>
      <mc:Fallback>
        <control shapeId="1392" r:id="rId10" name="B5Clear"/>
      </mc:Fallback>
    </mc:AlternateContent>
    <mc:AlternateContent xmlns:mc="http://schemas.openxmlformats.org/markup-compatibility/2006">
      <mc:Choice Requires="x14">
        <control shapeId="1391" r:id="rId12" name="B4Clear">
          <controlPr defaultSize="0" autoLine="0" r:id="rId13">
            <anchor moveWithCells="1">
              <from>
                <xdr:col>20</xdr:col>
                <xdr:colOff>695325</xdr:colOff>
                <xdr:row>6</xdr:row>
                <xdr:rowOff>19050</xdr:rowOff>
              </from>
              <to>
                <xdr:col>20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91" r:id="rId12" name="B4Clear"/>
      </mc:Fallback>
    </mc:AlternateContent>
    <mc:AlternateContent xmlns:mc="http://schemas.openxmlformats.org/markup-compatibility/2006">
      <mc:Choice Requires="x14">
        <control shapeId="1390" r:id="rId14" name="B3Clear">
          <controlPr defaultSize="0" autoLine="0" r:id="rId15">
            <anchor moveWithCells="1">
              <from>
                <xdr:col>15</xdr:col>
                <xdr:colOff>695325</xdr:colOff>
                <xdr:row>6</xdr:row>
                <xdr:rowOff>19050</xdr:rowOff>
              </from>
              <to>
                <xdr:col>15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90" r:id="rId14" name="B3Clear"/>
      </mc:Fallback>
    </mc:AlternateContent>
    <mc:AlternateContent xmlns:mc="http://schemas.openxmlformats.org/markup-compatibility/2006">
      <mc:Choice Requires="x14">
        <control shapeId="1389" r:id="rId16" name="B2Clear">
          <controlPr defaultSize="0" autoLine="0" r:id="rId17">
            <anchor moveWithCells="1">
              <from>
                <xdr:col>10</xdr:col>
                <xdr:colOff>695325</xdr:colOff>
                <xdr:row>6</xdr:row>
                <xdr:rowOff>19050</xdr:rowOff>
              </from>
              <to>
                <xdr:col>10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89" r:id="rId16" name="B2Clear"/>
      </mc:Fallback>
    </mc:AlternateContent>
    <mc:AlternateContent xmlns:mc="http://schemas.openxmlformats.org/markup-compatibility/2006">
      <mc:Choice Requires="x14">
        <control shapeId="1388" r:id="rId18" name="B1Clear">
          <controlPr defaultSize="0" autoLine="0" autoPict="0" r:id="rId19">
            <anchor moveWithCells="1">
              <from>
                <xdr:col>5</xdr:col>
                <xdr:colOff>695325</xdr:colOff>
                <xdr:row>6</xdr:row>
                <xdr:rowOff>19050</xdr:rowOff>
              </from>
              <to>
                <xdr:col>5</xdr:col>
                <xdr:colOff>1504950</xdr:colOff>
                <xdr:row>7</xdr:row>
                <xdr:rowOff>0</xdr:rowOff>
              </to>
            </anchor>
          </controlPr>
        </control>
      </mc:Choice>
      <mc:Fallback>
        <control shapeId="1388" r:id="rId18" name="B1Clear"/>
      </mc:Fallback>
    </mc:AlternateContent>
    <mc:AlternateContent xmlns:mc="http://schemas.openxmlformats.org/markup-compatibility/2006">
      <mc:Choice Requires="x14">
        <control shapeId="1387" r:id="rId20" name="ddB8FrameMake">
          <controlPr autoLine="0" listFillRange="frameMakeList" r:id="rId21">
            <anchor moveWithCells="1">
              <from>
                <xdr:col>20</xdr:col>
                <xdr:colOff>19050</xdr:colOff>
                <xdr:row>35</xdr:row>
                <xdr:rowOff>28575</xdr:rowOff>
              </from>
              <to>
                <xdr:col>20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87" r:id="rId20" name="ddB8FrameMake"/>
      </mc:Fallback>
    </mc:AlternateContent>
    <mc:AlternateContent xmlns:mc="http://schemas.openxmlformats.org/markup-compatibility/2006">
      <mc:Choice Requires="x14">
        <control shapeId="1386" r:id="rId22" name="ddB8FrameModel">
          <controlPr autoLine="0" listFillRange="frameModelList" r:id="rId23">
            <anchor moveWithCells="1">
              <from>
                <xdr:col>20</xdr:col>
                <xdr:colOff>19050</xdr:colOff>
                <xdr:row>36</xdr:row>
                <xdr:rowOff>9525</xdr:rowOff>
              </from>
              <to>
                <xdr:col>20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86" r:id="rId22" name="ddB8FrameModel"/>
      </mc:Fallback>
    </mc:AlternateContent>
    <mc:AlternateContent xmlns:mc="http://schemas.openxmlformats.org/markup-compatibility/2006">
      <mc:Choice Requires="x14">
        <control shapeId="1385" r:id="rId24" name="ddB8EngineMake">
          <controlPr autoLine="0" listFillRange="engineMakeList" r:id="rId25">
            <anchor moveWithCells="1">
              <from>
                <xdr:col>17</xdr:col>
                <xdr:colOff>0</xdr:colOff>
                <xdr:row>35</xdr:row>
                <xdr:rowOff>28575</xdr:rowOff>
              </from>
              <to>
                <xdr:col>18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85" r:id="rId24" name="ddB8EngineMake"/>
      </mc:Fallback>
    </mc:AlternateContent>
    <mc:AlternateContent xmlns:mc="http://schemas.openxmlformats.org/markup-compatibility/2006">
      <mc:Choice Requires="x14">
        <control shapeId="1384" r:id="rId26" name="ddB8EngineModels">
          <controlPr autoLine="0" listFillRange="engineModelsList" r:id="rId25">
            <anchor moveWithCells="1">
              <from>
                <xdr:col>17</xdr:col>
                <xdr:colOff>0</xdr:colOff>
                <xdr:row>36</xdr:row>
                <xdr:rowOff>19050</xdr:rowOff>
              </from>
              <to>
                <xdr:col>18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84" r:id="rId26" name="ddB8EngineModels"/>
      </mc:Fallback>
    </mc:AlternateContent>
    <mc:AlternateContent xmlns:mc="http://schemas.openxmlformats.org/markup-compatibility/2006">
      <mc:Choice Requires="x14">
        <control shapeId="1383" r:id="rId27" name="ddB8Customer">
          <controlPr autoLine="0" listFillRange="customerList" r:id="rId21">
            <anchor moveWithCells="1">
              <from>
                <xdr:col>20</xdr:col>
                <xdr:colOff>19050</xdr:colOff>
                <xdr:row>25</xdr:row>
                <xdr:rowOff>19050</xdr:rowOff>
              </from>
              <to>
                <xdr:col>20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83" r:id="rId27" name="ddB8Customer"/>
      </mc:Fallback>
    </mc:AlternateContent>
    <mc:AlternateContent xmlns:mc="http://schemas.openxmlformats.org/markup-compatibility/2006">
      <mc:Choice Requires="x14">
        <control shapeId="1382" r:id="rId28" name="ddB8PartType">
          <controlPr autoLine="0" listFillRange="partTypesList" r:id="rId29">
            <anchor moveWithCells="1">
              <from>
                <xdr:col>16</xdr:col>
                <xdr:colOff>619125</xdr:colOff>
                <xdr:row>32</xdr:row>
                <xdr:rowOff>19050</xdr:rowOff>
              </from>
              <to>
                <xdr:col>18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82" r:id="rId28" name="ddB8PartType"/>
      </mc:Fallback>
    </mc:AlternateContent>
    <mc:AlternateContent xmlns:mc="http://schemas.openxmlformats.org/markup-compatibility/2006">
      <mc:Choice Requires="x14">
        <control shapeId="1381" r:id="rId30" name="ddB8PartsProvider">
          <controlPr autoLine="0" listFillRange="partsProvidersList" r:id="rId29">
            <anchor moveWithCells="1">
              <from>
                <xdr:col>16</xdr:col>
                <xdr:colOff>619125</xdr:colOff>
                <xdr:row>31</xdr:row>
                <xdr:rowOff>19050</xdr:rowOff>
              </from>
              <to>
                <xdr:col>18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81" r:id="rId30" name="ddB8PartsProvider"/>
      </mc:Fallback>
    </mc:AlternateContent>
    <mc:AlternateContent xmlns:mc="http://schemas.openxmlformats.org/markup-compatibility/2006">
      <mc:Choice Requires="x14">
        <control shapeId="1380" r:id="rId31" name="cbB8Task5">
          <controlPr autoLine="0" r:id="rId32">
            <anchor moveWithCells="1">
              <from>
                <xdr:col>19</xdr:col>
                <xdr:colOff>19050</xdr:colOff>
                <xdr:row>31</xdr:row>
                <xdr:rowOff>180975</xdr:rowOff>
              </from>
              <to>
                <xdr:col>19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80" r:id="rId31" name="cbB8Task5"/>
      </mc:Fallback>
    </mc:AlternateContent>
    <mc:AlternateContent xmlns:mc="http://schemas.openxmlformats.org/markup-compatibility/2006">
      <mc:Choice Requires="x14">
        <control shapeId="1379" r:id="rId33" name="ddB8Task5">
          <controlPr defaultSize="0" autoLine="0" listFillRange="taskList" r:id="rId34">
            <anchor moveWithCells="1">
              <from>
                <xdr:col>19</xdr:col>
                <xdr:colOff>228600</xdr:colOff>
                <xdr:row>31</xdr:row>
                <xdr:rowOff>161925</xdr:rowOff>
              </from>
              <to>
                <xdr:col>20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79" r:id="rId33" name="ddB8Task5"/>
      </mc:Fallback>
    </mc:AlternateContent>
    <mc:AlternateContent xmlns:mc="http://schemas.openxmlformats.org/markup-compatibility/2006">
      <mc:Choice Requires="x14">
        <control shapeId="1378" r:id="rId35" name="cbB8Task4">
          <controlPr autoLine="0" r:id="rId32">
            <anchor moveWithCells="1">
              <from>
                <xdr:col>19</xdr:col>
                <xdr:colOff>19050</xdr:colOff>
                <xdr:row>30</xdr:row>
                <xdr:rowOff>152400</xdr:rowOff>
              </from>
              <to>
                <xdr:col>19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78" r:id="rId35" name="cbB8Task4"/>
      </mc:Fallback>
    </mc:AlternateContent>
    <mc:AlternateContent xmlns:mc="http://schemas.openxmlformats.org/markup-compatibility/2006">
      <mc:Choice Requires="x14">
        <control shapeId="1377" r:id="rId36" name="ddB8Task4">
          <controlPr defaultSize="0" autoLine="0" listFillRange="taskList" r:id="rId34">
            <anchor moveWithCells="1">
              <from>
                <xdr:col>19</xdr:col>
                <xdr:colOff>228600</xdr:colOff>
                <xdr:row>30</xdr:row>
                <xdr:rowOff>133350</xdr:rowOff>
              </from>
              <to>
                <xdr:col>20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77" r:id="rId36" name="ddB8Task4"/>
      </mc:Fallback>
    </mc:AlternateContent>
    <mc:AlternateContent xmlns:mc="http://schemas.openxmlformats.org/markup-compatibility/2006">
      <mc:Choice Requires="x14">
        <control shapeId="1376" r:id="rId37" name="cbB8Task3">
          <controlPr autoLine="0" r:id="rId32">
            <anchor moveWithCells="1">
              <from>
                <xdr:col>19</xdr:col>
                <xdr:colOff>19050</xdr:colOff>
                <xdr:row>29</xdr:row>
                <xdr:rowOff>123825</xdr:rowOff>
              </from>
              <to>
                <xdr:col>19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76" r:id="rId37" name="cbB8Task3"/>
      </mc:Fallback>
    </mc:AlternateContent>
    <mc:AlternateContent xmlns:mc="http://schemas.openxmlformats.org/markup-compatibility/2006">
      <mc:Choice Requires="x14">
        <control shapeId="1375" r:id="rId38" name="ddB8Task3">
          <controlPr defaultSize="0" autoLine="0" listFillRange="taskList" r:id="rId34">
            <anchor moveWithCells="1">
              <from>
                <xdr:col>19</xdr:col>
                <xdr:colOff>228600</xdr:colOff>
                <xdr:row>29</xdr:row>
                <xdr:rowOff>104775</xdr:rowOff>
              </from>
              <to>
                <xdr:col>20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75" r:id="rId38" name="ddB8Task3"/>
      </mc:Fallback>
    </mc:AlternateContent>
    <mc:AlternateContent xmlns:mc="http://schemas.openxmlformats.org/markup-compatibility/2006">
      <mc:Choice Requires="x14">
        <control shapeId="1374" r:id="rId39" name="cbB8Task2">
          <controlPr autoLine="0" r:id="rId32">
            <anchor moveWithCells="1">
              <from>
                <xdr:col>19</xdr:col>
                <xdr:colOff>19050</xdr:colOff>
                <xdr:row>28</xdr:row>
                <xdr:rowOff>85725</xdr:rowOff>
              </from>
              <to>
                <xdr:col>19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74" r:id="rId39" name="cbB8Task2"/>
      </mc:Fallback>
    </mc:AlternateContent>
    <mc:AlternateContent xmlns:mc="http://schemas.openxmlformats.org/markup-compatibility/2006">
      <mc:Choice Requires="x14">
        <control shapeId="1373" r:id="rId40" name="ddB8Task2">
          <controlPr defaultSize="0" autoLine="0" listFillRange="taskList" r:id="rId34">
            <anchor moveWithCells="1">
              <from>
                <xdr:col>19</xdr:col>
                <xdr:colOff>228600</xdr:colOff>
                <xdr:row>28</xdr:row>
                <xdr:rowOff>66675</xdr:rowOff>
              </from>
              <to>
                <xdr:col>20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73" r:id="rId40" name="ddB8Task2"/>
      </mc:Fallback>
    </mc:AlternateContent>
    <mc:AlternateContent xmlns:mc="http://schemas.openxmlformats.org/markup-compatibility/2006">
      <mc:Choice Requires="x14">
        <control shapeId="1372" r:id="rId41" name="cbB8Task1">
          <controlPr autoLine="0" autoPict="0" r:id="rId32">
            <anchor moveWithCells="1">
              <from>
                <xdr:col>19</xdr:col>
                <xdr:colOff>19050</xdr:colOff>
                <xdr:row>27</xdr:row>
                <xdr:rowOff>47625</xdr:rowOff>
              </from>
              <to>
                <xdr:col>19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72" r:id="rId41" name="cbB8Task1"/>
      </mc:Fallback>
    </mc:AlternateContent>
    <mc:AlternateContent xmlns:mc="http://schemas.openxmlformats.org/markup-compatibility/2006">
      <mc:Choice Requires="x14">
        <control shapeId="1371" r:id="rId42" name="ddB8Task1">
          <controlPr defaultSize="0" autoLine="0" autoPict="0" listFillRange="taskList" r:id="rId34">
            <anchor moveWithCells="1">
              <from>
                <xdr:col>19</xdr:col>
                <xdr:colOff>228600</xdr:colOff>
                <xdr:row>27</xdr:row>
                <xdr:rowOff>28575</xdr:rowOff>
              </from>
              <to>
                <xdr:col>20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71" r:id="rId42" name="ddB8Task1"/>
      </mc:Fallback>
    </mc:AlternateContent>
    <mc:AlternateContent xmlns:mc="http://schemas.openxmlformats.org/markup-compatibility/2006">
      <mc:Choice Requires="x14">
        <control shapeId="1370" r:id="rId43" name="ddB7FrameMake">
          <controlPr autoLine="0" listFillRange="frameMakeList" r:id="rId21">
            <anchor moveWithCells="1">
              <from>
                <xdr:col>15</xdr:col>
                <xdr:colOff>19050</xdr:colOff>
                <xdr:row>35</xdr:row>
                <xdr:rowOff>28575</xdr:rowOff>
              </from>
              <to>
                <xdr:col>15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70" r:id="rId43" name="ddB7FrameMake"/>
      </mc:Fallback>
    </mc:AlternateContent>
    <mc:AlternateContent xmlns:mc="http://schemas.openxmlformats.org/markup-compatibility/2006">
      <mc:Choice Requires="x14">
        <control shapeId="1369" r:id="rId44" name="ddB7FrameModel">
          <controlPr autoLine="0" listFillRange="frameModelList" r:id="rId23">
            <anchor moveWithCells="1">
              <from>
                <xdr:col>15</xdr:col>
                <xdr:colOff>19050</xdr:colOff>
                <xdr:row>36</xdr:row>
                <xdr:rowOff>9525</xdr:rowOff>
              </from>
              <to>
                <xdr:col>15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69" r:id="rId44" name="ddB7FrameModel"/>
      </mc:Fallback>
    </mc:AlternateContent>
    <mc:AlternateContent xmlns:mc="http://schemas.openxmlformats.org/markup-compatibility/2006">
      <mc:Choice Requires="x14">
        <control shapeId="1368" r:id="rId45" name="ddB7EngineMake">
          <controlPr autoLine="0" listFillRange="engineMakeList" r:id="rId25">
            <anchor moveWithCells="1">
              <from>
                <xdr:col>12</xdr:col>
                <xdr:colOff>0</xdr:colOff>
                <xdr:row>35</xdr:row>
                <xdr:rowOff>28575</xdr:rowOff>
              </from>
              <to>
                <xdr:col>13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68" r:id="rId45" name="ddB7EngineMake"/>
      </mc:Fallback>
    </mc:AlternateContent>
    <mc:AlternateContent xmlns:mc="http://schemas.openxmlformats.org/markup-compatibility/2006">
      <mc:Choice Requires="x14">
        <control shapeId="1367" r:id="rId46" name="ddB7EngineModels">
          <controlPr autoLine="0" listFillRange="engineModelsList" r:id="rId25">
            <anchor moveWithCells="1">
              <from>
                <xdr:col>12</xdr:col>
                <xdr:colOff>0</xdr:colOff>
                <xdr:row>36</xdr:row>
                <xdr:rowOff>19050</xdr:rowOff>
              </from>
              <to>
                <xdr:col>13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67" r:id="rId46" name="ddB7EngineModels"/>
      </mc:Fallback>
    </mc:AlternateContent>
    <mc:AlternateContent xmlns:mc="http://schemas.openxmlformats.org/markup-compatibility/2006">
      <mc:Choice Requires="x14">
        <control shapeId="1366" r:id="rId47" name="ddB7Customer">
          <controlPr autoLine="0" listFillRange="customerList" r:id="rId21">
            <anchor moveWithCells="1">
              <from>
                <xdr:col>15</xdr:col>
                <xdr:colOff>19050</xdr:colOff>
                <xdr:row>25</xdr:row>
                <xdr:rowOff>19050</xdr:rowOff>
              </from>
              <to>
                <xdr:col>15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66" r:id="rId47" name="ddB7Customer"/>
      </mc:Fallback>
    </mc:AlternateContent>
    <mc:AlternateContent xmlns:mc="http://schemas.openxmlformats.org/markup-compatibility/2006">
      <mc:Choice Requires="x14">
        <control shapeId="1365" r:id="rId48" name="ddB7PartType">
          <controlPr autoLine="0" listFillRange="partTypesList" r:id="rId29">
            <anchor moveWithCells="1">
              <from>
                <xdr:col>11</xdr:col>
                <xdr:colOff>619125</xdr:colOff>
                <xdr:row>32</xdr:row>
                <xdr:rowOff>19050</xdr:rowOff>
              </from>
              <to>
                <xdr:col>13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65" r:id="rId48" name="ddB7PartType"/>
      </mc:Fallback>
    </mc:AlternateContent>
    <mc:AlternateContent xmlns:mc="http://schemas.openxmlformats.org/markup-compatibility/2006">
      <mc:Choice Requires="x14">
        <control shapeId="1364" r:id="rId49" name="ddB7PartsProvider">
          <controlPr autoLine="0" listFillRange="partsProvidersList" r:id="rId29">
            <anchor moveWithCells="1">
              <from>
                <xdr:col>11</xdr:col>
                <xdr:colOff>619125</xdr:colOff>
                <xdr:row>31</xdr:row>
                <xdr:rowOff>19050</xdr:rowOff>
              </from>
              <to>
                <xdr:col>13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64" r:id="rId49" name="ddB7PartsProvider"/>
      </mc:Fallback>
    </mc:AlternateContent>
    <mc:AlternateContent xmlns:mc="http://schemas.openxmlformats.org/markup-compatibility/2006">
      <mc:Choice Requires="x14">
        <control shapeId="1363" r:id="rId50" name="cbB7Task5">
          <controlPr autoLine="0" r:id="rId32">
            <anchor moveWithCells="1">
              <from>
                <xdr:col>14</xdr:col>
                <xdr:colOff>19050</xdr:colOff>
                <xdr:row>31</xdr:row>
                <xdr:rowOff>180975</xdr:rowOff>
              </from>
              <to>
                <xdr:col>14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63" r:id="rId50" name="cbB7Task5"/>
      </mc:Fallback>
    </mc:AlternateContent>
    <mc:AlternateContent xmlns:mc="http://schemas.openxmlformats.org/markup-compatibility/2006">
      <mc:Choice Requires="x14">
        <control shapeId="1362" r:id="rId51" name="ddB7Task5">
          <controlPr defaultSize="0" autoLine="0" listFillRange="taskList" r:id="rId34">
            <anchor moveWithCells="1">
              <from>
                <xdr:col>14</xdr:col>
                <xdr:colOff>228600</xdr:colOff>
                <xdr:row>31</xdr:row>
                <xdr:rowOff>161925</xdr:rowOff>
              </from>
              <to>
                <xdr:col>15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62" r:id="rId51" name="ddB7Task5"/>
      </mc:Fallback>
    </mc:AlternateContent>
    <mc:AlternateContent xmlns:mc="http://schemas.openxmlformats.org/markup-compatibility/2006">
      <mc:Choice Requires="x14">
        <control shapeId="1361" r:id="rId52" name="cbB7Task4">
          <controlPr autoLine="0" r:id="rId32">
            <anchor moveWithCells="1">
              <from>
                <xdr:col>14</xdr:col>
                <xdr:colOff>19050</xdr:colOff>
                <xdr:row>30</xdr:row>
                <xdr:rowOff>152400</xdr:rowOff>
              </from>
              <to>
                <xdr:col>14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61" r:id="rId52" name="cbB7Task4"/>
      </mc:Fallback>
    </mc:AlternateContent>
    <mc:AlternateContent xmlns:mc="http://schemas.openxmlformats.org/markup-compatibility/2006">
      <mc:Choice Requires="x14">
        <control shapeId="1360" r:id="rId53" name="ddB7Task4">
          <controlPr defaultSize="0" autoLine="0" listFillRange="taskList" r:id="rId34">
            <anchor moveWithCells="1">
              <from>
                <xdr:col>14</xdr:col>
                <xdr:colOff>228600</xdr:colOff>
                <xdr:row>30</xdr:row>
                <xdr:rowOff>133350</xdr:rowOff>
              </from>
              <to>
                <xdr:col>15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60" r:id="rId53" name="ddB7Task4"/>
      </mc:Fallback>
    </mc:AlternateContent>
    <mc:AlternateContent xmlns:mc="http://schemas.openxmlformats.org/markup-compatibility/2006">
      <mc:Choice Requires="x14">
        <control shapeId="1359" r:id="rId54" name="cbB7Task3">
          <controlPr autoLine="0" r:id="rId32">
            <anchor moveWithCells="1">
              <from>
                <xdr:col>14</xdr:col>
                <xdr:colOff>19050</xdr:colOff>
                <xdr:row>29</xdr:row>
                <xdr:rowOff>123825</xdr:rowOff>
              </from>
              <to>
                <xdr:col>14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59" r:id="rId54" name="cbB7Task3"/>
      </mc:Fallback>
    </mc:AlternateContent>
    <mc:AlternateContent xmlns:mc="http://schemas.openxmlformats.org/markup-compatibility/2006">
      <mc:Choice Requires="x14">
        <control shapeId="1358" r:id="rId55" name="ddB7Task3">
          <controlPr defaultSize="0" autoLine="0" listFillRange="taskList" r:id="rId34">
            <anchor moveWithCells="1">
              <from>
                <xdr:col>14</xdr:col>
                <xdr:colOff>228600</xdr:colOff>
                <xdr:row>29</xdr:row>
                <xdr:rowOff>104775</xdr:rowOff>
              </from>
              <to>
                <xdr:col>15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58" r:id="rId55" name="ddB7Task3"/>
      </mc:Fallback>
    </mc:AlternateContent>
    <mc:AlternateContent xmlns:mc="http://schemas.openxmlformats.org/markup-compatibility/2006">
      <mc:Choice Requires="x14">
        <control shapeId="1357" r:id="rId56" name="cbB7Task2">
          <controlPr autoLine="0" r:id="rId32">
            <anchor moveWithCells="1">
              <from>
                <xdr:col>14</xdr:col>
                <xdr:colOff>19050</xdr:colOff>
                <xdr:row>28</xdr:row>
                <xdr:rowOff>85725</xdr:rowOff>
              </from>
              <to>
                <xdr:col>14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57" r:id="rId56" name="cbB7Task2"/>
      </mc:Fallback>
    </mc:AlternateContent>
    <mc:AlternateContent xmlns:mc="http://schemas.openxmlformats.org/markup-compatibility/2006">
      <mc:Choice Requires="x14">
        <control shapeId="1356" r:id="rId57" name="ddB7Task2">
          <controlPr defaultSize="0" autoLine="0" listFillRange="taskList" r:id="rId34">
            <anchor moveWithCells="1">
              <from>
                <xdr:col>14</xdr:col>
                <xdr:colOff>228600</xdr:colOff>
                <xdr:row>28</xdr:row>
                <xdr:rowOff>66675</xdr:rowOff>
              </from>
              <to>
                <xdr:col>15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56" r:id="rId57" name="ddB7Task2"/>
      </mc:Fallback>
    </mc:AlternateContent>
    <mc:AlternateContent xmlns:mc="http://schemas.openxmlformats.org/markup-compatibility/2006">
      <mc:Choice Requires="x14">
        <control shapeId="1355" r:id="rId58" name="cbB7Task1">
          <controlPr autoLine="0" autoPict="0" r:id="rId32">
            <anchor moveWithCells="1">
              <from>
                <xdr:col>14</xdr:col>
                <xdr:colOff>19050</xdr:colOff>
                <xdr:row>27</xdr:row>
                <xdr:rowOff>47625</xdr:rowOff>
              </from>
              <to>
                <xdr:col>14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55" r:id="rId58" name="cbB7Task1"/>
      </mc:Fallback>
    </mc:AlternateContent>
    <mc:AlternateContent xmlns:mc="http://schemas.openxmlformats.org/markup-compatibility/2006">
      <mc:Choice Requires="x14">
        <control shapeId="1354" r:id="rId59" name="ddB7Task1">
          <controlPr defaultSize="0" autoLine="0" autoPict="0" listFillRange="taskList" r:id="rId34">
            <anchor moveWithCells="1">
              <from>
                <xdr:col>14</xdr:col>
                <xdr:colOff>228600</xdr:colOff>
                <xdr:row>27</xdr:row>
                <xdr:rowOff>28575</xdr:rowOff>
              </from>
              <to>
                <xdr:col>15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54" r:id="rId59" name="ddB7Task1"/>
      </mc:Fallback>
    </mc:AlternateContent>
    <mc:AlternateContent xmlns:mc="http://schemas.openxmlformats.org/markup-compatibility/2006">
      <mc:Choice Requires="x14">
        <control shapeId="1353" r:id="rId60" name="ddB6FrameMake">
          <controlPr autoLine="0" listFillRange="frameMakeList" r:id="rId21">
            <anchor moveWithCells="1">
              <from>
                <xdr:col>10</xdr:col>
                <xdr:colOff>19050</xdr:colOff>
                <xdr:row>35</xdr:row>
                <xdr:rowOff>28575</xdr:rowOff>
              </from>
              <to>
                <xdr:col>10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53" r:id="rId60" name="ddB6FrameMake"/>
      </mc:Fallback>
    </mc:AlternateContent>
    <mc:AlternateContent xmlns:mc="http://schemas.openxmlformats.org/markup-compatibility/2006">
      <mc:Choice Requires="x14">
        <control shapeId="1352" r:id="rId61" name="ddB6FrameModel">
          <controlPr autoLine="0" listFillRange="frameModelList" r:id="rId23">
            <anchor moveWithCells="1">
              <from>
                <xdr:col>10</xdr:col>
                <xdr:colOff>19050</xdr:colOff>
                <xdr:row>36</xdr:row>
                <xdr:rowOff>9525</xdr:rowOff>
              </from>
              <to>
                <xdr:col>10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52" r:id="rId61" name="ddB6FrameModel"/>
      </mc:Fallback>
    </mc:AlternateContent>
    <mc:AlternateContent xmlns:mc="http://schemas.openxmlformats.org/markup-compatibility/2006">
      <mc:Choice Requires="x14">
        <control shapeId="1351" r:id="rId62" name="ddB6EngineMake">
          <controlPr autoLine="0" listFillRange="engineMakeList" r:id="rId25">
            <anchor moveWithCells="1">
              <from>
                <xdr:col>7</xdr:col>
                <xdr:colOff>0</xdr:colOff>
                <xdr:row>35</xdr:row>
                <xdr:rowOff>28575</xdr:rowOff>
              </from>
              <to>
                <xdr:col>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51" r:id="rId62" name="ddB6EngineMake"/>
      </mc:Fallback>
    </mc:AlternateContent>
    <mc:AlternateContent xmlns:mc="http://schemas.openxmlformats.org/markup-compatibility/2006">
      <mc:Choice Requires="x14">
        <control shapeId="1350" r:id="rId63" name="ddB6EngineModels">
          <controlPr autoLine="0" listFillRange="engineModelsList" r:id="rId25">
            <anchor moveWithCells="1">
              <from>
                <xdr:col>7</xdr:col>
                <xdr:colOff>0</xdr:colOff>
                <xdr:row>36</xdr:row>
                <xdr:rowOff>19050</xdr:rowOff>
              </from>
              <to>
                <xdr:col>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50" r:id="rId63" name="ddB6EngineModels"/>
      </mc:Fallback>
    </mc:AlternateContent>
    <mc:AlternateContent xmlns:mc="http://schemas.openxmlformats.org/markup-compatibility/2006">
      <mc:Choice Requires="x14">
        <control shapeId="1349" r:id="rId64" name="ddB6Customer">
          <controlPr autoLine="0" listFillRange="customerList" r:id="rId21">
            <anchor moveWithCells="1">
              <from>
                <xdr:col>10</xdr:col>
                <xdr:colOff>19050</xdr:colOff>
                <xdr:row>25</xdr:row>
                <xdr:rowOff>19050</xdr:rowOff>
              </from>
              <to>
                <xdr:col>10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49" r:id="rId64" name="ddB6Customer"/>
      </mc:Fallback>
    </mc:AlternateContent>
    <mc:AlternateContent xmlns:mc="http://schemas.openxmlformats.org/markup-compatibility/2006">
      <mc:Choice Requires="x14">
        <control shapeId="1348" r:id="rId65" name="ddB6PartType">
          <controlPr autoLine="0" listFillRange="partTypesList" r:id="rId29">
            <anchor moveWithCells="1">
              <from>
                <xdr:col>6</xdr:col>
                <xdr:colOff>619125</xdr:colOff>
                <xdr:row>32</xdr:row>
                <xdr:rowOff>19050</xdr:rowOff>
              </from>
              <to>
                <xdr:col>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48" r:id="rId65" name="ddB6PartType"/>
      </mc:Fallback>
    </mc:AlternateContent>
    <mc:AlternateContent xmlns:mc="http://schemas.openxmlformats.org/markup-compatibility/2006">
      <mc:Choice Requires="x14">
        <control shapeId="1347" r:id="rId66" name="ddB6PartsProvider">
          <controlPr autoLine="0" listFillRange="partsProvidersList" r:id="rId29">
            <anchor moveWithCells="1">
              <from>
                <xdr:col>6</xdr:col>
                <xdr:colOff>619125</xdr:colOff>
                <xdr:row>31</xdr:row>
                <xdr:rowOff>19050</xdr:rowOff>
              </from>
              <to>
                <xdr:col>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47" r:id="rId66" name="ddB6PartsProvider"/>
      </mc:Fallback>
    </mc:AlternateContent>
    <mc:AlternateContent xmlns:mc="http://schemas.openxmlformats.org/markup-compatibility/2006">
      <mc:Choice Requires="x14">
        <control shapeId="1346" r:id="rId67" name="cbB6Task5">
          <controlPr autoLine="0" r:id="rId32">
            <anchor moveWithCells="1">
              <from>
                <xdr:col>9</xdr:col>
                <xdr:colOff>19050</xdr:colOff>
                <xdr:row>31</xdr:row>
                <xdr:rowOff>180975</xdr:rowOff>
              </from>
              <to>
                <xdr:col>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46" r:id="rId67" name="cbB6Task5"/>
      </mc:Fallback>
    </mc:AlternateContent>
    <mc:AlternateContent xmlns:mc="http://schemas.openxmlformats.org/markup-compatibility/2006">
      <mc:Choice Requires="x14">
        <control shapeId="1345" r:id="rId68" name="ddB6Task5">
          <controlPr defaultSize="0" autoLine="0" listFillRange="taskList" r:id="rId34">
            <anchor moveWithCells="1">
              <from>
                <xdr:col>9</xdr:col>
                <xdr:colOff>228600</xdr:colOff>
                <xdr:row>31</xdr:row>
                <xdr:rowOff>161925</xdr:rowOff>
              </from>
              <to>
                <xdr:col>10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45" r:id="rId68" name="ddB6Task5"/>
      </mc:Fallback>
    </mc:AlternateContent>
    <mc:AlternateContent xmlns:mc="http://schemas.openxmlformats.org/markup-compatibility/2006">
      <mc:Choice Requires="x14">
        <control shapeId="1344" r:id="rId69" name="cbB6Task4">
          <controlPr autoLine="0" r:id="rId32">
            <anchor moveWithCells="1">
              <from>
                <xdr:col>9</xdr:col>
                <xdr:colOff>19050</xdr:colOff>
                <xdr:row>30</xdr:row>
                <xdr:rowOff>152400</xdr:rowOff>
              </from>
              <to>
                <xdr:col>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44" r:id="rId69" name="cbB6Task4"/>
      </mc:Fallback>
    </mc:AlternateContent>
    <mc:AlternateContent xmlns:mc="http://schemas.openxmlformats.org/markup-compatibility/2006">
      <mc:Choice Requires="x14">
        <control shapeId="1343" r:id="rId70" name="ddB6Task4">
          <controlPr defaultSize="0" autoLine="0" listFillRange="taskList" r:id="rId34">
            <anchor moveWithCells="1">
              <from>
                <xdr:col>9</xdr:col>
                <xdr:colOff>228600</xdr:colOff>
                <xdr:row>30</xdr:row>
                <xdr:rowOff>133350</xdr:rowOff>
              </from>
              <to>
                <xdr:col>10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43" r:id="rId70" name="ddB6Task4"/>
      </mc:Fallback>
    </mc:AlternateContent>
    <mc:AlternateContent xmlns:mc="http://schemas.openxmlformats.org/markup-compatibility/2006">
      <mc:Choice Requires="x14">
        <control shapeId="1342" r:id="rId71" name="cbB6Task3">
          <controlPr autoLine="0" r:id="rId32">
            <anchor moveWithCells="1">
              <from>
                <xdr:col>9</xdr:col>
                <xdr:colOff>19050</xdr:colOff>
                <xdr:row>29</xdr:row>
                <xdr:rowOff>123825</xdr:rowOff>
              </from>
              <to>
                <xdr:col>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42" r:id="rId71" name="cbB6Task3"/>
      </mc:Fallback>
    </mc:AlternateContent>
    <mc:AlternateContent xmlns:mc="http://schemas.openxmlformats.org/markup-compatibility/2006">
      <mc:Choice Requires="x14">
        <control shapeId="1341" r:id="rId72" name="ddB6Task3">
          <controlPr defaultSize="0" autoLine="0" listFillRange="taskList" r:id="rId34">
            <anchor moveWithCells="1">
              <from>
                <xdr:col>9</xdr:col>
                <xdr:colOff>228600</xdr:colOff>
                <xdr:row>29</xdr:row>
                <xdr:rowOff>104775</xdr:rowOff>
              </from>
              <to>
                <xdr:col>10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41" r:id="rId72" name="ddB6Task3"/>
      </mc:Fallback>
    </mc:AlternateContent>
    <mc:AlternateContent xmlns:mc="http://schemas.openxmlformats.org/markup-compatibility/2006">
      <mc:Choice Requires="x14">
        <control shapeId="1340" r:id="rId73" name="cbB6Task2">
          <controlPr autoLine="0" r:id="rId32">
            <anchor moveWithCells="1">
              <from>
                <xdr:col>9</xdr:col>
                <xdr:colOff>19050</xdr:colOff>
                <xdr:row>28</xdr:row>
                <xdr:rowOff>85725</xdr:rowOff>
              </from>
              <to>
                <xdr:col>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40" r:id="rId73" name="cbB6Task2"/>
      </mc:Fallback>
    </mc:AlternateContent>
    <mc:AlternateContent xmlns:mc="http://schemas.openxmlformats.org/markup-compatibility/2006">
      <mc:Choice Requires="x14">
        <control shapeId="1339" r:id="rId74" name="ddB6Task2">
          <controlPr defaultSize="0" autoLine="0" listFillRange="taskList" r:id="rId34">
            <anchor moveWithCells="1">
              <from>
                <xdr:col>9</xdr:col>
                <xdr:colOff>228600</xdr:colOff>
                <xdr:row>28</xdr:row>
                <xdr:rowOff>66675</xdr:rowOff>
              </from>
              <to>
                <xdr:col>10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39" r:id="rId74" name="ddB6Task2"/>
      </mc:Fallback>
    </mc:AlternateContent>
    <mc:AlternateContent xmlns:mc="http://schemas.openxmlformats.org/markup-compatibility/2006">
      <mc:Choice Requires="x14">
        <control shapeId="1338" r:id="rId75" name="cbB6Task1">
          <controlPr autoLine="0" autoPict="0" r:id="rId32">
            <anchor moveWithCells="1">
              <from>
                <xdr:col>9</xdr:col>
                <xdr:colOff>19050</xdr:colOff>
                <xdr:row>27</xdr:row>
                <xdr:rowOff>47625</xdr:rowOff>
              </from>
              <to>
                <xdr:col>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38" r:id="rId75" name="cbB6Task1"/>
      </mc:Fallback>
    </mc:AlternateContent>
    <mc:AlternateContent xmlns:mc="http://schemas.openxmlformats.org/markup-compatibility/2006">
      <mc:Choice Requires="x14">
        <control shapeId="1337" r:id="rId76" name="ddB6Task1">
          <controlPr defaultSize="0" autoLine="0" autoPict="0" listFillRange="taskList" r:id="rId34">
            <anchor moveWithCells="1">
              <from>
                <xdr:col>9</xdr:col>
                <xdr:colOff>228600</xdr:colOff>
                <xdr:row>27</xdr:row>
                <xdr:rowOff>28575</xdr:rowOff>
              </from>
              <to>
                <xdr:col>10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37" r:id="rId76" name="ddB6Task1"/>
      </mc:Fallback>
    </mc:AlternateContent>
    <mc:AlternateContent xmlns:mc="http://schemas.openxmlformats.org/markup-compatibility/2006">
      <mc:Choice Requires="x14">
        <control shapeId="1336" r:id="rId77" name="ComboBox120">
          <controlPr autoLine="0" listFillRange="frameMakeList" r:id="rId21">
            <anchor moveWithCells="1">
              <from>
                <xdr:col>20</xdr:col>
                <xdr:colOff>19050</xdr:colOff>
                <xdr:row>35</xdr:row>
                <xdr:rowOff>28575</xdr:rowOff>
              </from>
              <to>
                <xdr:col>20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36" r:id="rId77" name="ComboBox120"/>
      </mc:Fallback>
    </mc:AlternateContent>
    <mc:AlternateContent xmlns:mc="http://schemas.openxmlformats.org/markup-compatibility/2006">
      <mc:Choice Requires="x14">
        <control shapeId="1335" r:id="rId78" name="ComboBox119">
          <controlPr autoLine="0" listFillRange="frameModelList" r:id="rId23">
            <anchor moveWithCells="1">
              <from>
                <xdr:col>20</xdr:col>
                <xdr:colOff>19050</xdr:colOff>
                <xdr:row>36</xdr:row>
                <xdr:rowOff>9525</xdr:rowOff>
              </from>
              <to>
                <xdr:col>20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35" r:id="rId78" name="ComboBox119"/>
      </mc:Fallback>
    </mc:AlternateContent>
    <mc:AlternateContent xmlns:mc="http://schemas.openxmlformats.org/markup-compatibility/2006">
      <mc:Choice Requires="x14">
        <control shapeId="1334" r:id="rId79" name="ComboBox118">
          <controlPr autoLine="0" listFillRange="engineMakeList" r:id="rId25">
            <anchor moveWithCells="1">
              <from>
                <xdr:col>17</xdr:col>
                <xdr:colOff>0</xdr:colOff>
                <xdr:row>35</xdr:row>
                <xdr:rowOff>28575</xdr:rowOff>
              </from>
              <to>
                <xdr:col>18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34" r:id="rId79" name="ComboBox118"/>
      </mc:Fallback>
    </mc:AlternateContent>
    <mc:AlternateContent xmlns:mc="http://schemas.openxmlformats.org/markup-compatibility/2006">
      <mc:Choice Requires="x14">
        <control shapeId="1333" r:id="rId80" name="ComboBox117">
          <controlPr autoLine="0" listFillRange="engineModelsList" r:id="rId25">
            <anchor moveWithCells="1">
              <from>
                <xdr:col>17</xdr:col>
                <xdr:colOff>0</xdr:colOff>
                <xdr:row>36</xdr:row>
                <xdr:rowOff>19050</xdr:rowOff>
              </from>
              <to>
                <xdr:col>18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33" r:id="rId80" name="ComboBox117"/>
      </mc:Fallback>
    </mc:AlternateContent>
    <mc:AlternateContent xmlns:mc="http://schemas.openxmlformats.org/markup-compatibility/2006">
      <mc:Choice Requires="x14">
        <control shapeId="1332" r:id="rId81" name="ComboBox116">
          <controlPr autoLine="0" listFillRange="customerList" r:id="rId21">
            <anchor moveWithCells="1">
              <from>
                <xdr:col>20</xdr:col>
                <xdr:colOff>19050</xdr:colOff>
                <xdr:row>25</xdr:row>
                <xdr:rowOff>19050</xdr:rowOff>
              </from>
              <to>
                <xdr:col>20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32" r:id="rId81" name="ComboBox116"/>
      </mc:Fallback>
    </mc:AlternateContent>
    <mc:AlternateContent xmlns:mc="http://schemas.openxmlformats.org/markup-compatibility/2006">
      <mc:Choice Requires="x14">
        <control shapeId="1331" r:id="rId82" name="ComboBox115">
          <controlPr autoLine="0" listFillRange="partTypesList" r:id="rId29">
            <anchor moveWithCells="1">
              <from>
                <xdr:col>16</xdr:col>
                <xdr:colOff>619125</xdr:colOff>
                <xdr:row>32</xdr:row>
                <xdr:rowOff>19050</xdr:rowOff>
              </from>
              <to>
                <xdr:col>18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331" r:id="rId82" name="ComboBox115"/>
      </mc:Fallback>
    </mc:AlternateContent>
    <mc:AlternateContent xmlns:mc="http://schemas.openxmlformats.org/markup-compatibility/2006">
      <mc:Choice Requires="x14">
        <control shapeId="1330" r:id="rId83" name="ComboBox114">
          <controlPr autoLine="0" listFillRange="partsProvidersList" r:id="rId29">
            <anchor moveWithCells="1">
              <from>
                <xdr:col>16</xdr:col>
                <xdr:colOff>619125</xdr:colOff>
                <xdr:row>31</xdr:row>
                <xdr:rowOff>19050</xdr:rowOff>
              </from>
              <to>
                <xdr:col>18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330" r:id="rId83" name="ComboBox114"/>
      </mc:Fallback>
    </mc:AlternateContent>
    <mc:AlternateContent xmlns:mc="http://schemas.openxmlformats.org/markup-compatibility/2006">
      <mc:Choice Requires="x14">
        <control shapeId="1329" r:id="rId84" name="CheckBox50">
          <controlPr autoLine="0" r:id="rId32">
            <anchor moveWithCells="1">
              <from>
                <xdr:col>19</xdr:col>
                <xdr:colOff>19050</xdr:colOff>
                <xdr:row>31</xdr:row>
                <xdr:rowOff>180975</xdr:rowOff>
              </from>
              <to>
                <xdr:col>19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29" r:id="rId84" name="CheckBox50"/>
      </mc:Fallback>
    </mc:AlternateContent>
    <mc:AlternateContent xmlns:mc="http://schemas.openxmlformats.org/markup-compatibility/2006">
      <mc:Choice Requires="x14">
        <control shapeId="1328" r:id="rId85" name="ComboBox113">
          <controlPr defaultSize="0" autoLine="0" listFillRange="taskList" r:id="rId34">
            <anchor moveWithCells="1">
              <from>
                <xdr:col>19</xdr:col>
                <xdr:colOff>228600</xdr:colOff>
                <xdr:row>31</xdr:row>
                <xdr:rowOff>161925</xdr:rowOff>
              </from>
              <to>
                <xdr:col>20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28" r:id="rId85" name="ComboBox113"/>
      </mc:Fallback>
    </mc:AlternateContent>
    <mc:AlternateContent xmlns:mc="http://schemas.openxmlformats.org/markup-compatibility/2006">
      <mc:Choice Requires="x14">
        <control shapeId="1327" r:id="rId86" name="CheckBox49">
          <controlPr autoLine="0" r:id="rId32">
            <anchor moveWithCells="1">
              <from>
                <xdr:col>19</xdr:col>
                <xdr:colOff>19050</xdr:colOff>
                <xdr:row>30</xdr:row>
                <xdr:rowOff>152400</xdr:rowOff>
              </from>
              <to>
                <xdr:col>19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27" r:id="rId86" name="CheckBox49"/>
      </mc:Fallback>
    </mc:AlternateContent>
    <mc:AlternateContent xmlns:mc="http://schemas.openxmlformats.org/markup-compatibility/2006">
      <mc:Choice Requires="x14">
        <control shapeId="1326" r:id="rId87" name="ComboBox112">
          <controlPr defaultSize="0" autoLine="0" listFillRange="taskList" r:id="rId88">
            <anchor moveWithCells="1">
              <from>
                <xdr:col>19</xdr:col>
                <xdr:colOff>228600</xdr:colOff>
                <xdr:row>30</xdr:row>
                <xdr:rowOff>133350</xdr:rowOff>
              </from>
              <to>
                <xdr:col>20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26" r:id="rId87" name="ComboBox112"/>
      </mc:Fallback>
    </mc:AlternateContent>
    <mc:AlternateContent xmlns:mc="http://schemas.openxmlformats.org/markup-compatibility/2006">
      <mc:Choice Requires="x14">
        <control shapeId="1325" r:id="rId89" name="CheckBox48">
          <controlPr autoLine="0" r:id="rId90">
            <anchor moveWithCells="1">
              <from>
                <xdr:col>19</xdr:col>
                <xdr:colOff>19050</xdr:colOff>
                <xdr:row>29</xdr:row>
                <xdr:rowOff>123825</xdr:rowOff>
              </from>
              <to>
                <xdr:col>19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25" r:id="rId89" name="CheckBox48"/>
      </mc:Fallback>
    </mc:AlternateContent>
    <mc:AlternateContent xmlns:mc="http://schemas.openxmlformats.org/markup-compatibility/2006">
      <mc:Choice Requires="x14">
        <control shapeId="1324" r:id="rId91" name="ComboBox111">
          <controlPr defaultSize="0" autoLine="0" listFillRange="taskList" r:id="rId92">
            <anchor moveWithCells="1">
              <from>
                <xdr:col>19</xdr:col>
                <xdr:colOff>228600</xdr:colOff>
                <xdr:row>29</xdr:row>
                <xdr:rowOff>104775</xdr:rowOff>
              </from>
              <to>
                <xdr:col>20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24" r:id="rId91" name="ComboBox111"/>
      </mc:Fallback>
    </mc:AlternateContent>
    <mc:AlternateContent xmlns:mc="http://schemas.openxmlformats.org/markup-compatibility/2006">
      <mc:Choice Requires="x14">
        <control shapeId="1323" r:id="rId93" name="CheckBox47">
          <controlPr autoLine="0" r:id="rId32">
            <anchor moveWithCells="1">
              <from>
                <xdr:col>19</xdr:col>
                <xdr:colOff>19050</xdr:colOff>
                <xdr:row>28</xdr:row>
                <xdr:rowOff>85725</xdr:rowOff>
              </from>
              <to>
                <xdr:col>19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23" r:id="rId93" name="CheckBox47"/>
      </mc:Fallback>
    </mc:AlternateContent>
    <mc:AlternateContent xmlns:mc="http://schemas.openxmlformats.org/markup-compatibility/2006">
      <mc:Choice Requires="x14">
        <control shapeId="1322" r:id="rId94" name="ComboBox110">
          <controlPr defaultSize="0" autoLine="0" listFillRange="taskList" r:id="rId95">
            <anchor moveWithCells="1">
              <from>
                <xdr:col>19</xdr:col>
                <xdr:colOff>228600</xdr:colOff>
                <xdr:row>28</xdr:row>
                <xdr:rowOff>66675</xdr:rowOff>
              </from>
              <to>
                <xdr:col>20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22" r:id="rId94" name="ComboBox110"/>
      </mc:Fallback>
    </mc:AlternateContent>
    <mc:AlternateContent xmlns:mc="http://schemas.openxmlformats.org/markup-compatibility/2006">
      <mc:Choice Requires="x14">
        <control shapeId="1321" r:id="rId96" name="CheckBox46">
          <controlPr autoLine="0" autoPict="0" r:id="rId90">
            <anchor moveWithCells="1">
              <from>
                <xdr:col>19</xdr:col>
                <xdr:colOff>19050</xdr:colOff>
                <xdr:row>27</xdr:row>
                <xdr:rowOff>47625</xdr:rowOff>
              </from>
              <to>
                <xdr:col>19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21" r:id="rId96" name="CheckBox46"/>
      </mc:Fallback>
    </mc:AlternateContent>
    <mc:AlternateContent xmlns:mc="http://schemas.openxmlformats.org/markup-compatibility/2006">
      <mc:Choice Requires="x14">
        <control shapeId="1320" r:id="rId97" name="ComboBox109">
          <controlPr defaultSize="0" autoLine="0" autoPict="0" listFillRange="taskList" r:id="rId98">
            <anchor moveWithCells="1">
              <from>
                <xdr:col>19</xdr:col>
                <xdr:colOff>228600</xdr:colOff>
                <xdr:row>27</xdr:row>
                <xdr:rowOff>28575</xdr:rowOff>
              </from>
              <to>
                <xdr:col>20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20" r:id="rId97" name="ComboBox109"/>
      </mc:Fallback>
    </mc:AlternateContent>
    <mc:AlternateContent xmlns:mc="http://schemas.openxmlformats.org/markup-compatibility/2006">
      <mc:Choice Requires="x14">
        <control shapeId="1319" r:id="rId99" name="ComboBox108">
          <controlPr autoLine="0" listFillRange="frameMakeList" r:id="rId21">
            <anchor moveWithCells="1">
              <from>
                <xdr:col>15</xdr:col>
                <xdr:colOff>19050</xdr:colOff>
                <xdr:row>35</xdr:row>
                <xdr:rowOff>28575</xdr:rowOff>
              </from>
              <to>
                <xdr:col>15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19" r:id="rId99" name="ComboBox108"/>
      </mc:Fallback>
    </mc:AlternateContent>
    <mc:AlternateContent xmlns:mc="http://schemas.openxmlformats.org/markup-compatibility/2006">
      <mc:Choice Requires="x14">
        <control shapeId="1318" r:id="rId100" name="ComboBox107">
          <controlPr autoLine="0" listFillRange="frameModelList" r:id="rId23">
            <anchor moveWithCells="1">
              <from>
                <xdr:col>15</xdr:col>
                <xdr:colOff>19050</xdr:colOff>
                <xdr:row>36</xdr:row>
                <xdr:rowOff>9525</xdr:rowOff>
              </from>
              <to>
                <xdr:col>15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18" r:id="rId100" name="ComboBox107"/>
      </mc:Fallback>
    </mc:AlternateContent>
    <mc:AlternateContent xmlns:mc="http://schemas.openxmlformats.org/markup-compatibility/2006">
      <mc:Choice Requires="x14">
        <control shapeId="1317" r:id="rId101" name="ComboBox106">
          <controlPr autoLine="0" listFillRange="engineMakeList" r:id="rId25">
            <anchor moveWithCells="1">
              <from>
                <xdr:col>12</xdr:col>
                <xdr:colOff>0</xdr:colOff>
                <xdr:row>35</xdr:row>
                <xdr:rowOff>28575</xdr:rowOff>
              </from>
              <to>
                <xdr:col>13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17" r:id="rId101" name="ComboBox106"/>
      </mc:Fallback>
    </mc:AlternateContent>
    <mc:AlternateContent xmlns:mc="http://schemas.openxmlformats.org/markup-compatibility/2006">
      <mc:Choice Requires="x14">
        <control shapeId="1316" r:id="rId102" name="ComboBox105">
          <controlPr autoLine="0" listFillRange="engineModelsList" r:id="rId25">
            <anchor moveWithCells="1">
              <from>
                <xdr:col>12</xdr:col>
                <xdr:colOff>0</xdr:colOff>
                <xdr:row>36</xdr:row>
                <xdr:rowOff>19050</xdr:rowOff>
              </from>
              <to>
                <xdr:col>13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316" r:id="rId102" name="ComboBox105"/>
      </mc:Fallback>
    </mc:AlternateContent>
    <mc:AlternateContent xmlns:mc="http://schemas.openxmlformats.org/markup-compatibility/2006">
      <mc:Choice Requires="x14">
        <control shapeId="1315" r:id="rId103" name="ComboBox104">
          <controlPr autoLine="0" listFillRange="customerList" r:id="rId21">
            <anchor moveWithCells="1">
              <from>
                <xdr:col>15</xdr:col>
                <xdr:colOff>19050</xdr:colOff>
                <xdr:row>25</xdr:row>
                <xdr:rowOff>19050</xdr:rowOff>
              </from>
              <to>
                <xdr:col>15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315" r:id="rId103" name="ComboBox104"/>
      </mc:Fallback>
    </mc:AlternateContent>
    <mc:AlternateContent xmlns:mc="http://schemas.openxmlformats.org/markup-compatibility/2006">
      <mc:Choice Requires="x14">
        <control shapeId="1312" r:id="rId104" name="CheckBox45">
          <controlPr autoLine="0" r:id="rId32">
            <anchor moveWithCells="1">
              <from>
                <xdr:col>14</xdr:col>
                <xdr:colOff>19050</xdr:colOff>
                <xdr:row>31</xdr:row>
                <xdr:rowOff>180975</xdr:rowOff>
              </from>
              <to>
                <xdr:col>14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312" r:id="rId104" name="CheckBox45"/>
      </mc:Fallback>
    </mc:AlternateContent>
    <mc:AlternateContent xmlns:mc="http://schemas.openxmlformats.org/markup-compatibility/2006">
      <mc:Choice Requires="x14">
        <control shapeId="1311" r:id="rId105" name="ComboBox101">
          <controlPr defaultSize="0" autoLine="0" listFillRange="taskList" r:id="rId34">
            <anchor moveWithCells="1">
              <from>
                <xdr:col>14</xdr:col>
                <xdr:colOff>228600</xdr:colOff>
                <xdr:row>31</xdr:row>
                <xdr:rowOff>161925</xdr:rowOff>
              </from>
              <to>
                <xdr:col>15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311" r:id="rId105" name="ComboBox101"/>
      </mc:Fallback>
    </mc:AlternateContent>
    <mc:AlternateContent xmlns:mc="http://schemas.openxmlformats.org/markup-compatibility/2006">
      <mc:Choice Requires="x14">
        <control shapeId="1310" r:id="rId106" name="CheckBox44">
          <controlPr autoLine="0" r:id="rId32">
            <anchor moveWithCells="1">
              <from>
                <xdr:col>14</xdr:col>
                <xdr:colOff>19050</xdr:colOff>
                <xdr:row>30</xdr:row>
                <xdr:rowOff>152400</xdr:rowOff>
              </from>
              <to>
                <xdr:col>14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310" r:id="rId106" name="CheckBox44"/>
      </mc:Fallback>
    </mc:AlternateContent>
    <mc:AlternateContent xmlns:mc="http://schemas.openxmlformats.org/markup-compatibility/2006">
      <mc:Choice Requires="x14">
        <control shapeId="1309" r:id="rId107" name="ComboBox100">
          <controlPr defaultSize="0" autoLine="0" listFillRange="taskList" r:id="rId108">
            <anchor moveWithCells="1">
              <from>
                <xdr:col>14</xdr:col>
                <xdr:colOff>228600</xdr:colOff>
                <xdr:row>30</xdr:row>
                <xdr:rowOff>133350</xdr:rowOff>
              </from>
              <to>
                <xdr:col>15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309" r:id="rId107" name="ComboBox100"/>
      </mc:Fallback>
    </mc:AlternateContent>
    <mc:AlternateContent xmlns:mc="http://schemas.openxmlformats.org/markup-compatibility/2006">
      <mc:Choice Requires="x14">
        <control shapeId="1308" r:id="rId109" name="CheckBox43">
          <controlPr autoLine="0" r:id="rId90">
            <anchor moveWithCells="1">
              <from>
                <xdr:col>14</xdr:col>
                <xdr:colOff>19050</xdr:colOff>
                <xdr:row>29</xdr:row>
                <xdr:rowOff>123825</xdr:rowOff>
              </from>
              <to>
                <xdr:col>14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308" r:id="rId109" name="CheckBox43"/>
      </mc:Fallback>
    </mc:AlternateContent>
    <mc:AlternateContent xmlns:mc="http://schemas.openxmlformats.org/markup-compatibility/2006">
      <mc:Choice Requires="x14">
        <control shapeId="1307" r:id="rId110" name="ComboBox99">
          <controlPr defaultSize="0" autoLine="0" listFillRange="taskList" r:id="rId111">
            <anchor moveWithCells="1">
              <from>
                <xdr:col>14</xdr:col>
                <xdr:colOff>228600</xdr:colOff>
                <xdr:row>29</xdr:row>
                <xdr:rowOff>104775</xdr:rowOff>
              </from>
              <to>
                <xdr:col>15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307" r:id="rId110" name="ComboBox99"/>
      </mc:Fallback>
    </mc:AlternateContent>
    <mc:AlternateContent xmlns:mc="http://schemas.openxmlformats.org/markup-compatibility/2006">
      <mc:Choice Requires="x14">
        <control shapeId="1306" r:id="rId112" name="CheckBox42">
          <controlPr autoLine="0" r:id="rId32">
            <anchor moveWithCells="1">
              <from>
                <xdr:col>14</xdr:col>
                <xdr:colOff>19050</xdr:colOff>
                <xdr:row>28</xdr:row>
                <xdr:rowOff>85725</xdr:rowOff>
              </from>
              <to>
                <xdr:col>14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306" r:id="rId112" name="CheckBox42"/>
      </mc:Fallback>
    </mc:AlternateContent>
    <mc:AlternateContent xmlns:mc="http://schemas.openxmlformats.org/markup-compatibility/2006">
      <mc:Choice Requires="x14">
        <control shapeId="1305" r:id="rId113" name="ComboBox98">
          <controlPr defaultSize="0" autoLine="0" listFillRange="taskList" r:id="rId114">
            <anchor moveWithCells="1">
              <from>
                <xdr:col>14</xdr:col>
                <xdr:colOff>228600</xdr:colOff>
                <xdr:row>28</xdr:row>
                <xdr:rowOff>66675</xdr:rowOff>
              </from>
              <to>
                <xdr:col>15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305" r:id="rId113" name="ComboBox98"/>
      </mc:Fallback>
    </mc:AlternateContent>
    <mc:AlternateContent xmlns:mc="http://schemas.openxmlformats.org/markup-compatibility/2006">
      <mc:Choice Requires="x14">
        <control shapeId="1304" r:id="rId115" name="CheckBox41">
          <controlPr autoLine="0" autoPict="0" r:id="rId90">
            <anchor moveWithCells="1">
              <from>
                <xdr:col>14</xdr:col>
                <xdr:colOff>19050</xdr:colOff>
                <xdr:row>27</xdr:row>
                <xdr:rowOff>47625</xdr:rowOff>
              </from>
              <to>
                <xdr:col>14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304" r:id="rId115" name="CheckBox41"/>
      </mc:Fallback>
    </mc:AlternateContent>
    <mc:AlternateContent xmlns:mc="http://schemas.openxmlformats.org/markup-compatibility/2006">
      <mc:Choice Requires="x14">
        <control shapeId="1303" r:id="rId116" name="ComboBox97">
          <controlPr defaultSize="0" autoLine="0" autoPict="0" listFillRange="taskList" r:id="rId117">
            <anchor moveWithCells="1">
              <from>
                <xdr:col>14</xdr:col>
                <xdr:colOff>228600</xdr:colOff>
                <xdr:row>27</xdr:row>
                <xdr:rowOff>28575</xdr:rowOff>
              </from>
              <to>
                <xdr:col>15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303" r:id="rId116" name="ComboBox97"/>
      </mc:Fallback>
    </mc:AlternateContent>
    <mc:AlternateContent xmlns:mc="http://schemas.openxmlformats.org/markup-compatibility/2006">
      <mc:Choice Requires="x14">
        <control shapeId="1302" r:id="rId118" name="ComboBox96">
          <controlPr autoLine="0" listFillRange="frameMakeList" r:id="rId21">
            <anchor moveWithCells="1">
              <from>
                <xdr:col>10</xdr:col>
                <xdr:colOff>19050</xdr:colOff>
                <xdr:row>35</xdr:row>
                <xdr:rowOff>28575</xdr:rowOff>
              </from>
              <to>
                <xdr:col>10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302" r:id="rId118" name="ComboBox96"/>
      </mc:Fallback>
    </mc:AlternateContent>
    <mc:AlternateContent xmlns:mc="http://schemas.openxmlformats.org/markup-compatibility/2006">
      <mc:Choice Requires="x14">
        <control shapeId="1301" r:id="rId119" name="ComboBox95">
          <controlPr autoLine="0" listFillRange="frameModelList" r:id="rId23">
            <anchor moveWithCells="1">
              <from>
                <xdr:col>10</xdr:col>
                <xdr:colOff>19050</xdr:colOff>
                <xdr:row>36</xdr:row>
                <xdr:rowOff>9525</xdr:rowOff>
              </from>
              <to>
                <xdr:col>10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301" r:id="rId119" name="ComboBox95"/>
      </mc:Fallback>
    </mc:AlternateContent>
    <mc:AlternateContent xmlns:mc="http://schemas.openxmlformats.org/markup-compatibility/2006">
      <mc:Choice Requires="x14">
        <control shapeId="1300" r:id="rId120" name="ComboBox94">
          <controlPr autoLine="0" listFillRange="engineMakeList" r:id="rId25">
            <anchor moveWithCells="1">
              <from>
                <xdr:col>7</xdr:col>
                <xdr:colOff>0</xdr:colOff>
                <xdr:row>35</xdr:row>
                <xdr:rowOff>28575</xdr:rowOff>
              </from>
              <to>
                <xdr:col>8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300" r:id="rId120" name="ComboBox94"/>
      </mc:Fallback>
    </mc:AlternateContent>
    <mc:AlternateContent xmlns:mc="http://schemas.openxmlformats.org/markup-compatibility/2006">
      <mc:Choice Requires="x14">
        <control shapeId="1299" r:id="rId121" name="ComboBox93">
          <controlPr autoLine="0" listFillRange="engineModelsList" r:id="rId25">
            <anchor moveWithCells="1">
              <from>
                <xdr:col>7</xdr:col>
                <xdr:colOff>0</xdr:colOff>
                <xdr:row>36</xdr:row>
                <xdr:rowOff>19050</xdr:rowOff>
              </from>
              <to>
                <xdr:col>8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299" r:id="rId121" name="ComboBox93"/>
      </mc:Fallback>
    </mc:AlternateContent>
    <mc:AlternateContent xmlns:mc="http://schemas.openxmlformats.org/markup-compatibility/2006">
      <mc:Choice Requires="x14">
        <control shapeId="1298" r:id="rId122" name="ComboBox92">
          <controlPr autoLine="0" listFillRange="customerList" r:id="rId21">
            <anchor moveWithCells="1">
              <from>
                <xdr:col>10</xdr:col>
                <xdr:colOff>19050</xdr:colOff>
                <xdr:row>25</xdr:row>
                <xdr:rowOff>19050</xdr:rowOff>
              </from>
              <to>
                <xdr:col>10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298" r:id="rId122" name="ComboBox92"/>
      </mc:Fallback>
    </mc:AlternateContent>
    <mc:AlternateContent xmlns:mc="http://schemas.openxmlformats.org/markup-compatibility/2006">
      <mc:Choice Requires="x14">
        <control shapeId="1297" r:id="rId123" name="ComboBox91">
          <controlPr autoLine="0" listFillRange="partTypesList" r:id="rId29">
            <anchor moveWithCells="1">
              <from>
                <xdr:col>6</xdr:col>
                <xdr:colOff>619125</xdr:colOff>
                <xdr:row>32</xdr:row>
                <xdr:rowOff>19050</xdr:rowOff>
              </from>
              <to>
                <xdr:col>8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297" r:id="rId123" name="ComboBox91"/>
      </mc:Fallback>
    </mc:AlternateContent>
    <mc:AlternateContent xmlns:mc="http://schemas.openxmlformats.org/markup-compatibility/2006">
      <mc:Choice Requires="x14">
        <control shapeId="1296" r:id="rId124" name="ComboBox90">
          <controlPr autoLine="0" listFillRange="partsProvidersList" r:id="rId29">
            <anchor moveWithCells="1">
              <from>
                <xdr:col>6</xdr:col>
                <xdr:colOff>619125</xdr:colOff>
                <xdr:row>31</xdr:row>
                <xdr:rowOff>19050</xdr:rowOff>
              </from>
              <to>
                <xdr:col>8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296" r:id="rId124" name="ComboBox90"/>
      </mc:Fallback>
    </mc:AlternateContent>
    <mc:AlternateContent xmlns:mc="http://schemas.openxmlformats.org/markup-compatibility/2006">
      <mc:Choice Requires="x14">
        <control shapeId="1295" r:id="rId125" name="CheckBox40">
          <controlPr autoLine="0" r:id="rId32">
            <anchor moveWithCells="1">
              <from>
                <xdr:col>9</xdr:col>
                <xdr:colOff>19050</xdr:colOff>
                <xdr:row>31</xdr:row>
                <xdr:rowOff>180975</xdr:rowOff>
              </from>
              <to>
                <xdr:col>9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295" r:id="rId125" name="CheckBox40"/>
      </mc:Fallback>
    </mc:AlternateContent>
    <mc:AlternateContent xmlns:mc="http://schemas.openxmlformats.org/markup-compatibility/2006">
      <mc:Choice Requires="x14">
        <control shapeId="1294" r:id="rId126" name="ComboBox89">
          <controlPr defaultSize="0" autoLine="0" listFillRange="taskList" r:id="rId34">
            <anchor moveWithCells="1">
              <from>
                <xdr:col>9</xdr:col>
                <xdr:colOff>228600</xdr:colOff>
                <xdr:row>31</xdr:row>
                <xdr:rowOff>161925</xdr:rowOff>
              </from>
              <to>
                <xdr:col>10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294" r:id="rId126" name="ComboBox89"/>
      </mc:Fallback>
    </mc:AlternateContent>
    <mc:AlternateContent xmlns:mc="http://schemas.openxmlformats.org/markup-compatibility/2006">
      <mc:Choice Requires="x14">
        <control shapeId="1293" r:id="rId127" name="CheckBox39">
          <controlPr autoLine="0" r:id="rId32">
            <anchor moveWithCells="1">
              <from>
                <xdr:col>9</xdr:col>
                <xdr:colOff>19050</xdr:colOff>
                <xdr:row>30</xdr:row>
                <xdr:rowOff>152400</xdr:rowOff>
              </from>
              <to>
                <xdr:col>9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293" r:id="rId127" name="CheckBox39"/>
      </mc:Fallback>
    </mc:AlternateContent>
    <mc:AlternateContent xmlns:mc="http://schemas.openxmlformats.org/markup-compatibility/2006">
      <mc:Choice Requires="x14">
        <control shapeId="1292" r:id="rId128" name="ComboBox88">
          <controlPr defaultSize="0" autoLine="0" listFillRange="taskList" r:id="rId129">
            <anchor moveWithCells="1">
              <from>
                <xdr:col>9</xdr:col>
                <xdr:colOff>228600</xdr:colOff>
                <xdr:row>30</xdr:row>
                <xdr:rowOff>133350</xdr:rowOff>
              </from>
              <to>
                <xdr:col>10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292" r:id="rId128" name="ComboBox88"/>
      </mc:Fallback>
    </mc:AlternateContent>
    <mc:AlternateContent xmlns:mc="http://schemas.openxmlformats.org/markup-compatibility/2006">
      <mc:Choice Requires="x14">
        <control shapeId="1291" r:id="rId130" name="CheckBox38">
          <controlPr autoLine="0" r:id="rId90">
            <anchor moveWithCells="1">
              <from>
                <xdr:col>9</xdr:col>
                <xdr:colOff>19050</xdr:colOff>
                <xdr:row>29</xdr:row>
                <xdr:rowOff>123825</xdr:rowOff>
              </from>
              <to>
                <xdr:col>9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291" r:id="rId130" name="CheckBox38"/>
      </mc:Fallback>
    </mc:AlternateContent>
    <mc:AlternateContent xmlns:mc="http://schemas.openxmlformats.org/markup-compatibility/2006">
      <mc:Choice Requires="x14">
        <control shapeId="1290" r:id="rId131" name="ComboBox87">
          <controlPr defaultSize="0" autoLine="0" listFillRange="taskList" r:id="rId132">
            <anchor moveWithCells="1">
              <from>
                <xdr:col>9</xdr:col>
                <xdr:colOff>228600</xdr:colOff>
                <xdr:row>29</xdr:row>
                <xdr:rowOff>104775</xdr:rowOff>
              </from>
              <to>
                <xdr:col>10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290" r:id="rId131" name="ComboBox87"/>
      </mc:Fallback>
    </mc:AlternateContent>
    <mc:AlternateContent xmlns:mc="http://schemas.openxmlformats.org/markup-compatibility/2006">
      <mc:Choice Requires="x14">
        <control shapeId="1289" r:id="rId133" name="CheckBox37">
          <controlPr autoLine="0" r:id="rId32">
            <anchor moveWithCells="1">
              <from>
                <xdr:col>9</xdr:col>
                <xdr:colOff>19050</xdr:colOff>
                <xdr:row>28</xdr:row>
                <xdr:rowOff>85725</xdr:rowOff>
              </from>
              <to>
                <xdr:col>9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289" r:id="rId133" name="CheckBox37"/>
      </mc:Fallback>
    </mc:AlternateContent>
    <mc:AlternateContent xmlns:mc="http://schemas.openxmlformats.org/markup-compatibility/2006">
      <mc:Choice Requires="x14">
        <control shapeId="1288" r:id="rId134" name="ComboBox86">
          <controlPr defaultSize="0" autoLine="0" listFillRange="taskList" r:id="rId135">
            <anchor moveWithCells="1">
              <from>
                <xdr:col>9</xdr:col>
                <xdr:colOff>228600</xdr:colOff>
                <xdr:row>28</xdr:row>
                <xdr:rowOff>66675</xdr:rowOff>
              </from>
              <to>
                <xdr:col>10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288" r:id="rId134" name="ComboBox86"/>
      </mc:Fallback>
    </mc:AlternateContent>
    <mc:AlternateContent xmlns:mc="http://schemas.openxmlformats.org/markup-compatibility/2006">
      <mc:Choice Requires="x14">
        <control shapeId="1287" r:id="rId136" name="CheckBox36">
          <controlPr autoLine="0" autoPict="0" r:id="rId90">
            <anchor moveWithCells="1">
              <from>
                <xdr:col>9</xdr:col>
                <xdr:colOff>19050</xdr:colOff>
                <xdr:row>27</xdr:row>
                <xdr:rowOff>47625</xdr:rowOff>
              </from>
              <to>
                <xdr:col>9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287" r:id="rId136" name="CheckBox36"/>
      </mc:Fallback>
    </mc:AlternateContent>
    <mc:AlternateContent xmlns:mc="http://schemas.openxmlformats.org/markup-compatibility/2006">
      <mc:Choice Requires="x14">
        <control shapeId="1286" r:id="rId137" name="ComboBox85">
          <controlPr defaultSize="0" autoLine="0" autoPict="0" listFillRange="taskList" r:id="rId138">
            <anchor moveWithCells="1">
              <from>
                <xdr:col>9</xdr:col>
                <xdr:colOff>228600</xdr:colOff>
                <xdr:row>27</xdr:row>
                <xdr:rowOff>28575</xdr:rowOff>
              </from>
              <to>
                <xdr:col>10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286" r:id="rId137" name="ComboBox85"/>
      </mc:Fallback>
    </mc:AlternateContent>
    <mc:AlternateContent xmlns:mc="http://schemas.openxmlformats.org/markup-compatibility/2006">
      <mc:Choice Requires="x14">
        <control shapeId="1285" r:id="rId139" name="ddB5FrameMake">
          <controlPr autoLine="0" listFillRange="frameMakeList" r:id="rId21">
            <anchor moveWithCells="1">
              <from>
                <xdr:col>5</xdr:col>
                <xdr:colOff>19050</xdr:colOff>
                <xdr:row>35</xdr:row>
                <xdr:rowOff>28575</xdr:rowOff>
              </from>
              <to>
                <xdr:col>5</xdr:col>
                <xdr:colOff>1504950</xdr:colOff>
                <xdr:row>36</xdr:row>
                <xdr:rowOff>9525</xdr:rowOff>
              </to>
            </anchor>
          </controlPr>
        </control>
      </mc:Choice>
      <mc:Fallback>
        <control shapeId="1285" r:id="rId139" name="ddB5FrameMake"/>
      </mc:Fallback>
    </mc:AlternateContent>
    <mc:AlternateContent xmlns:mc="http://schemas.openxmlformats.org/markup-compatibility/2006">
      <mc:Choice Requires="x14">
        <control shapeId="1284" r:id="rId140" name="ddB5FrameModel">
          <controlPr autoLine="0" listFillRange="frameModelList" r:id="rId23">
            <anchor moveWithCells="1">
              <from>
                <xdr:col>5</xdr:col>
                <xdr:colOff>19050</xdr:colOff>
                <xdr:row>36</xdr:row>
                <xdr:rowOff>9525</xdr:rowOff>
              </from>
              <to>
                <xdr:col>5</xdr:col>
                <xdr:colOff>1504950</xdr:colOff>
                <xdr:row>37</xdr:row>
                <xdr:rowOff>0</xdr:rowOff>
              </to>
            </anchor>
          </controlPr>
        </control>
      </mc:Choice>
      <mc:Fallback>
        <control shapeId="1284" r:id="rId140" name="ddB5FrameModel"/>
      </mc:Fallback>
    </mc:AlternateContent>
    <mc:AlternateContent xmlns:mc="http://schemas.openxmlformats.org/markup-compatibility/2006">
      <mc:Choice Requires="x14">
        <control shapeId="1283" r:id="rId141" name="ddB5EngineMake">
          <controlPr autoLine="0" listFillRange="engineMakeList" r:id="rId25">
            <anchor moveWithCells="1">
              <from>
                <xdr:col>2</xdr:col>
                <xdr:colOff>0</xdr:colOff>
                <xdr:row>35</xdr:row>
                <xdr:rowOff>28575</xdr:rowOff>
              </from>
              <to>
                <xdr:col>3</xdr:col>
                <xdr:colOff>9525</xdr:colOff>
                <xdr:row>36</xdr:row>
                <xdr:rowOff>9525</xdr:rowOff>
              </to>
            </anchor>
          </controlPr>
        </control>
      </mc:Choice>
      <mc:Fallback>
        <control shapeId="1283" r:id="rId141" name="ddB5EngineMake"/>
      </mc:Fallback>
    </mc:AlternateContent>
    <mc:AlternateContent xmlns:mc="http://schemas.openxmlformats.org/markup-compatibility/2006">
      <mc:Choice Requires="x14">
        <control shapeId="1282" r:id="rId142" name="ddB5EngineModels">
          <controlPr autoLine="0" listFillRange="engineModelsList" r:id="rId143">
            <anchor moveWithCells="1">
              <from>
                <xdr:col>2</xdr:col>
                <xdr:colOff>0</xdr:colOff>
                <xdr:row>36</xdr:row>
                <xdr:rowOff>19050</xdr:rowOff>
              </from>
              <to>
                <xdr:col>3</xdr:col>
                <xdr:colOff>9525</xdr:colOff>
                <xdr:row>37</xdr:row>
                <xdr:rowOff>0</xdr:rowOff>
              </to>
            </anchor>
          </controlPr>
        </control>
      </mc:Choice>
      <mc:Fallback>
        <control shapeId="1282" r:id="rId142" name="ddB5EngineModels"/>
      </mc:Fallback>
    </mc:AlternateContent>
    <mc:AlternateContent xmlns:mc="http://schemas.openxmlformats.org/markup-compatibility/2006">
      <mc:Choice Requires="x14">
        <control shapeId="1281" r:id="rId144" name="ddB5Customer">
          <controlPr autoLine="0" listFillRange="customerList" r:id="rId145">
            <anchor moveWithCells="1">
              <from>
                <xdr:col>5</xdr:col>
                <xdr:colOff>19050</xdr:colOff>
                <xdr:row>25</xdr:row>
                <xdr:rowOff>19050</xdr:rowOff>
              </from>
              <to>
                <xdr:col>5</xdr:col>
                <xdr:colOff>1504950</xdr:colOff>
                <xdr:row>26</xdr:row>
                <xdr:rowOff>9525</xdr:rowOff>
              </to>
            </anchor>
          </controlPr>
        </control>
      </mc:Choice>
      <mc:Fallback>
        <control shapeId="1281" r:id="rId144" name="ddB5Customer"/>
      </mc:Fallback>
    </mc:AlternateContent>
    <mc:AlternateContent xmlns:mc="http://schemas.openxmlformats.org/markup-compatibility/2006">
      <mc:Choice Requires="x14">
        <control shapeId="1280" r:id="rId146" name="ddB5PartType">
          <controlPr autoLine="0" listFillRange="partTypesList" r:id="rId147">
            <anchor moveWithCells="1">
              <from>
                <xdr:col>1</xdr:col>
                <xdr:colOff>619125</xdr:colOff>
                <xdr:row>32</xdr:row>
                <xdr:rowOff>19050</xdr:rowOff>
              </from>
              <to>
                <xdr:col>3</xdr:col>
                <xdr:colOff>0</xdr:colOff>
                <xdr:row>33</xdr:row>
                <xdr:rowOff>9525</xdr:rowOff>
              </to>
            </anchor>
          </controlPr>
        </control>
      </mc:Choice>
      <mc:Fallback>
        <control shapeId="1280" r:id="rId146" name="ddB5PartType"/>
      </mc:Fallback>
    </mc:AlternateContent>
    <mc:AlternateContent xmlns:mc="http://schemas.openxmlformats.org/markup-compatibility/2006">
      <mc:Choice Requires="x14">
        <control shapeId="1279" r:id="rId148" name="ddB5PartsProvider">
          <controlPr autoLine="0" listFillRange="partsProvidersList" r:id="rId149">
            <anchor moveWithCells="1">
              <from>
                <xdr:col>1</xdr:col>
                <xdr:colOff>619125</xdr:colOff>
                <xdr:row>31</xdr:row>
                <xdr:rowOff>19050</xdr:rowOff>
              </from>
              <to>
                <xdr:col>3</xdr:col>
                <xdr:colOff>0</xdr:colOff>
                <xdr:row>32</xdr:row>
                <xdr:rowOff>9525</xdr:rowOff>
              </to>
            </anchor>
          </controlPr>
        </control>
      </mc:Choice>
      <mc:Fallback>
        <control shapeId="1279" r:id="rId148" name="ddB5PartsProvider"/>
      </mc:Fallback>
    </mc:AlternateContent>
    <mc:AlternateContent xmlns:mc="http://schemas.openxmlformats.org/markup-compatibility/2006">
      <mc:Choice Requires="x14">
        <control shapeId="1278" r:id="rId150" name="cbB5Task5">
          <controlPr autoLine="0" r:id="rId32">
            <anchor moveWithCells="1">
              <from>
                <xdr:col>4</xdr:col>
                <xdr:colOff>19050</xdr:colOff>
                <xdr:row>31</xdr:row>
                <xdr:rowOff>180975</xdr:rowOff>
              </from>
              <to>
                <xdr:col>4</xdr:col>
                <xdr:colOff>161925</xdr:colOff>
                <xdr:row>33</xdr:row>
                <xdr:rowOff>0</xdr:rowOff>
              </to>
            </anchor>
          </controlPr>
        </control>
      </mc:Choice>
      <mc:Fallback>
        <control shapeId="1278" r:id="rId150" name="cbB5Task5"/>
      </mc:Fallback>
    </mc:AlternateContent>
    <mc:AlternateContent xmlns:mc="http://schemas.openxmlformats.org/markup-compatibility/2006">
      <mc:Choice Requires="x14">
        <control shapeId="1277" r:id="rId151" name="ddB5Task5">
          <controlPr defaultSize="0" autoLine="0" listFillRange="taskList" r:id="rId34">
            <anchor moveWithCells="1">
              <from>
                <xdr:col>4</xdr:col>
                <xdr:colOff>228600</xdr:colOff>
                <xdr:row>31</xdr:row>
                <xdr:rowOff>161925</xdr:rowOff>
              </from>
              <to>
                <xdr:col>5</xdr:col>
                <xdr:colOff>1495425</xdr:colOff>
                <xdr:row>33</xdr:row>
                <xdr:rowOff>0</xdr:rowOff>
              </to>
            </anchor>
          </controlPr>
        </control>
      </mc:Choice>
      <mc:Fallback>
        <control shapeId="1277" r:id="rId151" name="ddB5Task5"/>
      </mc:Fallback>
    </mc:AlternateContent>
    <mc:AlternateContent xmlns:mc="http://schemas.openxmlformats.org/markup-compatibility/2006">
      <mc:Choice Requires="x14">
        <control shapeId="1276" r:id="rId152" name="cbB5Task4">
          <controlPr autoLine="0" r:id="rId32">
            <anchor moveWithCells="1">
              <from>
                <xdr:col>4</xdr:col>
                <xdr:colOff>19050</xdr:colOff>
                <xdr:row>30</xdr:row>
                <xdr:rowOff>152400</xdr:rowOff>
              </from>
              <to>
                <xdr:col>4</xdr:col>
                <xdr:colOff>161925</xdr:colOff>
                <xdr:row>31</xdr:row>
                <xdr:rowOff>161925</xdr:rowOff>
              </to>
            </anchor>
          </controlPr>
        </control>
      </mc:Choice>
      <mc:Fallback>
        <control shapeId="1276" r:id="rId152" name="cbB5Task4"/>
      </mc:Fallback>
    </mc:AlternateContent>
    <mc:AlternateContent xmlns:mc="http://schemas.openxmlformats.org/markup-compatibility/2006">
      <mc:Choice Requires="x14">
        <control shapeId="1275" r:id="rId153" name="ddB5Task4">
          <controlPr defaultSize="0" autoLine="0" listFillRange="taskList" r:id="rId34">
            <anchor moveWithCells="1">
              <from>
                <xdr:col>4</xdr:col>
                <xdr:colOff>228600</xdr:colOff>
                <xdr:row>30</xdr:row>
                <xdr:rowOff>133350</xdr:rowOff>
              </from>
              <to>
                <xdr:col>5</xdr:col>
                <xdr:colOff>1495425</xdr:colOff>
                <xdr:row>31</xdr:row>
                <xdr:rowOff>161925</xdr:rowOff>
              </to>
            </anchor>
          </controlPr>
        </control>
      </mc:Choice>
      <mc:Fallback>
        <control shapeId="1275" r:id="rId153" name="ddB5Task4"/>
      </mc:Fallback>
    </mc:AlternateContent>
    <mc:AlternateContent xmlns:mc="http://schemas.openxmlformats.org/markup-compatibility/2006">
      <mc:Choice Requires="x14">
        <control shapeId="1274" r:id="rId154" name="cbB5Task3">
          <controlPr autoLine="0" r:id="rId32">
            <anchor moveWithCells="1">
              <from>
                <xdr:col>4</xdr:col>
                <xdr:colOff>19050</xdr:colOff>
                <xdr:row>29</xdr:row>
                <xdr:rowOff>123825</xdr:rowOff>
              </from>
              <to>
                <xdr:col>4</xdr:col>
                <xdr:colOff>161925</xdr:colOff>
                <xdr:row>30</xdr:row>
                <xdr:rowOff>133350</xdr:rowOff>
              </to>
            </anchor>
          </controlPr>
        </control>
      </mc:Choice>
      <mc:Fallback>
        <control shapeId="1274" r:id="rId154" name="cbB5Task3"/>
      </mc:Fallback>
    </mc:AlternateContent>
    <mc:AlternateContent xmlns:mc="http://schemas.openxmlformats.org/markup-compatibility/2006">
      <mc:Choice Requires="x14">
        <control shapeId="1273" r:id="rId155" name="ddB5Task3">
          <controlPr defaultSize="0" autoLine="0" listFillRange="taskList" r:id="rId156">
            <anchor moveWithCells="1">
              <from>
                <xdr:col>4</xdr:col>
                <xdr:colOff>228600</xdr:colOff>
                <xdr:row>29</xdr:row>
                <xdr:rowOff>104775</xdr:rowOff>
              </from>
              <to>
                <xdr:col>5</xdr:col>
                <xdr:colOff>1495425</xdr:colOff>
                <xdr:row>30</xdr:row>
                <xdr:rowOff>133350</xdr:rowOff>
              </to>
            </anchor>
          </controlPr>
        </control>
      </mc:Choice>
      <mc:Fallback>
        <control shapeId="1273" r:id="rId155" name="ddB5Task3"/>
      </mc:Fallback>
    </mc:AlternateContent>
    <mc:AlternateContent xmlns:mc="http://schemas.openxmlformats.org/markup-compatibility/2006">
      <mc:Choice Requires="x14">
        <control shapeId="1272" r:id="rId157" name="cbB5Task2">
          <controlPr autoLine="0" r:id="rId32">
            <anchor moveWithCells="1">
              <from>
                <xdr:col>4</xdr:col>
                <xdr:colOff>19050</xdr:colOff>
                <xdr:row>28</xdr:row>
                <xdr:rowOff>85725</xdr:rowOff>
              </from>
              <to>
                <xdr:col>4</xdr:col>
                <xdr:colOff>161925</xdr:colOff>
                <xdr:row>29</xdr:row>
                <xdr:rowOff>95250</xdr:rowOff>
              </to>
            </anchor>
          </controlPr>
        </control>
      </mc:Choice>
      <mc:Fallback>
        <control shapeId="1272" r:id="rId157" name="cbB5Task2"/>
      </mc:Fallback>
    </mc:AlternateContent>
    <mc:AlternateContent xmlns:mc="http://schemas.openxmlformats.org/markup-compatibility/2006">
      <mc:Choice Requires="x14">
        <control shapeId="1271" r:id="rId158" name="ddB5Task2">
          <controlPr defaultSize="0" autoLine="0" listFillRange="taskList" r:id="rId159">
            <anchor moveWithCells="1">
              <from>
                <xdr:col>4</xdr:col>
                <xdr:colOff>228600</xdr:colOff>
                <xdr:row>28</xdr:row>
                <xdr:rowOff>66675</xdr:rowOff>
              </from>
              <to>
                <xdr:col>5</xdr:col>
                <xdr:colOff>1495425</xdr:colOff>
                <xdr:row>29</xdr:row>
                <xdr:rowOff>95250</xdr:rowOff>
              </to>
            </anchor>
          </controlPr>
        </control>
      </mc:Choice>
      <mc:Fallback>
        <control shapeId="1271" r:id="rId158" name="ddB5Task2"/>
      </mc:Fallback>
    </mc:AlternateContent>
    <mc:AlternateContent xmlns:mc="http://schemas.openxmlformats.org/markup-compatibility/2006">
      <mc:Choice Requires="x14">
        <control shapeId="1270" r:id="rId160" name="cbB5Task1">
          <controlPr autoLine="0" autoPict="0" r:id="rId32">
            <anchor moveWithCells="1">
              <from>
                <xdr:col>4</xdr:col>
                <xdr:colOff>19050</xdr:colOff>
                <xdr:row>27</xdr:row>
                <xdr:rowOff>47625</xdr:rowOff>
              </from>
              <to>
                <xdr:col>4</xdr:col>
                <xdr:colOff>161925</xdr:colOff>
                <xdr:row>28</xdr:row>
                <xdr:rowOff>57150</xdr:rowOff>
              </to>
            </anchor>
          </controlPr>
        </control>
      </mc:Choice>
      <mc:Fallback>
        <control shapeId="1270" r:id="rId160" name="cbB5Task1"/>
      </mc:Fallback>
    </mc:AlternateContent>
    <mc:AlternateContent xmlns:mc="http://schemas.openxmlformats.org/markup-compatibility/2006">
      <mc:Choice Requires="x14">
        <control shapeId="1269" r:id="rId161" name="ddB5Task1">
          <controlPr defaultSize="0" autoLine="0" autoPict="0" listFillRange="taskList" r:id="rId162">
            <anchor moveWithCells="1">
              <from>
                <xdr:col>4</xdr:col>
                <xdr:colOff>228600</xdr:colOff>
                <xdr:row>27</xdr:row>
                <xdr:rowOff>28575</xdr:rowOff>
              </from>
              <to>
                <xdr:col>5</xdr:col>
                <xdr:colOff>1495425</xdr:colOff>
                <xdr:row>28</xdr:row>
                <xdr:rowOff>57150</xdr:rowOff>
              </to>
            </anchor>
          </controlPr>
        </control>
      </mc:Choice>
      <mc:Fallback>
        <control shapeId="1269" r:id="rId161" name="ddB5Task1"/>
      </mc:Fallback>
    </mc:AlternateContent>
    <mc:AlternateContent xmlns:mc="http://schemas.openxmlformats.org/markup-compatibility/2006">
      <mc:Choice Requires="x14">
        <control shapeId="1268" r:id="rId163" name="ddB4FrameMake">
          <controlPr autoLine="0" listFillRange="frameMakeList" r:id="rId21">
            <anchor moveWithCells="1">
              <from>
                <xdr:col>20</xdr:col>
                <xdr:colOff>19050</xdr:colOff>
                <xdr:row>18</xdr:row>
                <xdr:rowOff>28575</xdr:rowOff>
              </from>
              <to>
                <xdr:col>20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268" r:id="rId163" name="ddB4FrameMake"/>
      </mc:Fallback>
    </mc:AlternateContent>
    <mc:AlternateContent xmlns:mc="http://schemas.openxmlformats.org/markup-compatibility/2006">
      <mc:Choice Requires="x14">
        <control shapeId="1267" r:id="rId164" name="ddB4FrameModel">
          <controlPr autoLine="0" listFillRange="frameModelList" r:id="rId23">
            <anchor moveWithCells="1">
              <from>
                <xdr:col>20</xdr:col>
                <xdr:colOff>19050</xdr:colOff>
                <xdr:row>19</xdr:row>
                <xdr:rowOff>9525</xdr:rowOff>
              </from>
              <to>
                <xdr:col>20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267" r:id="rId164" name="ddB4FrameModel"/>
      </mc:Fallback>
    </mc:AlternateContent>
    <mc:AlternateContent xmlns:mc="http://schemas.openxmlformats.org/markup-compatibility/2006">
      <mc:Choice Requires="x14">
        <control shapeId="1266" r:id="rId165" name="ddB4EngineMake">
          <controlPr autoLine="0" listFillRange="engineMakeList" r:id="rId25">
            <anchor moveWithCells="1">
              <from>
                <xdr:col>17</xdr:col>
                <xdr:colOff>0</xdr:colOff>
                <xdr:row>18</xdr:row>
                <xdr:rowOff>28575</xdr:rowOff>
              </from>
              <to>
                <xdr:col>18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266" r:id="rId165" name="ddB4EngineMake"/>
      </mc:Fallback>
    </mc:AlternateContent>
    <mc:AlternateContent xmlns:mc="http://schemas.openxmlformats.org/markup-compatibility/2006">
      <mc:Choice Requires="x14">
        <control shapeId="1265" r:id="rId166" name="ddB4EngineModels">
          <controlPr autoLine="0" listFillRange="engineModelsList" r:id="rId167">
            <anchor moveWithCells="1">
              <from>
                <xdr:col>17</xdr:col>
                <xdr:colOff>0</xdr:colOff>
                <xdr:row>19</xdr:row>
                <xdr:rowOff>19050</xdr:rowOff>
              </from>
              <to>
                <xdr:col>18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265" r:id="rId166" name="ddB4EngineModels"/>
      </mc:Fallback>
    </mc:AlternateContent>
    <mc:AlternateContent xmlns:mc="http://schemas.openxmlformats.org/markup-compatibility/2006">
      <mc:Choice Requires="x14">
        <control shapeId="1264" r:id="rId168" name="ddB4Customer">
          <controlPr autoLine="0" listFillRange="customerList" r:id="rId169">
            <anchor moveWithCells="1">
              <from>
                <xdr:col>20</xdr:col>
                <xdr:colOff>19050</xdr:colOff>
                <xdr:row>8</xdr:row>
                <xdr:rowOff>19050</xdr:rowOff>
              </from>
              <to>
                <xdr:col>20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264" r:id="rId168" name="ddB4Customer"/>
      </mc:Fallback>
    </mc:AlternateContent>
    <mc:AlternateContent xmlns:mc="http://schemas.openxmlformats.org/markup-compatibility/2006">
      <mc:Choice Requires="x14">
        <control shapeId="1263" r:id="rId170" name="ddB4PartType">
          <controlPr autoLine="0" listFillRange="partTypesList" r:id="rId171">
            <anchor moveWithCells="1">
              <from>
                <xdr:col>16</xdr:col>
                <xdr:colOff>619125</xdr:colOff>
                <xdr:row>15</xdr:row>
                <xdr:rowOff>19050</xdr:rowOff>
              </from>
              <to>
                <xdr:col>18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263" r:id="rId170" name="ddB4PartType"/>
      </mc:Fallback>
    </mc:AlternateContent>
    <mc:AlternateContent xmlns:mc="http://schemas.openxmlformats.org/markup-compatibility/2006">
      <mc:Choice Requires="x14">
        <control shapeId="1262" r:id="rId172" name="ddB4PartsProvider">
          <controlPr autoLine="0" listFillRange="partsProvidersList" r:id="rId173">
            <anchor moveWithCells="1">
              <from>
                <xdr:col>16</xdr:col>
                <xdr:colOff>619125</xdr:colOff>
                <xdr:row>14</xdr:row>
                <xdr:rowOff>19050</xdr:rowOff>
              </from>
              <to>
                <xdr:col>18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262" r:id="rId172" name="ddB4PartsProvider"/>
      </mc:Fallback>
    </mc:AlternateContent>
    <mc:AlternateContent xmlns:mc="http://schemas.openxmlformats.org/markup-compatibility/2006">
      <mc:Choice Requires="x14">
        <control shapeId="1261" r:id="rId174" name="cbB4Task5">
          <controlPr autoLine="0" r:id="rId32">
            <anchor moveWithCells="1">
              <from>
                <xdr:col>19</xdr:col>
                <xdr:colOff>19050</xdr:colOff>
                <xdr:row>14</xdr:row>
                <xdr:rowOff>180975</xdr:rowOff>
              </from>
              <to>
                <xdr:col>19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261" r:id="rId174" name="cbB4Task5"/>
      </mc:Fallback>
    </mc:AlternateContent>
    <mc:AlternateContent xmlns:mc="http://schemas.openxmlformats.org/markup-compatibility/2006">
      <mc:Choice Requires="x14">
        <control shapeId="1260" r:id="rId175" name="ddB4Task5">
          <controlPr defaultSize="0" autoLine="0" listFillRange="taskList" r:id="rId34">
            <anchor moveWithCells="1">
              <from>
                <xdr:col>19</xdr:col>
                <xdr:colOff>228600</xdr:colOff>
                <xdr:row>14</xdr:row>
                <xdr:rowOff>161925</xdr:rowOff>
              </from>
              <to>
                <xdr:col>20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260" r:id="rId175" name="ddB4Task5"/>
      </mc:Fallback>
    </mc:AlternateContent>
    <mc:AlternateContent xmlns:mc="http://schemas.openxmlformats.org/markup-compatibility/2006">
      <mc:Choice Requires="x14">
        <control shapeId="1259" r:id="rId176" name="cbB4Task4">
          <controlPr autoLine="0" r:id="rId90">
            <anchor moveWithCells="1">
              <from>
                <xdr:col>19</xdr:col>
                <xdr:colOff>19050</xdr:colOff>
                <xdr:row>13</xdr:row>
                <xdr:rowOff>152400</xdr:rowOff>
              </from>
              <to>
                <xdr:col>19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259" r:id="rId176" name="cbB4Task4"/>
      </mc:Fallback>
    </mc:AlternateContent>
    <mc:AlternateContent xmlns:mc="http://schemas.openxmlformats.org/markup-compatibility/2006">
      <mc:Choice Requires="x14">
        <control shapeId="1258" r:id="rId177" name="ddB4Task4">
          <controlPr defaultSize="0" autoLine="0" listFillRange="taskList" r:id="rId178">
            <anchor moveWithCells="1">
              <from>
                <xdr:col>19</xdr:col>
                <xdr:colOff>228600</xdr:colOff>
                <xdr:row>13</xdr:row>
                <xdr:rowOff>133350</xdr:rowOff>
              </from>
              <to>
                <xdr:col>20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258" r:id="rId177" name="ddB4Task4"/>
      </mc:Fallback>
    </mc:AlternateContent>
    <mc:AlternateContent xmlns:mc="http://schemas.openxmlformats.org/markup-compatibility/2006">
      <mc:Choice Requires="x14">
        <control shapeId="1257" r:id="rId179" name="cbB4Task3">
          <controlPr autoLine="0" r:id="rId90">
            <anchor moveWithCells="1">
              <from>
                <xdr:col>19</xdr:col>
                <xdr:colOff>19050</xdr:colOff>
                <xdr:row>12</xdr:row>
                <xdr:rowOff>123825</xdr:rowOff>
              </from>
              <to>
                <xdr:col>19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257" r:id="rId179" name="cbB4Task3"/>
      </mc:Fallback>
    </mc:AlternateContent>
    <mc:AlternateContent xmlns:mc="http://schemas.openxmlformats.org/markup-compatibility/2006">
      <mc:Choice Requires="x14">
        <control shapeId="1256" r:id="rId180" name="ddB4Task3">
          <controlPr defaultSize="0" autoLine="0" listFillRange="taskList" r:id="rId181">
            <anchor moveWithCells="1">
              <from>
                <xdr:col>19</xdr:col>
                <xdr:colOff>228600</xdr:colOff>
                <xdr:row>12</xdr:row>
                <xdr:rowOff>104775</xdr:rowOff>
              </from>
              <to>
                <xdr:col>20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256" r:id="rId180" name="ddB4Task3"/>
      </mc:Fallback>
    </mc:AlternateContent>
    <mc:AlternateContent xmlns:mc="http://schemas.openxmlformats.org/markup-compatibility/2006">
      <mc:Choice Requires="x14">
        <control shapeId="1255" r:id="rId182" name="cbB4Task2">
          <controlPr autoLine="0" r:id="rId90">
            <anchor moveWithCells="1">
              <from>
                <xdr:col>19</xdr:col>
                <xdr:colOff>19050</xdr:colOff>
                <xdr:row>11</xdr:row>
                <xdr:rowOff>85725</xdr:rowOff>
              </from>
              <to>
                <xdr:col>19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255" r:id="rId182" name="cbB4Task2"/>
      </mc:Fallback>
    </mc:AlternateContent>
    <mc:AlternateContent xmlns:mc="http://schemas.openxmlformats.org/markup-compatibility/2006">
      <mc:Choice Requires="x14">
        <control shapeId="1254" r:id="rId183" name="ddB4Task2">
          <controlPr defaultSize="0" autoLine="0" listFillRange="taskList" r:id="rId184">
            <anchor moveWithCells="1">
              <from>
                <xdr:col>19</xdr:col>
                <xdr:colOff>228600</xdr:colOff>
                <xdr:row>11</xdr:row>
                <xdr:rowOff>66675</xdr:rowOff>
              </from>
              <to>
                <xdr:col>20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254" r:id="rId183" name="ddB4Task2"/>
      </mc:Fallback>
    </mc:AlternateContent>
    <mc:AlternateContent xmlns:mc="http://schemas.openxmlformats.org/markup-compatibility/2006">
      <mc:Choice Requires="x14">
        <control shapeId="1253" r:id="rId185" name="cbB4Task1">
          <controlPr autoLine="0" autoPict="0" r:id="rId90">
            <anchor moveWithCells="1">
              <from>
                <xdr:col>19</xdr:col>
                <xdr:colOff>19050</xdr:colOff>
                <xdr:row>10</xdr:row>
                <xdr:rowOff>47625</xdr:rowOff>
              </from>
              <to>
                <xdr:col>19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253" r:id="rId185" name="cbB4Task1"/>
      </mc:Fallback>
    </mc:AlternateContent>
    <mc:AlternateContent xmlns:mc="http://schemas.openxmlformats.org/markup-compatibility/2006">
      <mc:Choice Requires="x14">
        <control shapeId="1252" r:id="rId186" name="ddB4Task1">
          <controlPr defaultSize="0" autoLine="0" autoPict="0" listFillRange="taskList" r:id="rId187">
            <anchor moveWithCells="1">
              <from>
                <xdr:col>19</xdr:col>
                <xdr:colOff>228600</xdr:colOff>
                <xdr:row>10</xdr:row>
                <xdr:rowOff>28575</xdr:rowOff>
              </from>
              <to>
                <xdr:col>20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252" r:id="rId186" name="ddB4Task1"/>
      </mc:Fallback>
    </mc:AlternateContent>
    <mc:AlternateContent xmlns:mc="http://schemas.openxmlformats.org/markup-compatibility/2006">
      <mc:Choice Requires="x14">
        <control shapeId="1251" r:id="rId188" name="ddB3FrameMake">
          <controlPr autoLine="0" listFillRange="frameMakeList" r:id="rId21">
            <anchor moveWithCells="1">
              <from>
                <xdr:col>15</xdr:col>
                <xdr:colOff>19050</xdr:colOff>
                <xdr:row>18</xdr:row>
                <xdr:rowOff>28575</xdr:rowOff>
              </from>
              <to>
                <xdr:col>15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251" r:id="rId188" name="ddB3FrameMake"/>
      </mc:Fallback>
    </mc:AlternateContent>
    <mc:AlternateContent xmlns:mc="http://schemas.openxmlformats.org/markup-compatibility/2006">
      <mc:Choice Requires="x14">
        <control shapeId="1250" r:id="rId189" name="ddB3FrameModel">
          <controlPr autoLine="0" listFillRange="frameModelList" r:id="rId23">
            <anchor moveWithCells="1">
              <from>
                <xdr:col>15</xdr:col>
                <xdr:colOff>19050</xdr:colOff>
                <xdr:row>19</xdr:row>
                <xdr:rowOff>9525</xdr:rowOff>
              </from>
              <to>
                <xdr:col>15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250" r:id="rId189" name="ddB3FrameModel"/>
      </mc:Fallback>
    </mc:AlternateContent>
    <mc:AlternateContent xmlns:mc="http://schemas.openxmlformats.org/markup-compatibility/2006">
      <mc:Choice Requires="x14">
        <control shapeId="1249" r:id="rId190" name="ddB3EngineMake">
          <controlPr autoLine="0" listFillRange="engineMakeList" r:id="rId25">
            <anchor moveWithCells="1">
              <from>
                <xdr:col>12</xdr:col>
                <xdr:colOff>0</xdr:colOff>
                <xdr:row>18</xdr:row>
                <xdr:rowOff>28575</xdr:rowOff>
              </from>
              <to>
                <xdr:col>13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249" r:id="rId190" name="ddB3EngineMake"/>
      </mc:Fallback>
    </mc:AlternateContent>
    <mc:AlternateContent xmlns:mc="http://schemas.openxmlformats.org/markup-compatibility/2006">
      <mc:Choice Requires="x14">
        <control shapeId="1248" r:id="rId191" name="ddB3EngineModels">
          <controlPr autoLine="0" listFillRange="engineModelsList" r:id="rId192">
            <anchor moveWithCells="1">
              <from>
                <xdr:col>12</xdr:col>
                <xdr:colOff>0</xdr:colOff>
                <xdr:row>19</xdr:row>
                <xdr:rowOff>19050</xdr:rowOff>
              </from>
              <to>
                <xdr:col>13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248" r:id="rId191" name="ddB3EngineModels"/>
      </mc:Fallback>
    </mc:AlternateContent>
    <mc:AlternateContent xmlns:mc="http://schemas.openxmlformats.org/markup-compatibility/2006">
      <mc:Choice Requires="x14">
        <control shapeId="1247" r:id="rId193" name="ddB3Customer">
          <controlPr autoLine="0" listFillRange="customerList" r:id="rId194">
            <anchor moveWithCells="1">
              <from>
                <xdr:col>15</xdr:col>
                <xdr:colOff>19050</xdr:colOff>
                <xdr:row>8</xdr:row>
                <xdr:rowOff>19050</xdr:rowOff>
              </from>
              <to>
                <xdr:col>15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247" r:id="rId193" name="ddB3Customer"/>
      </mc:Fallback>
    </mc:AlternateContent>
    <mc:AlternateContent xmlns:mc="http://schemas.openxmlformats.org/markup-compatibility/2006">
      <mc:Choice Requires="x14">
        <control shapeId="1246" r:id="rId195" name="ddB3PartType">
          <controlPr autoLine="0" listFillRange="partTypesList" r:id="rId196">
            <anchor moveWithCells="1">
              <from>
                <xdr:col>11</xdr:col>
                <xdr:colOff>619125</xdr:colOff>
                <xdr:row>15</xdr:row>
                <xdr:rowOff>19050</xdr:rowOff>
              </from>
              <to>
                <xdr:col>13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246" r:id="rId195" name="ddB3PartType"/>
      </mc:Fallback>
    </mc:AlternateContent>
    <mc:AlternateContent xmlns:mc="http://schemas.openxmlformats.org/markup-compatibility/2006">
      <mc:Choice Requires="x14">
        <control shapeId="1245" r:id="rId197" name="ddB3PartsProvider">
          <controlPr autoLine="0" listFillRange="partsProvidersList" r:id="rId198">
            <anchor moveWithCells="1">
              <from>
                <xdr:col>11</xdr:col>
                <xdr:colOff>619125</xdr:colOff>
                <xdr:row>14</xdr:row>
                <xdr:rowOff>19050</xdr:rowOff>
              </from>
              <to>
                <xdr:col>13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245" r:id="rId197" name="ddB3PartsProvider"/>
      </mc:Fallback>
    </mc:AlternateContent>
    <mc:AlternateContent xmlns:mc="http://schemas.openxmlformats.org/markup-compatibility/2006">
      <mc:Choice Requires="x14">
        <control shapeId="1244" r:id="rId199" name="cbB3Task5">
          <controlPr autoLine="0" r:id="rId32">
            <anchor moveWithCells="1">
              <from>
                <xdr:col>14</xdr:col>
                <xdr:colOff>19050</xdr:colOff>
                <xdr:row>14</xdr:row>
                <xdr:rowOff>180975</xdr:rowOff>
              </from>
              <to>
                <xdr:col>14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244" r:id="rId199" name="cbB3Task5"/>
      </mc:Fallback>
    </mc:AlternateContent>
    <mc:AlternateContent xmlns:mc="http://schemas.openxmlformats.org/markup-compatibility/2006">
      <mc:Choice Requires="x14">
        <control shapeId="1243" r:id="rId200" name="ddB3Task5">
          <controlPr defaultSize="0" autoLine="0" listFillRange="taskList" r:id="rId34">
            <anchor moveWithCells="1">
              <from>
                <xdr:col>14</xdr:col>
                <xdr:colOff>228600</xdr:colOff>
                <xdr:row>14</xdr:row>
                <xdr:rowOff>161925</xdr:rowOff>
              </from>
              <to>
                <xdr:col>15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243" r:id="rId200" name="ddB3Task5"/>
      </mc:Fallback>
    </mc:AlternateContent>
    <mc:AlternateContent xmlns:mc="http://schemas.openxmlformats.org/markup-compatibility/2006">
      <mc:Choice Requires="x14">
        <control shapeId="1242" r:id="rId201" name="cbB3Task4">
          <controlPr autoLine="0" r:id="rId32">
            <anchor moveWithCells="1">
              <from>
                <xdr:col>14</xdr:col>
                <xdr:colOff>19050</xdr:colOff>
                <xdr:row>13</xdr:row>
                <xdr:rowOff>152400</xdr:rowOff>
              </from>
              <to>
                <xdr:col>14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242" r:id="rId201" name="cbB3Task4"/>
      </mc:Fallback>
    </mc:AlternateContent>
    <mc:AlternateContent xmlns:mc="http://schemas.openxmlformats.org/markup-compatibility/2006">
      <mc:Choice Requires="x14">
        <control shapeId="1241" r:id="rId202" name="ddB3Task4">
          <controlPr defaultSize="0" autoLine="0" listFillRange="taskList" r:id="rId203">
            <anchor moveWithCells="1">
              <from>
                <xdr:col>14</xdr:col>
                <xdr:colOff>228600</xdr:colOff>
                <xdr:row>13</xdr:row>
                <xdr:rowOff>133350</xdr:rowOff>
              </from>
              <to>
                <xdr:col>15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241" r:id="rId202" name="ddB3Task4"/>
      </mc:Fallback>
    </mc:AlternateContent>
    <mc:AlternateContent xmlns:mc="http://schemas.openxmlformats.org/markup-compatibility/2006">
      <mc:Choice Requires="x14">
        <control shapeId="1240" r:id="rId204" name="cbB3Task3">
          <controlPr autoLine="0" r:id="rId32">
            <anchor moveWithCells="1">
              <from>
                <xdr:col>14</xdr:col>
                <xdr:colOff>19050</xdr:colOff>
                <xdr:row>12</xdr:row>
                <xdr:rowOff>123825</xdr:rowOff>
              </from>
              <to>
                <xdr:col>14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240" r:id="rId204" name="cbB3Task3"/>
      </mc:Fallback>
    </mc:AlternateContent>
    <mc:AlternateContent xmlns:mc="http://schemas.openxmlformats.org/markup-compatibility/2006">
      <mc:Choice Requires="x14">
        <control shapeId="1239" r:id="rId205" name="ddB3Task3">
          <controlPr defaultSize="0" autoLine="0" listFillRange="taskList" r:id="rId206">
            <anchor moveWithCells="1">
              <from>
                <xdr:col>14</xdr:col>
                <xdr:colOff>228600</xdr:colOff>
                <xdr:row>12</xdr:row>
                <xdr:rowOff>104775</xdr:rowOff>
              </from>
              <to>
                <xdr:col>15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239" r:id="rId205" name="ddB3Task3"/>
      </mc:Fallback>
    </mc:AlternateContent>
    <mc:AlternateContent xmlns:mc="http://schemas.openxmlformats.org/markup-compatibility/2006">
      <mc:Choice Requires="x14">
        <control shapeId="1238" r:id="rId207" name="cbB3Task2">
          <controlPr autoLine="0" r:id="rId90">
            <anchor moveWithCells="1">
              <from>
                <xdr:col>14</xdr:col>
                <xdr:colOff>19050</xdr:colOff>
                <xdr:row>11</xdr:row>
                <xdr:rowOff>85725</xdr:rowOff>
              </from>
              <to>
                <xdr:col>14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238" r:id="rId207" name="cbB3Task2"/>
      </mc:Fallback>
    </mc:AlternateContent>
    <mc:AlternateContent xmlns:mc="http://schemas.openxmlformats.org/markup-compatibility/2006">
      <mc:Choice Requires="x14">
        <control shapeId="1237" r:id="rId208" name="ddB3Task2">
          <controlPr defaultSize="0" autoLine="0" listFillRange="taskList" r:id="rId209">
            <anchor moveWithCells="1">
              <from>
                <xdr:col>14</xdr:col>
                <xdr:colOff>228600</xdr:colOff>
                <xdr:row>11</xdr:row>
                <xdr:rowOff>66675</xdr:rowOff>
              </from>
              <to>
                <xdr:col>15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237" r:id="rId208" name="ddB3Task2"/>
      </mc:Fallback>
    </mc:AlternateContent>
    <mc:AlternateContent xmlns:mc="http://schemas.openxmlformats.org/markup-compatibility/2006">
      <mc:Choice Requires="x14">
        <control shapeId="1236" r:id="rId210" name="cbB3Task1">
          <controlPr autoLine="0" autoPict="0" r:id="rId90">
            <anchor moveWithCells="1">
              <from>
                <xdr:col>14</xdr:col>
                <xdr:colOff>19050</xdr:colOff>
                <xdr:row>10</xdr:row>
                <xdr:rowOff>47625</xdr:rowOff>
              </from>
              <to>
                <xdr:col>14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236" r:id="rId210" name="cbB3Task1"/>
      </mc:Fallback>
    </mc:AlternateContent>
    <mc:AlternateContent xmlns:mc="http://schemas.openxmlformats.org/markup-compatibility/2006">
      <mc:Choice Requires="x14">
        <control shapeId="1235" r:id="rId211" name="ddB3Task1">
          <controlPr defaultSize="0" autoLine="0" autoPict="0" listFillRange="taskList" r:id="rId212">
            <anchor moveWithCells="1">
              <from>
                <xdr:col>14</xdr:col>
                <xdr:colOff>228600</xdr:colOff>
                <xdr:row>10</xdr:row>
                <xdr:rowOff>28575</xdr:rowOff>
              </from>
              <to>
                <xdr:col>15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235" r:id="rId211" name="ddB3Task1"/>
      </mc:Fallback>
    </mc:AlternateContent>
    <mc:AlternateContent xmlns:mc="http://schemas.openxmlformats.org/markup-compatibility/2006">
      <mc:Choice Requires="x14">
        <control shapeId="1234" r:id="rId213" name="ddB2FrameMake">
          <controlPr autoLine="0" listFillRange="frameMakeList" r:id="rId21">
            <anchor moveWithCells="1">
              <from>
                <xdr:col>10</xdr:col>
                <xdr:colOff>19050</xdr:colOff>
                <xdr:row>18</xdr:row>
                <xdr:rowOff>28575</xdr:rowOff>
              </from>
              <to>
                <xdr:col>10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234" r:id="rId213" name="ddB2FrameMake"/>
      </mc:Fallback>
    </mc:AlternateContent>
    <mc:AlternateContent xmlns:mc="http://schemas.openxmlformats.org/markup-compatibility/2006">
      <mc:Choice Requires="x14">
        <control shapeId="1233" r:id="rId214" name="ddB2FrameModel">
          <controlPr autoLine="0" listFillRange="frameModelList" r:id="rId23">
            <anchor moveWithCells="1">
              <from>
                <xdr:col>10</xdr:col>
                <xdr:colOff>19050</xdr:colOff>
                <xdr:row>19</xdr:row>
                <xdr:rowOff>9525</xdr:rowOff>
              </from>
              <to>
                <xdr:col>10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233" r:id="rId214" name="ddB2FrameModel"/>
      </mc:Fallback>
    </mc:AlternateContent>
    <mc:AlternateContent xmlns:mc="http://schemas.openxmlformats.org/markup-compatibility/2006">
      <mc:Choice Requires="x14">
        <control shapeId="1232" r:id="rId215" name="ddB2EngineMake">
          <controlPr autoLine="0" listFillRange="engineMakeList" r:id="rId216">
            <anchor moveWithCells="1">
              <from>
                <xdr:col>7</xdr:col>
                <xdr:colOff>0</xdr:colOff>
                <xdr:row>18</xdr:row>
                <xdr:rowOff>28575</xdr:rowOff>
              </from>
              <to>
                <xdr:col>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232" r:id="rId215" name="ddB2EngineMake"/>
      </mc:Fallback>
    </mc:AlternateContent>
    <mc:AlternateContent xmlns:mc="http://schemas.openxmlformats.org/markup-compatibility/2006">
      <mc:Choice Requires="x14">
        <control shapeId="1231" r:id="rId217" name="ddB2EngineModels">
          <controlPr autoLine="0" listFillRange="engineModelsList" r:id="rId218">
            <anchor moveWithCells="1">
              <from>
                <xdr:col>7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231" r:id="rId217" name="ddB2EngineModels"/>
      </mc:Fallback>
    </mc:AlternateContent>
    <mc:AlternateContent xmlns:mc="http://schemas.openxmlformats.org/markup-compatibility/2006">
      <mc:Choice Requires="x14">
        <control shapeId="1230" r:id="rId219" name="ddB2Customer">
          <controlPr autoLine="0" listFillRange="customerList" r:id="rId220">
            <anchor moveWithCells="1">
              <from>
                <xdr:col>10</xdr:col>
                <xdr:colOff>19050</xdr:colOff>
                <xdr:row>8</xdr:row>
                <xdr:rowOff>19050</xdr:rowOff>
              </from>
              <to>
                <xdr:col>10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230" r:id="rId219" name="ddB2Customer"/>
      </mc:Fallback>
    </mc:AlternateContent>
    <mc:AlternateContent xmlns:mc="http://schemas.openxmlformats.org/markup-compatibility/2006">
      <mc:Choice Requires="x14">
        <control shapeId="1229" r:id="rId221" name="ddB2PartType">
          <controlPr autoLine="0" listFillRange="partTypesList" r:id="rId222">
            <anchor moveWithCells="1">
              <from>
                <xdr:col>6</xdr:col>
                <xdr:colOff>619125</xdr:colOff>
                <xdr:row>15</xdr:row>
                <xdr:rowOff>19050</xdr:rowOff>
              </from>
              <to>
                <xdr:col>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229" r:id="rId221" name="ddB2PartType"/>
      </mc:Fallback>
    </mc:AlternateContent>
    <mc:AlternateContent xmlns:mc="http://schemas.openxmlformats.org/markup-compatibility/2006">
      <mc:Choice Requires="x14">
        <control shapeId="1228" r:id="rId223" name="ddB2PartsProvider">
          <controlPr autoLine="0" listFillRange="partsProvidersList" r:id="rId224">
            <anchor moveWithCells="1">
              <from>
                <xdr:col>6</xdr:col>
                <xdr:colOff>619125</xdr:colOff>
                <xdr:row>14</xdr:row>
                <xdr:rowOff>19050</xdr:rowOff>
              </from>
              <to>
                <xdr:col>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228" r:id="rId223" name="ddB2PartsProvider"/>
      </mc:Fallback>
    </mc:AlternateContent>
    <mc:AlternateContent xmlns:mc="http://schemas.openxmlformats.org/markup-compatibility/2006">
      <mc:Choice Requires="x14">
        <control shapeId="1227" r:id="rId225" name="cbB2Task5">
          <controlPr autoLine="0" r:id="rId32">
            <anchor moveWithCells="1">
              <from>
                <xdr:col>9</xdr:col>
                <xdr:colOff>19050</xdr:colOff>
                <xdr:row>14</xdr:row>
                <xdr:rowOff>180975</xdr:rowOff>
              </from>
              <to>
                <xdr:col>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227" r:id="rId225" name="cbB2Task5"/>
      </mc:Fallback>
    </mc:AlternateContent>
    <mc:AlternateContent xmlns:mc="http://schemas.openxmlformats.org/markup-compatibility/2006">
      <mc:Choice Requires="x14">
        <control shapeId="1226" r:id="rId226" name="ddB2Task5">
          <controlPr defaultSize="0" autoLine="0" listFillRange="taskList" r:id="rId34">
            <anchor moveWithCells="1">
              <from>
                <xdr:col>9</xdr:col>
                <xdr:colOff>228600</xdr:colOff>
                <xdr:row>14</xdr:row>
                <xdr:rowOff>161925</xdr:rowOff>
              </from>
              <to>
                <xdr:col>10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226" r:id="rId226" name="ddB2Task5"/>
      </mc:Fallback>
    </mc:AlternateContent>
    <mc:AlternateContent xmlns:mc="http://schemas.openxmlformats.org/markup-compatibility/2006">
      <mc:Choice Requires="x14">
        <control shapeId="1225" r:id="rId227" name="cbB2Task4">
          <controlPr autoLine="0" r:id="rId32">
            <anchor moveWithCells="1">
              <from>
                <xdr:col>9</xdr:col>
                <xdr:colOff>19050</xdr:colOff>
                <xdr:row>13</xdr:row>
                <xdr:rowOff>152400</xdr:rowOff>
              </from>
              <to>
                <xdr:col>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225" r:id="rId227" name="cbB2Task4"/>
      </mc:Fallback>
    </mc:AlternateContent>
    <mc:AlternateContent xmlns:mc="http://schemas.openxmlformats.org/markup-compatibility/2006">
      <mc:Choice Requires="x14">
        <control shapeId="1224" r:id="rId228" name="ddB2Task4">
          <controlPr defaultSize="0" autoLine="0" listFillRange="taskList" r:id="rId34">
            <anchor moveWithCells="1">
              <from>
                <xdr:col>9</xdr:col>
                <xdr:colOff>228600</xdr:colOff>
                <xdr:row>13</xdr:row>
                <xdr:rowOff>133350</xdr:rowOff>
              </from>
              <to>
                <xdr:col>10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224" r:id="rId228" name="ddB2Task4"/>
      </mc:Fallback>
    </mc:AlternateContent>
    <mc:AlternateContent xmlns:mc="http://schemas.openxmlformats.org/markup-compatibility/2006">
      <mc:Choice Requires="x14">
        <control shapeId="1223" r:id="rId229" name="cbB2Task3">
          <controlPr autoLine="0" r:id="rId32">
            <anchor moveWithCells="1">
              <from>
                <xdr:col>9</xdr:col>
                <xdr:colOff>19050</xdr:colOff>
                <xdr:row>12</xdr:row>
                <xdr:rowOff>123825</xdr:rowOff>
              </from>
              <to>
                <xdr:col>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223" r:id="rId229" name="cbB2Task3"/>
      </mc:Fallback>
    </mc:AlternateContent>
    <mc:AlternateContent xmlns:mc="http://schemas.openxmlformats.org/markup-compatibility/2006">
      <mc:Choice Requires="x14">
        <control shapeId="1222" r:id="rId230" name="ddB2Task3">
          <controlPr defaultSize="0" autoLine="0" listFillRange="taskList" r:id="rId231">
            <anchor moveWithCells="1">
              <from>
                <xdr:col>9</xdr:col>
                <xdr:colOff>228600</xdr:colOff>
                <xdr:row>12</xdr:row>
                <xdr:rowOff>104775</xdr:rowOff>
              </from>
              <to>
                <xdr:col>10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222" r:id="rId230" name="ddB2Task3"/>
      </mc:Fallback>
    </mc:AlternateContent>
    <mc:AlternateContent xmlns:mc="http://schemas.openxmlformats.org/markup-compatibility/2006">
      <mc:Choice Requires="x14">
        <control shapeId="1221" r:id="rId232" name="cbB2Task2">
          <controlPr autoLine="0" r:id="rId90">
            <anchor moveWithCells="1">
              <from>
                <xdr:col>9</xdr:col>
                <xdr:colOff>19050</xdr:colOff>
                <xdr:row>11</xdr:row>
                <xdr:rowOff>85725</xdr:rowOff>
              </from>
              <to>
                <xdr:col>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221" r:id="rId232" name="cbB2Task2"/>
      </mc:Fallback>
    </mc:AlternateContent>
    <mc:AlternateContent xmlns:mc="http://schemas.openxmlformats.org/markup-compatibility/2006">
      <mc:Choice Requires="x14">
        <control shapeId="1220" r:id="rId233" name="ddB2Task2">
          <controlPr defaultSize="0" autoLine="0" listFillRange="taskList" r:id="rId234">
            <anchor moveWithCells="1">
              <from>
                <xdr:col>9</xdr:col>
                <xdr:colOff>228600</xdr:colOff>
                <xdr:row>11</xdr:row>
                <xdr:rowOff>66675</xdr:rowOff>
              </from>
              <to>
                <xdr:col>10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220" r:id="rId233" name="ddB2Task2"/>
      </mc:Fallback>
    </mc:AlternateContent>
    <mc:AlternateContent xmlns:mc="http://schemas.openxmlformats.org/markup-compatibility/2006">
      <mc:Choice Requires="x14">
        <control shapeId="1219" r:id="rId235" name="cbB2Task1">
          <controlPr autoLine="0" autoPict="0" r:id="rId90">
            <anchor moveWithCells="1">
              <from>
                <xdr:col>9</xdr:col>
                <xdr:colOff>19050</xdr:colOff>
                <xdr:row>10</xdr:row>
                <xdr:rowOff>47625</xdr:rowOff>
              </from>
              <to>
                <xdr:col>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219" r:id="rId235" name="cbB2Task1"/>
      </mc:Fallback>
    </mc:AlternateContent>
    <mc:AlternateContent xmlns:mc="http://schemas.openxmlformats.org/markup-compatibility/2006">
      <mc:Choice Requires="x14">
        <control shapeId="1218" r:id="rId236" name="ddB2Task1">
          <controlPr defaultSize="0" autoLine="0" autoPict="0" listFillRange="taskList" r:id="rId237">
            <anchor moveWithCells="1">
              <from>
                <xdr:col>9</xdr:col>
                <xdr:colOff>228600</xdr:colOff>
                <xdr:row>10</xdr:row>
                <xdr:rowOff>28575</xdr:rowOff>
              </from>
              <to>
                <xdr:col>10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218" r:id="rId236" name="ddB2Task1"/>
      </mc:Fallback>
    </mc:AlternateContent>
    <mc:AlternateContent xmlns:mc="http://schemas.openxmlformats.org/markup-compatibility/2006">
      <mc:Choice Requires="x14">
        <control shapeId="1149" r:id="rId238" name="ComboBox36">
          <controlPr autoLine="0" listFillRange="frameMakeList" r:id="rId21">
            <anchor moveWithCells="1">
              <from>
                <xdr:col>20</xdr:col>
                <xdr:colOff>19050</xdr:colOff>
                <xdr:row>18</xdr:row>
                <xdr:rowOff>28575</xdr:rowOff>
              </from>
              <to>
                <xdr:col>20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149" r:id="rId238" name="ComboBox36"/>
      </mc:Fallback>
    </mc:AlternateContent>
    <mc:AlternateContent xmlns:mc="http://schemas.openxmlformats.org/markup-compatibility/2006">
      <mc:Choice Requires="x14">
        <control shapeId="1148" r:id="rId239" name="ComboBox35">
          <controlPr autoLine="0" listFillRange="frameModelList" r:id="rId23">
            <anchor moveWithCells="1">
              <from>
                <xdr:col>20</xdr:col>
                <xdr:colOff>19050</xdr:colOff>
                <xdr:row>19</xdr:row>
                <xdr:rowOff>9525</xdr:rowOff>
              </from>
              <to>
                <xdr:col>20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48" r:id="rId239" name="ComboBox35"/>
      </mc:Fallback>
    </mc:AlternateContent>
    <mc:AlternateContent xmlns:mc="http://schemas.openxmlformats.org/markup-compatibility/2006">
      <mc:Choice Requires="x14">
        <control shapeId="1147" r:id="rId240" name="ComboBox34">
          <controlPr autoLine="0" listFillRange="engineMakeList" r:id="rId25">
            <anchor moveWithCells="1">
              <from>
                <xdr:col>17</xdr:col>
                <xdr:colOff>0</xdr:colOff>
                <xdr:row>18</xdr:row>
                <xdr:rowOff>28575</xdr:rowOff>
              </from>
              <to>
                <xdr:col>18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147" r:id="rId240" name="ComboBox34"/>
      </mc:Fallback>
    </mc:AlternateContent>
    <mc:AlternateContent xmlns:mc="http://schemas.openxmlformats.org/markup-compatibility/2006">
      <mc:Choice Requires="x14">
        <control shapeId="1146" r:id="rId241" name="ComboBox33">
          <controlPr autoLine="0" listFillRange="engineModelsList" r:id="rId25">
            <anchor moveWithCells="1">
              <from>
                <xdr:col>17</xdr:col>
                <xdr:colOff>0</xdr:colOff>
                <xdr:row>19</xdr:row>
                <xdr:rowOff>19050</xdr:rowOff>
              </from>
              <to>
                <xdr:col>18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146" r:id="rId241" name="ComboBox33"/>
      </mc:Fallback>
    </mc:AlternateContent>
    <mc:AlternateContent xmlns:mc="http://schemas.openxmlformats.org/markup-compatibility/2006">
      <mc:Choice Requires="x14">
        <control shapeId="1145" r:id="rId242" name="ComboBox32">
          <controlPr autoLine="0" listFillRange="customerList" r:id="rId21">
            <anchor moveWithCells="1">
              <from>
                <xdr:col>20</xdr:col>
                <xdr:colOff>19050</xdr:colOff>
                <xdr:row>8</xdr:row>
                <xdr:rowOff>19050</xdr:rowOff>
              </from>
              <to>
                <xdr:col>20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145" r:id="rId242" name="ComboBox32"/>
      </mc:Fallback>
    </mc:AlternateContent>
    <mc:AlternateContent xmlns:mc="http://schemas.openxmlformats.org/markup-compatibility/2006">
      <mc:Choice Requires="x14">
        <control shapeId="1144" r:id="rId243" name="ComboBox31">
          <controlPr autoLine="0" listFillRange="partTypesList" r:id="rId29">
            <anchor moveWithCells="1">
              <from>
                <xdr:col>16</xdr:col>
                <xdr:colOff>619125</xdr:colOff>
                <xdr:row>15</xdr:row>
                <xdr:rowOff>19050</xdr:rowOff>
              </from>
              <to>
                <xdr:col>18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144" r:id="rId243" name="ComboBox31"/>
      </mc:Fallback>
    </mc:AlternateContent>
    <mc:AlternateContent xmlns:mc="http://schemas.openxmlformats.org/markup-compatibility/2006">
      <mc:Choice Requires="x14">
        <control shapeId="1143" r:id="rId244" name="ComboBox30">
          <controlPr autoLine="0" listFillRange="partsProvidersList" r:id="rId29">
            <anchor moveWithCells="1">
              <from>
                <xdr:col>16</xdr:col>
                <xdr:colOff>619125</xdr:colOff>
                <xdr:row>14</xdr:row>
                <xdr:rowOff>19050</xdr:rowOff>
              </from>
              <to>
                <xdr:col>18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143" r:id="rId244" name="ComboBox30"/>
      </mc:Fallback>
    </mc:AlternateContent>
    <mc:AlternateContent xmlns:mc="http://schemas.openxmlformats.org/markup-compatibility/2006">
      <mc:Choice Requires="x14">
        <control shapeId="1142" r:id="rId245" name="CheckBox15">
          <controlPr autoLine="0" r:id="rId32">
            <anchor moveWithCells="1">
              <from>
                <xdr:col>19</xdr:col>
                <xdr:colOff>19050</xdr:colOff>
                <xdr:row>14</xdr:row>
                <xdr:rowOff>180975</xdr:rowOff>
              </from>
              <to>
                <xdr:col>19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142" r:id="rId245" name="CheckBox15"/>
      </mc:Fallback>
    </mc:AlternateContent>
    <mc:AlternateContent xmlns:mc="http://schemas.openxmlformats.org/markup-compatibility/2006">
      <mc:Choice Requires="x14">
        <control shapeId="1141" r:id="rId246" name="ComboBox29">
          <controlPr defaultSize="0" autoLine="0" listFillRange="taskList" r:id="rId34">
            <anchor moveWithCells="1">
              <from>
                <xdr:col>19</xdr:col>
                <xdr:colOff>228600</xdr:colOff>
                <xdr:row>14</xdr:row>
                <xdr:rowOff>161925</xdr:rowOff>
              </from>
              <to>
                <xdr:col>20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141" r:id="rId246" name="ComboBox29"/>
      </mc:Fallback>
    </mc:AlternateContent>
    <mc:AlternateContent xmlns:mc="http://schemas.openxmlformats.org/markup-compatibility/2006">
      <mc:Choice Requires="x14">
        <control shapeId="1140" r:id="rId247" name="CheckBox14">
          <controlPr autoLine="0" r:id="rId32">
            <anchor moveWithCells="1">
              <from>
                <xdr:col>19</xdr:col>
                <xdr:colOff>19050</xdr:colOff>
                <xdr:row>13</xdr:row>
                <xdr:rowOff>152400</xdr:rowOff>
              </from>
              <to>
                <xdr:col>19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140" r:id="rId247" name="CheckBox14"/>
      </mc:Fallback>
    </mc:AlternateContent>
    <mc:AlternateContent xmlns:mc="http://schemas.openxmlformats.org/markup-compatibility/2006">
      <mc:Choice Requires="x14">
        <control shapeId="1139" r:id="rId248" name="ComboBox28">
          <controlPr defaultSize="0" autoLine="0" listFillRange="taskList" r:id="rId249">
            <anchor moveWithCells="1">
              <from>
                <xdr:col>19</xdr:col>
                <xdr:colOff>228600</xdr:colOff>
                <xdr:row>13</xdr:row>
                <xdr:rowOff>133350</xdr:rowOff>
              </from>
              <to>
                <xdr:col>20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139" r:id="rId248" name="ComboBox28"/>
      </mc:Fallback>
    </mc:AlternateContent>
    <mc:AlternateContent xmlns:mc="http://schemas.openxmlformats.org/markup-compatibility/2006">
      <mc:Choice Requires="x14">
        <control shapeId="1138" r:id="rId250" name="CheckBox13">
          <controlPr autoLine="0" r:id="rId90">
            <anchor moveWithCells="1">
              <from>
                <xdr:col>19</xdr:col>
                <xdr:colOff>19050</xdr:colOff>
                <xdr:row>12</xdr:row>
                <xdr:rowOff>123825</xdr:rowOff>
              </from>
              <to>
                <xdr:col>19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138" r:id="rId250" name="CheckBox13"/>
      </mc:Fallback>
    </mc:AlternateContent>
    <mc:AlternateContent xmlns:mc="http://schemas.openxmlformats.org/markup-compatibility/2006">
      <mc:Choice Requires="x14">
        <control shapeId="1137" r:id="rId251" name="ComboBox27">
          <controlPr defaultSize="0" autoLine="0" listFillRange="taskList" r:id="rId252">
            <anchor moveWithCells="1">
              <from>
                <xdr:col>19</xdr:col>
                <xdr:colOff>228600</xdr:colOff>
                <xdr:row>12</xdr:row>
                <xdr:rowOff>104775</xdr:rowOff>
              </from>
              <to>
                <xdr:col>20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137" r:id="rId251" name="ComboBox27"/>
      </mc:Fallback>
    </mc:AlternateContent>
    <mc:AlternateContent xmlns:mc="http://schemas.openxmlformats.org/markup-compatibility/2006">
      <mc:Choice Requires="x14">
        <control shapeId="1136" r:id="rId253" name="CheckBox12">
          <controlPr autoLine="0" r:id="rId32">
            <anchor moveWithCells="1">
              <from>
                <xdr:col>19</xdr:col>
                <xdr:colOff>19050</xdr:colOff>
                <xdr:row>11</xdr:row>
                <xdr:rowOff>85725</xdr:rowOff>
              </from>
              <to>
                <xdr:col>19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136" r:id="rId253" name="CheckBox12"/>
      </mc:Fallback>
    </mc:AlternateContent>
    <mc:AlternateContent xmlns:mc="http://schemas.openxmlformats.org/markup-compatibility/2006">
      <mc:Choice Requires="x14">
        <control shapeId="1135" r:id="rId254" name="ComboBox26">
          <controlPr defaultSize="0" autoLine="0" listFillRange="taskList" r:id="rId255">
            <anchor moveWithCells="1">
              <from>
                <xdr:col>19</xdr:col>
                <xdr:colOff>228600</xdr:colOff>
                <xdr:row>11</xdr:row>
                <xdr:rowOff>66675</xdr:rowOff>
              </from>
              <to>
                <xdr:col>20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135" r:id="rId254" name="ComboBox26"/>
      </mc:Fallback>
    </mc:AlternateContent>
    <mc:AlternateContent xmlns:mc="http://schemas.openxmlformats.org/markup-compatibility/2006">
      <mc:Choice Requires="x14">
        <control shapeId="1134" r:id="rId256" name="CheckBox11">
          <controlPr autoLine="0" autoPict="0" r:id="rId90">
            <anchor moveWithCells="1">
              <from>
                <xdr:col>19</xdr:col>
                <xdr:colOff>19050</xdr:colOff>
                <xdr:row>10</xdr:row>
                <xdr:rowOff>47625</xdr:rowOff>
              </from>
              <to>
                <xdr:col>19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134" r:id="rId256" name="CheckBox11"/>
      </mc:Fallback>
    </mc:AlternateContent>
    <mc:AlternateContent xmlns:mc="http://schemas.openxmlformats.org/markup-compatibility/2006">
      <mc:Choice Requires="x14">
        <control shapeId="1133" r:id="rId257" name="ComboBox25">
          <controlPr defaultSize="0" autoLine="0" autoPict="0" listFillRange="taskList" r:id="rId258">
            <anchor moveWithCells="1">
              <from>
                <xdr:col>19</xdr:col>
                <xdr:colOff>228600</xdr:colOff>
                <xdr:row>10</xdr:row>
                <xdr:rowOff>28575</xdr:rowOff>
              </from>
              <to>
                <xdr:col>20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133" r:id="rId257" name="ComboBox25"/>
      </mc:Fallback>
    </mc:AlternateContent>
    <mc:AlternateContent xmlns:mc="http://schemas.openxmlformats.org/markup-compatibility/2006">
      <mc:Choice Requires="x14">
        <control shapeId="1132" r:id="rId259" name="ComboBox24">
          <controlPr autoLine="0" listFillRange="frameMakeList" r:id="rId21">
            <anchor moveWithCells="1">
              <from>
                <xdr:col>15</xdr:col>
                <xdr:colOff>19050</xdr:colOff>
                <xdr:row>18</xdr:row>
                <xdr:rowOff>28575</xdr:rowOff>
              </from>
              <to>
                <xdr:col>15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132" r:id="rId259" name="ComboBox24"/>
      </mc:Fallback>
    </mc:AlternateContent>
    <mc:AlternateContent xmlns:mc="http://schemas.openxmlformats.org/markup-compatibility/2006">
      <mc:Choice Requires="x14">
        <control shapeId="1131" r:id="rId260" name="ComboBox23">
          <controlPr autoLine="0" listFillRange="frameModelList" r:id="rId23">
            <anchor moveWithCells="1">
              <from>
                <xdr:col>15</xdr:col>
                <xdr:colOff>19050</xdr:colOff>
                <xdr:row>19</xdr:row>
                <xdr:rowOff>9525</xdr:rowOff>
              </from>
              <to>
                <xdr:col>15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31" r:id="rId260" name="ComboBox23"/>
      </mc:Fallback>
    </mc:AlternateContent>
    <mc:AlternateContent xmlns:mc="http://schemas.openxmlformats.org/markup-compatibility/2006">
      <mc:Choice Requires="x14">
        <control shapeId="1130" r:id="rId261" name="ComboBox22">
          <controlPr autoLine="0" listFillRange="engineMakeList" r:id="rId25">
            <anchor moveWithCells="1">
              <from>
                <xdr:col>12</xdr:col>
                <xdr:colOff>0</xdr:colOff>
                <xdr:row>18</xdr:row>
                <xdr:rowOff>28575</xdr:rowOff>
              </from>
              <to>
                <xdr:col>13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130" r:id="rId261" name="ComboBox22"/>
      </mc:Fallback>
    </mc:AlternateContent>
    <mc:AlternateContent xmlns:mc="http://schemas.openxmlformats.org/markup-compatibility/2006">
      <mc:Choice Requires="x14">
        <control shapeId="1129" r:id="rId262" name="ComboBox21">
          <controlPr autoLine="0" listFillRange="engineModelsList" r:id="rId25">
            <anchor moveWithCells="1">
              <from>
                <xdr:col>12</xdr:col>
                <xdr:colOff>0</xdr:colOff>
                <xdr:row>19</xdr:row>
                <xdr:rowOff>19050</xdr:rowOff>
              </from>
              <to>
                <xdr:col>13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129" r:id="rId262" name="ComboBox21"/>
      </mc:Fallback>
    </mc:AlternateContent>
    <mc:AlternateContent xmlns:mc="http://schemas.openxmlformats.org/markup-compatibility/2006">
      <mc:Choice Requires="x14">
        <control shapeId="1128" r:id="rId263" name="ComboBox20">
          <controlPr autoLine="0" listFillRange="customerList" r:id="rId21">
            <anchor moveWithCells="1">
              <from>
                <xdr:col>15</xdr:col>
                <xdr:colOff>19050</xdr:colOff>
                <xdr:row>8</xdr:row>
                <xdr:rowOff>19050</xdr:rowOff>
              </from>
              <to>
                <xdr:col>15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128" r:id="rId263" name="ComboBox20"/>
      </mc:Fallback>
    </mc:AlternateContent>
    <mc:AlternateContent xmlns:mc="http://schemas.openxmlformats.org/markup-compatibility/2006">
      <mc:Choice Requires="x14">
        <control shapeId="1125" r:id="rId264" name="CheckBox10">
          <controlPr autoLine="0" r:id="rId32">
            <anchor moveWithCells="1">
              <from>
                <xdr:col>14</xdr:col>
                <xdr:colOff>19050</xdr:colOff>
                <xdr:row>14</xdr:row>
                <xdr:rowOff>180975</xdr:rowOff>
              </from>
              <to>
                <xdr:col>14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125" r:id="rId264" name="CheckBox10"/>
      </mc:Fallback>
    </mc:AlternateContent>
    <mc:AlternateContent xmlns:mc="http://schemas.openxmlformats.org/markup-compatibility/2006">
      <mc:Choice Requires="x14">
        <control shapeId="1124" r:id="rId265" name="ComboBox17">
          <controlPr defaultSize="0" autoLine="0" listFillRange="taskList" r:id="rId34">
            <anchor moveWithCells="1">
              <from>
                <xdr:col>14</xdr:col>
                <xdr:colOff>228600</xdr:colOff>
                <xdr:row>14</xdr:row>
                <xdr:rowOff>161925</xdr:rowOff>
              </from>
              <to>
                <xdr:col>15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124" r:id="rId265" name="ComboBox17"/>
      </mc:Fallback>
    </mc:AlternateContent>
    <mc:AlternateContent xmlns:mc="http://schemas.openxmlformats.org/markup-compatibility/2006">
      <mc:Choice Requires="x14">
        <control shapeId="1123" r:id="rId266" name="CheckBox9">
          <controlPr autoLine="0" r:id="rId32">
            <anchor moveWithCells="1">
              <from>
                <xdr:col>14</xdr:col>
                <xdr:colOff>19050</xdr:colOff>
                <xdr:row>13</xdr:row>
                <xdr:rowOff>152400</xdr:rowOff>
              </from>
              <to>
                <xdr:col>14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123" r:id="rId266" name="CheckBox9"/>
      </mc:Fallback>
    </mc:AlternateContent>
    <mc:AlternateContent xmlns:mc="http://schemas.openxmlformats.org/markup-compatibility/2006">
      <mc:Choice Requires="x14">
        <control shapeId="1122" r:id="rId267" name="ComboBox16">
          <controlPr defaultSize="0" autoLine="0" listFillRange="taskList" r:id="rId268">
            <anchor moveWithCells="1">
              <from>
                <xdr:col>14</xdr:col>
                <xdr:colOff>228600</xdr:colOff>
                <xdr:row>13</xdr:row>
                <xdr:rowOff>133350</xdr:rowOff>
              </from>
              <to>
                <xdr:col>15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122" r:id="rId267" name="ComboBox16"/>
      </mc:Fallback>
    </mc:AlternateContent>
    <mc:AlternateContent xmlns:mc="http://schemas.openxmlformats.org/markup-compatibility/2006">
      <mc:Choice Requires="x14">
        <control shapeId="1121" r:id="rId269" name="CheckBox8">
          <controlPr autoLine="0" r:id="rId90">
            <anchor moveWithCells="1">
              <from>
                <xdr:col>14</xdr:col>
                <xdr:colOff>19050</xdr:colOff>
                <xdr:row>12</xdr:row>
                <xdr:rowOff>123825</xdr:rowOff>
              </from>
              <to>
                <xdr:col>14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121" r:id="rId269" name="CheckBox8"/>
      </mc:Fallback>
    </mc:AlternateContent>
    <mc:AlternateContent xmlns:mc="http://schemas.openxmlformats.org/markup-compatibility/2006">
      <mc:Choice Requires="x14">
        <control shapeId="1120" r:id="rId270" name="ComboBox15">
          <controlPr defaultSize="0" autoLine="0" listFillRange="taskList" r:id="rId271">
            <anchor moveWithCells="1">
              <from>
                <xdr:col>14</xdr:col>
                <xdr:colOff>228600</xdr:colOff>
                <xdr:row>12</xdr:row>
                <xdr:rowOff>104775</xdr:rowOff>
              </from>
              <to>
                <xdr:col>15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120" r:id="rId270" name="ComboBox15"/>
      </mc:Fallback>
    </mc:AlternateContent>
    <mc:AlternateContent xmlns:mc="http://schemas.openxmlformats.org/markup-compatibility/2006">
      <mc:Choice Requires="x14">
        <control shapeId="1119" r:id="rId272" name="CheckBox7">
          <controlPr autoLine="0" r:id="rId32">
            <anchor moveWithCells="1">
              <from>
                <xdr:col>14</xdr:col>
                <xdr:colOff>19050</xdr:colOff>
                <xdr:row>11</xdr:row>
                <xdr:rowOff>85725</xdr:rowOff>
              </from>
              <to>
                <xdr:col>14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119" r:id="rId272" name="CheckBox7"/>
      </mc:Fallback>
    </mc:AlternateContent>
    <mc:AlternateContent xmlns:mc="http://schemas.openxmlformats.org/markup-compatibility/2006">
      <mc:Choice Requires="x14">
        <control shapeId="1118" r:id="rId273" name="ComboBox14">
          <controlPr defaultSize="0" autoLine="0" listFillRange="taskList" r:id="rId274">
            <anchor moveWithCells="1">
              <from>
                <xdr:col>14</xdr:col>
                <xdr:colOff>228600</xdr:colOff>
                <xdr:row>11</xdr:row>
                <xdr:rowOff>66675</xdr:rowOff>
              </from>
              <to>
                <xdr:col>15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118" r:id="rId273" name="ComboBox14"/>
      </mc:Fallback>
    </mc:AlternateContent>
    <mc:AlternateContent xmlns:mc="http://schemas.openxmlformats.org/markup-compatibility/2006">
      <mc:Choice Requires="x14">
        <control shapeId="1117" r:id="rId275" name="CheckBox6">
          <controlPr autoLine="0" autoPict="0" r:id="rId90">
            <anchor moveWithCells="1">
              <from>
                <xdr:col>14</xdr:col>
                <xdr:colOff>19050</xdr:colOff>
                <xdr:row>10</xdr:row>
                <xdr:rowOff>47625</xdr:rowOff>
              </from>
              <to>
                <xdr:col>14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117" r:id="rId275" name="CheckBox6"/>
      </mc:Fallback>
    </mc:AlternateContent>
    <mc:AlternateContent xmlns:mc="http://schemas.openxmlformats.org/markup-compatibility/2006">
      <mc:Choice Requires="x14">
        <control shapeId="1116" r:id="rId276" name="ComboBox13">
          <controlPr defaultSize="0" autoLine="0" autoPict="0" listFillRange="taskList" r:id="rId277">
            <anchor moveWithCells="1">
              <from>
                <xdr:col>14</xdr:col>
                <xdr:colOff>228600</xdr:colOff>
                <xdr:row>10</xdr:row>
                <xdr:rowOff>28575</xdr:rowOff>
              </from>
              <to>
                <xdr:col>15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116" r:id="rId276" name="ComboBox13"/>
      </mc:Fallback>
    </mc:AlternateContent>
    <mc:AlternateContent xmlns:mc="http://schemas.openxmlformats.org/markup-compatibility/2006">
      <mc:Choice Requires="x14">
        <control shapeId="1115" r:id="rId278" name="ComboBox12">
          <controlPr autoLine="0" listFillRange="frameMakeList" r:id="rId21">
            <anchor moveWithCells="1">
              <from>
                <xdr:col>10</xdr:col>
                <xdr:colOff>19050</xdr:colOff>
                <xdr:row>18</xdr:row>
                <xdr:rowOff>28575</xdr:rowOff>
              </from>
              <to>
                <xdr:col>10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115" r:id="rId278" name="ComboBox12"/>
      </mc:Fallback>
    </mc:AlternateContent>
    <mc:AlternateContent xmlns:mc="http://schemas.openxmlformats.org/markup-compatibility/2006">
      <mc:Choice Requires="x14">
        <control shapeId="1114" r:id="rId279" name="ComboBox11">
          <controlPr autoLine="0" listFillRange="frameModelList" r:id="rId23">
            <anchor moveWithCells="1">
              <from>
                <xdr:col>10</xdr:col>
                <xdr:colOff>19050</xdr:colOff>
                <xdr:row>19</xdr:row>
                <xdr:rowOff>9525</xdr:rowOff>
              </from>
              <to>
                <xdr:col>10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14" r:id="rId279" name="ComboBox11"/>
      </mc:Fallback>
    </mc:AlternateContent>
    <mc:AlternateContent xmlns:mc="http://schemas.openxmlformats.org/markup-compatibility/2006">
      <mc:Choice Requires="x14">
        <control shapeId="1113" r:id="rId280" name="ComboBox10">
          <controlPr autoLine="0" listFillRange="engineMakeList" r:id="rId25">
            <anchor moveWithCells="1">
              <from>
                <xdr:col>7</xdr:col>
                <xdr:colOff>0</xdr:colOff>
                <xdr:row>18</xdr:row>
                <xdr:rowOff>28575</xdr:rowOff>
              </from>
              <to>
                <xdr:col>8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113" r:id="rId280" name="ComboBox10"/>
      </mc:Fallback>
    </mc:AlternateContent>
    <mc:AlternateContent xmlns:mc="http://schemas.openxmlformats.org/markup-compatibility/2006">
      <mc:Choice Requires="x14">
        <control shapeId="1112" r:id="rId281" name="ComboBox9">
          <controlPr autoLine="0" listFillRange="engineModelsList" r:id="rId25">
            <anchor moveWithCells="1">
              <from>
                <xdr:col>7</xdr:col>
                <xdr:colOff>0</xdr:colOff>
                <xdr:row>19</xdr:row>
                <xdr:rowOff>19050</xdr:rowOff>
              </from>
              <to>
                <xdr:col>8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112" r:id="rId281" name="ComboBox9"/>
      </mc:Fallback>
    </mc:AlternateContent>
    <mc:AlternateContent xmlns:mc="http://schemas.openxmlformats.org/markup-compatibility/2006">
      <mc:Choice Requires="x14">
        <control shapeId="1111" r:id="rId282" name="ComboBox8">
          <controlPr autoLine="0" listFillRange="customerList" r:id="rId21">
            <anchor moveWithCells="1">
              <from>
                <xdr:col>10</xdr:col>
                <xdr:colOff>19050</xdr:colOff>
                <xdr:row>8</xdr:row>
                <xdr:rowOff>19050</xdr:rowOff>
              </from>
              <to>
                <xdr:col>10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111" r:id="rId282" name="ComboBox8"/>
      </mc:Fallback>
    </mc:AlternateContent>
    <mc:AlternateContent xmlns:mc="http://schemas.openxmlformats.org/markup-compatibility/2006">
      <mc:Choice Requires="x14">
        <control shapeId="1110" r:id="rId283" name="ComboBox7">
          <controlPr autoLine="0" listFillRange="partTypesList" r:id="rId29">
            <anchor moveWithCells="1">
              <from>
                <xdr:col>6</xdr:col>
                <xdr:colOff>619125</xdr:colOff>
                <xdr:row>15</xdr:row>
                <xdr:rowOff>19050</xdr:rowOff>
              </from>
              <to>
                <xdr:col>8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110" r:id="rId283" name="ComboBox7"/>
      </mc:Fallback>
    </mc:AlternateContent>
    <mc:AlternateContent xmlns:mc="http://schemas.openxmlformats.org/markup-compatibility/2006">
      <mc:Choice Requires="x14">
        <control shapeId="1109" r:id="rId284" name="ComboBox6">
          <controlPr autoLine="0" listFillRange="partsProvidersList" r:id="rId29">
            <anchor moveWithCells="1">
              <from>
                <xdr:col>6</xdr:col>
                <xdr:colOff>619125</xdr:colOff>
                <xdr:row>14</xdr:row>
                <xdr:rowOff>19050</xdr:rowOff>
              </from>
              <to>
                <xdr:col>8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109" r:id="rId284" name="ComboBox6"/>
      </mc:Fallback>
    </mc:AlternateContent>
    <mc:AlternateContent xmlns:mc="http://schemas.openxmlformats.org/markup-compatibility/2006">
      <mc:Choice Requires="x14">
        <control shapeId="1108" r:id="rId285" name="CheckBox5">
          <controlPr autoLine="0" r:id="rId32">
            <anchor moveWithCells="1">
              <from>
                <xdr:col>9</xdr:col>
                <xdr:colOff>19050</xdr:colOff>
                <xdr:row>14</xdr:row>
                <xdr:rowOff>180975</xdr:rowOff>
              </from>
              <to>
                <xdr:col>9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108" r:id="rId285" name="CheckBox5"/>
      </mc:Fallback>
    </mc:AlternateContent>
    <mc:AlternateContent xmlns:mc="http://schemas.openxmlformats.org/markup-compatibility/2006">
      <mc:Choice Requires="x14">
        <control shapeId="1107" r:id="rId286" name="ComboBox5">
          <controlPr defaultSize="0" autoLine="0" listFillRange="taskList" r:id="rId34">
            <anchor moveWithCells="1">
              <from>
                <xdr:col>9</xdr:col>
                <xdr:colOff>228600</xdr:colOff>
                <xdr:row>14</xdr:row>
                <xdr:rowOff>161925</xdr:rowOff>
              </from>
              <to>
                <xdr:col>10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107" r:id="rId286" name="ComboBox5"/>
      </mc:Fallback>
    </mc:AlternateContent>
    <mc:AlternateContent xmlns:mc="http://schemas.openxmlformats.org/markup-compatibility/2006">
      <mc:Choice Requires="x14">
        <control shapeId="1106" r:id="rId287" name="CheckBox4">
          <controlPr autoLine="0" r:id="rId32">
            <anchor moveWithCells="1">
              <from>
                <xdr:col>9</xdr:col>
                <xdr:colOff>19050</xdr:colOff>
                <xdr:row>13</xdr:row>
                <xdr:rowOff>152400</xdr:rowOff>
              </from>
              <to>
                <xdr:col>9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106" r:id="rId287" name="CheckBox4"/>
      </mc:Fallback>
    </mc:AlternateContent>
    <mc:AlternateContent xmlns:mc="http://schemas.openxmlformats.org/markup-compatibility/2006">
      <mc:Choice Requires="x14">
        <control shapeId="1105" r:id="rId288" name="ComboBox4">
          <controlPr defaultSize="0" autoLine="0" listFillRange="taskList" r:id="rId289">
            <anchor moveWithCells="1">
              <from>
                <xdr:col>9</xdr:col>
                <xdr:colOff>228600</xdr:colOff>
                <xdr:row>13</xdr:row>
                <xdr:rowOff>133350</xdr:rowOff>
              </from>
              <to>
                <xdr:col>10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105" r:id="rId288" name="ComboBox4"/>
      </mc:Fallback>
    </mc:AlternateContent>
    <mc:AlternateContent xmlns:mc="http://schemas.openxmlformats.org/markup-compatibility/2006">
      <mc:Choice Requires="x14">
        <control shapeId="1104" r:id="rId290" name="CheckBox3">
          <controlPr autoLine="0" r:id="rId90">
            <anchor moveWithCells="1">
              <from>
                <xdr:col>9</xdr:col>
                <xdr:colOff>19050</xdr:colOff>
                <xdr:row>12</xdr:row>
                <xdr:rowOff>123825</xdr:rowOff>
              </from>
              <to>
                <xdr:col>9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104" r:id="rId290" name="CheckBox3"/>
      </mc:Fallback>
    </mc:AlternateContent>
    <mc:AlternateContent xmlns:mc="http://schemas.openxmlformats.org/markup-compatibility/2006">
      <mc:Choice Requires="x14">
        <control shapeId="1103" r:id="rId291" name="ComboBox3">
          <controlPr defaultSize="0" autoLine="0" listFillRange="taskList" r:id="rId292">
            <anchor moveWithCells="1">
              <from>
                <xdr:col>9</xdr:col>
                <xdr:colOff>228600</xdr:colOff>
                <xdr:row>12</xdr:row>
                <xdr:rowOff>104775</xdr:rowOff>
              </from>
              <to>
                <xdr:col>10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103" r:id="rId291" name="ComboBox3"/>
      </mc:Fallback>
    </mc:AlternateContent>
    <mc:AlternateContent xmlns:mc="http://schemas.openxmlformats.org/markup-compatibility/2006">
      <mc:Choice Requires="x14">
        <control shapeId="1102" r:id="rId293" name="CheckBox2">
          <controlPr autoLine="0" r:id="rId32">
            <anchor moveWithCells="1">
              <from>
                <xdr:col>9</xdr:col>
                <xdr:colOff>19050</xdr:colOff>
                <xdr:row>11</xdr:row>
                <xdr:rowOff>85725</xdr:rowOff>
              </from>
              <to>
                <xdr:col>9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102" r:id="rId293" name="CheckBox2"/>
      </mc:Fallback>
    </mc:AlternateContent>
    <mc:AlternateContent xmlns:mc="http://schemas.openxmlformats.org/markup-compatibility/2006">
      <mc:Choice Requires="x14">
        <control shapeId="1101" r:id="rId294" name="ComboBox2">
          <controlPr defaultSize="0" autoLine="0" listFillRange="taskList" r:id="rId295">
            <anchor moveWithCells="1">
              <from>
                <xdr:col>9</xdr:col>
                <xdr:colOff>228600</xdr:colOff>
                <xdr:row>11</xdr:row>
                <xdr:rowOff>66675</xdr:rowOff>
              </from>
              <to>
                <xdr:col>10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101" r:id="rId294" name="ComboBox2"/>
      </mc:Fallback>
    </mc:AlternateContent>
    <mc:AlternateContent xmlns:mc="http://schemas.openxmlformats.org/markup-compatibility/2006">
      <mc:Choice Requires="x14">
        <control shapeId="1100" r:id="rId296" name="CheckBox1">
          <controlPr autoLine="0" autoPict="0" r:id="rId90">
            <anchor moveWithCells="1">
              <from>
                <xdr:col>9</xdr:col>
                <xdr:colOff>19050</xdr:colOff>
                <xdr:row>10</xdr:row>
                <xdr:rowOff>47625</xdr:rowOff>
              </from>
              <to>
                <xdr:col>9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100" r:id="rId296" name="CheckBox1"/>
      </mc:Fallback>
    </mc:AlternateContent>
    <mc:AlternateContent xmlns:mc="http://schemas.openxmlformats.org/markup-compatibility/2006">
      <mc:Choice Requires="x14">
        <control shapeId="1099" r:id="rId297" name="ComboBox1">
          <controlPr defaultSize="0" autoLine="0" autoPict="0" listFillRange="taskList" r:id="rId298">
            <anchor moveWithCells="1">
              <from>
                <xdr:col>9</xdr:col>
                <xdr:colOff>228600</xdr:colOff>
                <xdr:row>10</xdr:row>
                <xdr:rowOff>28575</xdr:rowOff>
              </from>
              <to>
                <xdr:col>10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099" r:id="rId297" name="ComboBox1"/>
      </mc:Fallback>
    </mc:AlternateContent>
    <mc:AlternateContent xmlns:mc="http://schemas.openxmlformats.org/markup-compatibility/2006">
      <mc:Choice Requires="x14">
        <control shapeId="1060" r:id="rId299" name="ddB1FrameMake">
          <controlPr autoLine="0" listFillRange="frameMakeList" r:id="rId21">
            <anchor moveWithCells="1">
              <from>
                <xdr:col>5</xdr:col>
                <xdr:colOff>19050</xdr:colOff>
                <xdr:row>18</xdr:row>
                <xdr:rowOff>28575</xdr:rowOff>
              </from>
              <to>
                <xdr:col>5</xdr:col>
                <xdr:colOff>1504950</xdr:colOff>
                <xdr:row>19</xdr:row>
                <xdr:rowOff>9525</xdr:rowOff>
              </to>
            </anchor>
          </controlPr>
        </control>
      </mc:Choice>
      <mc:Fallback>
        <control shapeId="1060" r:id="rId299" name="ddB1FrameMake"/>
      </mc:Fallback>
    </mc:AlternateContent>
    <mc:AlternateContent xmlns:mc="http://schemas.openxmlformats.org/markup-compatibility/2006">
      <mc:Choice Requires="x14">
        <control shapeId="1059" r:id="rId300" name="ddB1FrameModel">
          <controlPr autoLine="0" listFillRange="frameModelList" r:id="rId23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5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059" r:id="rId300" name="ddB1FrameModel"/>
      </mc:Fallback>
    </mc:AlternateContent>
    <mc:AlternateContent xmlns:mc="http://schemas.openxmlformats.org/markup-compatibility/2006">
      <mc:Choice Requires="x14">
        <control shapeId="1058" r:id="rId301" name="ddB1EngineMake">
          <controlPr autoLine="0" listFillRange="engineMakeList" r:id="rId25">
            <anchor moveWithCells="1">
              <from>
                <xdr:col>2</xdr:col>
                <xdr:colOff>0</xdr:colOff>
                <xdr:row>18</xdr:row>
                <xdr:rowOff>28575</xdr:rowOff>
              </from>
              <to>
                <xdr:col>3</xdr:col>
                <xdr:colOff>9525</xdr:colOff>
                <xdr:row>19</xdr:row>
                <xdr:rowOff>9525</xdr:rowOff>
              </to>
            </anchor>
          </controlPr>
        </control>
      </mc:Choice>
      <mc:Fallback>
        <control shapeId="1058" r:id="rId301" name="ddB1EngineMake"/>
      </mc:Fallback>
    </mc:AlternateContent>
    <mc:AlternateContent xmlns:mc="http://schemas.openxmlformats.org/markup-compatibility/2006">
      <mc:Choice Requires="x14">
        <control shapeId="1057" r:id="rId302" name="ddB1EngineModels">
          <controlPr autoLine="0" listFillRange="engineModelsList" r:id="rId25">
            <anchor moveWithCells="1">
              <from>
                <xdr:col>2</xdr:col>
                <xdr:colOff>0</xdr:colOff>
                <xdr:row>19</xdr:row>
                <xdr:rowOff>19050</xdr:rowOff>
              </from>
              <to>
                <xdr:col>3</xdr:col>
                <xdr:colOff>9525</xdr:colOff>
                <xdr:row>20</xdr:row>
                <xdr:rowOff>0</xdr:rowOff>
              </to>
            </anchor>
          </controlPr>
        </control>
      </mc:Choice>
      <mc:Fallback>
        <control shapeId="1057" r:id="rId302" name="ddB1EngineModels"/>
      </mc:Fallback>
    </mc:AlternateContent>
    <mc:AlternateContent xmlns:mc="http://schemas.openxmlformats.org/markup-compatibility/2006">
      <mc:Choice Requires="x14">
        <control shapeId="1056" r:id="rId303" name="ddB1Customer">
          <controlPr autoLine="0" listFillRange="customerList" r:id="rId304">
            <anchor moveWithCells="1">
              <from>
                <xdr:col>5</xdr:col>
                <xdr:colOff>19050</xdr:colOff>
                <xdr:row>8</xdr:row>
                <xdr:rowOff>19050</xdr:rowOff>
              </from>
              <to>
                <xdr:col>5</xdr:col>
                <xdr:colOff>1504950</xdr:colOff>
                <xdr:row>9</xdr:row>
                <xdr:rowOff>9525</xdr:rowOff>
              </to>
            </anchor>
          </controlPr>
        </control>
      </mc:Choice>
      <mc:Fallback>
        <control shapeId="1056" r:id="rId303" name="ddB1Customer"/>
      </mc:Fallback>
    </mc:AlternateContent>
    <mc:AlternateContent xmlns:mc="http://schemas.openxmlformats.org/markup-compatibility/2006">
      <mc:Choice Requires="x14">
        <control shapeId="1054" r:id="rId305" name="ddB1PartType">
          <controlPr autoLine="0" listFillRange="partTypesList" r:id="rId29">
            <anchor moveWithCells="1">
              <from>
                <xdr:col>1</xdr:col>
                <xdr:colOff>619125</xdr:colOff>
                <xdr:row>15</xdr:row>
                <xdr:rowOff>19050</xdr:rowOff>
              </from>
              <to>
                <xdr:col>3</xdr:col>
                <xdr:colOff>0</xdr:colOff>
                <xdr:row>16</xdr:row>
                <xdr:rowOff>9525</xdr:rowOff>
              </to>
            </anchor>
          </controlPr>
        </control>
      </mc:Choice>
      <mc:Fallback>
        <control shapeId="1054" r:id="rId305" name="ddB1PartType"/>
      </mc:Fallback>
    </mc:AlternateContent>
    <mc:AlternateContent xmlns:mc="http://schemas.openxmlformats.org/markup-compatibility/2006">
      <mc:Choice Requires="x14">
        <control shapeId="1053" r:id="rId306" name="ddB1PartsProvider">
          <controlPr autoLine="0" listFillRange="partsProvidersList" r:id="rId29">
            <anchor moveWithCells="1">
              <from>
                <xdr:col>1</xdr:col>
                <xdr:colOff>619125</xdr:colOff>
                <xdr:row>14</xdr:row>
                <xdr:rowOff>19050</xdr:rowOff>
              </from>
              <to>
                <xdr:col>3</xdr:col>
                <xdr:colOff>0</xdr:colOff>
                <xdr:row>15</xdr:row>
                <xdr:rowOff>9525</xdr:rowOff>
              </to>
            </anchor>
          </controlPr>
        </control>
      </mc:Choice>
      <mc:Fallback>
        <control shapeId="1053" r:id="rId306" name="ddB1PartsProvider"/>
      </mc:Fallback>
    </mc:AlternateContent>
    <mc:AlternateContent xmlns:mc="http://schemas.openxmlformats.org/markup-compatibility/2006">
      <mc:Choice Requires="x14">
        <control shapeId="1039" r:id="rId307" name="cbB1Task5">
          <controlPr autoLine="0" r:id="rId32">
            <anchor moveWithCells="1">
              <from>
                <xdr:col>4</xdr:col>
                <xdr:colOff>19050</xdr:colOff>
                <xdr:row>14</xdr:row>
                <xdr:rowOff>180975</xdr:rowOff>
              </from>
              <to>
                <xdr:col>4</xdr:col>
                <xdr:colOff>161925</xdr:colOff>
                <xdr:row>16</xdr:row>
                <xdr:rowOff>0</xdr:rowOff>
              </to>
            </anchor>
          </controlPr>
        </control>
      </mc:Choice>
      <mc:Fallback>
        <control shapeId="1039" r:id="rId307" name="cbB1Task5"/>
      </mc:Fallback>
    </mc:AlternateContent>
    <mc:AlternateContent xmlns:mc="http://schemas.openxmlformats.org/markup-compatibility/2006">
      <mc:Choice Requires="x14">
        <control shapeId="1038" r:id="rId308" name="ddB1Task5">
          <controlPr defaultSize="0" autoLine="0" listFillRange="taskList" r:id="rId34">
            <anchor moveWithCells="1">
              <from>
                <xdr:col>4</xdr:col>
                <xdr:colOff>228600</xdr:colOff>
                <xdr:row>14</xdr:row>
                <xdr:rowOff>161925</xdr:rowOff>
              </from>
              <to>
                <xdr:col>5</xdr:col>
                <xdr:colOff>1495425</xdr:colOff>
                <xdr:row>16</xdr:row>
                <xdr:rowOff>0</xdr:rowOff>
              </to>
            </anchor>
          </controlPr>
        </control>
      </mc:Choice>
      <mc:Fallback>
        <control shapeId="1038" r:id="rId308" name="ddB1Task5"/>
      </mc:Fallback>
    </mc:AlternateContent>
    <mc:AlternateContent xmlns:mc="http://schemas.openxmlformats.org/markup-compatibility/2006">
      <mc:Choice Requires="x14">
        <control shapeId="1037" r:id="rId309" name="cbB1Task4">
          <controlPr autoLine="0" r:id="rId32">
            <anchor moveWithCells="1">
              <from>
                <xdr:col>4</xdr:col>
                <xdr:colOff>19050</xdr:colOff>
                <xdr:row>13</xdr:row>
                <xdr:rowOff>152400</xdr:rowOff>
              </from>
              <to>
                <xdr:col>4</xdr:col>
                <xdr:colOff>161925</xdr:colOff>
                <xdr:row>14</xdr:row>
                <xdr:rowOff>161925</xdr:rowOff>
              </to>
            </anchor>
          </controlPr>
        </control>
      </mc:Choice>
      <mc:Fallback>
        <control shapeId="1037" r:id="rId309" name="cbB1Task4"/>
      </mc:Fallback>
    </mc:AlternateContent>
    <mc:AlternateContent xmlns:mc="http://schemas.openxmlformats.org/markup-compatibility/2006">
      <mc:Choice Requires="x14">
        <control shapeId="1036" r:id="rId310" name="ddB1Task4">
          <controlPr defaultSize="0" autoLine="0" listFillRange="taskList" r:id="rId34">
            <anchor moveWithCells="1">
              <from>
                <xdr:col>4</xdr:col>
                <xdr:colOff>228600</xdr:colOff>
                <xdr:row>13</xdr:row>
                <xdr:rowOff>133350</xdr:rowOff>
              </from>
              <to>
                <xdr:col>5</xdr:col>
                <xdr:colOff>1495425</xdr:colOff>
                <xdr:row>14</xdr:row>
                <xdr:rowOff>161925</xdr:rowOff>
              </to>
            </anchor>
          </controlPr>
        </control>
      </mc:Choice>
      <mc:Fallback>
        <control shapeId="1036" r:id="rId310" name="ddB1Task4"/>
      </mc:Fallback>
    </mc:AlternateContent>
    <mc:AlternateContent xmlns:mc="http://schemas.openxmlformats.org/markup-compatibility/2006">
      <mc:Choice Requires="x14">
        <control shapeId="1035" r:id="rId311" name="cbB1Task3">
          <controlPr autoLine="0" r:id="rId32">
            <anchor moveWithCells="1">
              <from>
                <xdr:col>4</xdr:col>
                <xdr:colOff>19050</xdr:colOff>
                <xdr:row>12</xdr:row>
                <xdr:rowOff>123825</xdr:rowOff>
              </from>
              <to>
                <xdr:col>4</xdr:col>
                <xdr:colOff>161925</xdr:colOff>
                <xdr:row>13</xdr:row>
                <xdr:rowOff>133350</xdr:rowOff>
              </to>
            </anchor>
          </controlPr>
        </control>
      </mc:Choice>
      <mc:Fallback>
        <control shapeId="1035" r:id="rId311" name="cbB1Task3"/>
      </mc:Fallback>
    </mc:AlternateContent>
    <mc:AlternateContent xmlns:mc="http://schemas.openxmlformats.org/markup-compatibility/2006">
      <mc:Choice Requires="x14">
        <control shapeId="1034" r:id="rId312" name="ddB1Task3">
          <controlPr defaultSize="0" autoLine="0" listFillRange="taskList" r:id="rId34">
            <anchor moveWithCells="1">
              <from>
                <xdr:col>4</xdr:col>
                <xdr:colOff>228600</xdr:colOff>
                <xdr:row>12</xdr:row>
                <xdr:rowOff>104775</xdr:rowOff>
              </from>
              <to>
                <xdr:col>5</xdr:col>
                <xdr:colOff>1495425</xdr:colOff>
                <xdr:row>13</xdr:row>
                <xdr:rowOff>133350</xdr:rowOff>
              </to>
            </anchor>
          </controlPr>
        </control>
      </mc:Choice>
      <mc:Fallback>
        <control shapeId="1034" r:id="rId312" name="ddB1Task3"/>
      </mc:Fallback>
    </mc:AlternateContent>
    <mc:AlternateContent xmlns:mc="http://schemas.openxmlformats.org/markup-compatibility/2006">
      <mc:Choice Requires="x14">
        <control shapeId="1033" r:id="rId313" name="cbB1Task2">
          <controlPr autoLine="0" r:id="rId32">
            <anchor moveWithCells="1">
              <from>
                <xdr:col>4</xdr:col>
                <xdr:colOff>19050</xdr:colOff>
                <xdr:row>11</xdr:row>
                <xdr:rowOff>85725</xdr:rowOff>
              </from>
              <to>
                <xdr:col>4</xdr:col>
                <xdr:colOff>161925</xdr:colOff>
                <xdr:row>12</xdr:row>
                <xdr:rowOff>95250</xdr:rowOff>
              </to>
            </anchor>
          </controlPr>
        </control>
      </mc:Choice>
      <mc:Fallback>
        <control shapeId="1033" r:id="rId313" name="cbB1Task2"/>
      </mc:Fallback>
    </mc:AlternateContent>
    <mc:AlternateContent xmlns:mc="http://schemas.openxmlformats.org/markup-compatibility/2006">
      <mc:Choice Requires="x14">
        <control shapeId="1032" r:id="rId314" name="ddB1Task2">
          <controlPr defaultSize="0" autoLine="0" listFillRange="taskList" r:id="rId34">
            <anchor moveWithCells="1">
              <from>
                <xdr:col>4</xdr:col>
                <xdr:colOff>228600</xdr:colOff>
                <xdr:row>11</xdr:row>
                <xdr:rowOff>66675</xdr:rowOff>
              </from>
              <to>
                <xdr:col>5</xdr:col>
                <xdr:colOff>1495425</xdr:colOff>
                <xdr:row>12</xdr:row>
                <xdr:rowOff>95250</xdr:rowOff>
              </to>
            </anchor>
          </controlPr>
        </control>
      </mc:Choice>
      <mc:Fallback>
        <control shapeId="1032" r:id="rId314" name="ddB1Task2"/>
      </mc:Fallback>
    </mc:AlternateContent>
    <mc:AlternateContent xmlns:mc="http://schemas.openxmlformats.org/markup-compatibility/2006">
      <mc:Choice Requires="x14">
        <control shapeId="1031" r:id="rId315" name="cbB1Task1">
          <controlPr autoLine="0" autoPict="0" r:id="rId32">
            <anchor moveWithCells="1">
              <from>
                <xdr:col>4</xdr:col>
                <xdr:colOff>19050</xdr:colOff>
                <xdr:row>10</xdr:row>
                <xdr:rowOff>47625</xdr:rowOff>
              </from>
              <to>
                <xdr:col>4</xdr:col>
                <xdr:colOff>161925</xdr:colOff>
                <xdr:row>11</xdr:row>
                <xdr:rowOff>57150</xdr:rowOff>
              </to>
            </anchor>
          </controlPr>
        </control>
      </mc:Choice>
      <mc:Fallback>
        <control shapeId="1031" r:id="rId315" name="cbB1Task1"/>
      </mc:Fallback>
    </mc:AlternateContent>
    <mc:AlternateContent xmlns:mc="http://schemas.openxmlformats.org/markup-compatibility/2006">
      <mc:Choice Requires="x14">
        <control shapeId="1030" r:id="rId316" name="ddB1Task1">
          <controlPr defaultSize="0" autoLine="0" autoPict="0" listFillRange="taskList" r:id="rId34">
            <anchor moveWithCells="1">
              <from>
                <xdr:col>4</xdr:col>
                <xdr:colOff>228600</xdr:colOff>
                <xdr:row>10</xdr:row>
                <xdr:rowOff>28575</xdr:rowOff>
              </from>
              <to>
                <xdr:col>5</xdr:col>
                <xdr:colOff>1495425</xdr:colOff>
                <xdr:row>11</xdr:row>
                <xdr:rowOff>57150</xdr:rowOff>
              </to>
            </anchor>
          </controlPr>
        </control>
      </mc:Choice>
      <mc:Fallback>
        <control shapeId="1030" r:id="rId316" name="ddB1Tas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78"/>
  <sheetViews>
    <sheetView showGridLines="0" workbookViewId="0">
      <selection activeCell="C4" sqref="C4"/>
    </sheetView>
  </sheetViews>
  <sheetFormatPr defaultRowHeight="15" x14ac:dyDescent="0.25"/>
  <cols>
    <col min="1" max="1" width="29.7109375" style="59" bestFit="1" customWidth="1"/>
    <col min="2" max="2" width="3.28515625" customWidth="1"/>
    <col min="3" max="3" width="16" customWidth="1"/>
    <col min="4" max="4" width="3.28515625" customWidth="1"/>
    <col min="5" max="5" width="12.7109375" bestFit="1" customWidth="1"/>
    <col min="6" max="6" width="3.28515625" customWidth="1"/>
    <col min="7" max="7" width="19.85546875" bestFit="1" customWidth="1"/>
    <col min="8" max="8" width="3.28515625" customWidth="1"/>
    <col min="9" max="9" width="24.7109375" bestFit="1" customWidth="1"/>
    <col min="10" max="10" width="3.28515625" customWidth="1"/>
    <col min="11" max="11" width="19.85546875" bestFit="1" customWidth="1"/>
    <col min="12" max="12" width="3.28515625" customWidth="1"/>
    <col min="13" max="13" width="19.85546875" bestFit="1" customWidth="1"/>
    <col min="14" max="14" width="3.28515625" customWidth="1"/>
    <col min="15" max="15" width="19.85546875" bestFit="1" customWidth="1"/>
    <col min="16" max="16" width="3.28515625" customWidth="1"/>
    <col min="17" max="17" width="19.85546875" bestFit="1" customWidth="1"/>
    <col min="18" max="18" width="3.28515625" customWidth="1"/>
    <col min="19" max="19" width="14.140625" customWidth="1"/>
  </cols>
  <sheetData>
    <row r="1" spans="1:20" ht="15.75" x14ac:dyDescent="0.25">
      <c r="A1" s="58" t="s">
        <v>99</v>
      </c>
      <c r="C1" t="s">
        <v>105</v>
      </c>
      <c r="E1" t="s">
        <v>108</v>
      </c>
      <c r="G1" t="s">
        <v>124</v>
      </c>
      <c r="I1" s="64" t="s">
        <v>125</v>
      </c>
      <c r="K1" t="s">
        <v>180</v>
      </c>
      <c r="M1" t="s">
        <v>181</v>
      </c>
      <c r="O1" t="s">
        <v>182</v>
      </c>
      <c r="Q1" t="s">
        <v>183</v>
      </c>
      <c r="S1" t="s">
        <v>184</v>
      </c>
      <c r="T1" t="s">
        <v>185</v>
      </c>
    </row>
    <row r="2" spans="1:20" ht="15.75" x14ac:dyDescent="0.25">
      <c r="A2" s="58" t="s">
        <v>101</v>
      </c>
      <c r="C2" t="s">
        <v>104</v>
      </c>
      <c r="E2" t="s">
        <v>196</v>
      </c>
      <c r="G2" s="56" t="s">
        <v>123</v>
      </c>
      <c r="I2" s="64" t="s">
        <v>126</v>
      </c>
      <c r="K2" s="56" t="s">
        <v>193</v>
      </c>
      <c r="M2" s="56" t="s">
        <v>236</v>
      </c>
      <c r="O2" s="56" t="s">
        <v>239</v>
      </c>
      <c r="Q2" s="66">
        <v>42370</v>
      </c>
      <c r="S2">
        <v>0</v>
      </c>
      <c r="T2" t="s">
        <v>186</v>
      </c>
    </row>
    <row r="3" spans="1:20" ht="15.75" x14ac:dyDescent="0.25">
      <c r="A3" s="58" t="s">
        <v>100</v>
      </c>
      <c r="C3" t="s">
        <v>106</v>
      </c>
      <c r="E3" t="s">
        <v>110</v>
      </c>
      <c r="G3" s="56" t="s">
        <v>121</v>
      </c>
      <c r="I3" s="64" t="s">
        <v>234</v>
      </c>
      <c r="K3" s="134" t="s">
        <v>194</v>
      </c>
      <c r="M3" s="134" t="s">
        <v>237</v>
      </c>
      <c r="O3" s="134" t="s">
        <v>240</v>
      </c>
      <c r="Q3" s="66">
        <v>42520</v>
      </c>
      <c r="S3" s="57">
        <v>2</v>
      </c>
      <c r="T3" s="57" t="s">
        <v>188</v>
      </c>
    </row>
    <row r="4" spans="1:20" ht="15.75" x14ac:dyDescent="0.25">
      <c r="A4" s="58" t="s">
        <v>309</v>
      </c>
      <c r="C4" t="s">
        <v>311</v>
      </c>
      <c r="E4" t="s">
        <v>109</v>
      </c>
      <c r="G4" s="56" t="s">
        <v>122</v>
      </c>
      <c r="I4" s="64" t="s">
        <v>127</v>
      </c>
      <c r="K4" s="134" t="s">
        <v>195</v>
      </c>
      <c r="M4" s="134" t="s">
        <v>220</v>
      </c>
      <c r="O4" s="134" t="s">
        <v>241</v>
      </c>
      <c r="Q4" s="66">
        <v>42555</v>
      </c>
      <c r="S4" s="57">
        <v>4</v>
      </c>
      <c r="T4" s="57" t="s">
        <v>187</v>
      </c>
    </row>
    <row r="5" spans="1:20" ht="15.75" x14ac:dyDescent="0.25">
      <c r="A5" s="58" t="s">
        <v>90</v>
      </c>
      <c r="E5" t="s">
        <v>197</v>
      </c>
      <c r="G5" s="56" t="s">
        <v>210</v>
      </c>
      <c r="I5" s="64" t="s">
        <v>128</v>
      </c>
      <c r="K5" s="134" t="s">
        <v>235</v>
      </c>
      <c r="M5" s="134" t="s">
        <v>238</v>
      </c>
      <c r="O5" s="134" t="s">
        <v>242</v>
      </c>
      <c r="Q5" s="66">
        <v>42618</v>
      </c>
      <c r="S5" s="57">
        <v>7</v>
      </c>
      <c r="T5" s="57" t="s">
        <v>189</v>
      </c>
    </row>
    <row r="6" spans="1:20" ht="15.75" x14ac:dyDescent="0.25">
      <c r="A6" s="58" t="s">
        <v>91</v>
      </c>
      <c r="G6" s="56" t="s">
        <v>211</v>
      </c>
      <c r="I6" s="64" t="s">
        <v>129</v>
      </c>
      <c r="K6" s="134" t="s">
        <v>308</v>
      </c>
      <c r="M6" s="134" t="s">
        <v>306</v>
      </c>
      <c r="O6" s="134" t="s">
        <v>243</v>
      </c>
      <c r="Q6" s="66">
        <v>42698</v>
      </c>
    </row>
    <row r="7" spans="1:20" ht="15.75" x14ac:dyDescent="0.25">
      <c r="A7" s="58" t="s">
        <v>92</v>
      </c>
      <c r="G7" s="134" t="s">
        <v>212</v>
      </c>
      <c r="I7" s="64" t="s">
        <v>130</v>
      </c>
      <c r="M7" s="134" t="s">
        <v>307</v>
      </c>
      <c r="O7" s="134" t="s">
        <v>244</v>
      </c>
      <c r="Q7" s="66">
        <v>42729</v>
      </c>
    </row>
    <row r="8" spans="1:20" ht="15.75" x14ac:dyDescent="0.25">
      <c r="A8" s="58" t="s">
        <v>93</v>
      </c>
      <c r="G8" s="134" t="s">
        <v>213</v>
      </c>
      <c r="I8" s="64" t="s">
        <v>131</v>
      </c>
      <c r="O8" s="134" t="s">
        <v>245</v>
      </c>
    </row>
    <row r="9" spans="1:20" ht="15.75" x14ac:dyDescent="0.25">
      <c r="A9" s="58" t="s">
        <v>94</v>
      </c>
      <c r="G9" s="134" t="s">
        <v>214</v>
      </c>
      <c r="I9" s="64" t="s">
        <v>132</v>
      </c>
      <c r="O9" s="134" t="s">
        <v>246</v>
      </c>
    </row>
    <row r="10" spans="1:20" ht="15.75" x14ac:dyDescent="0.25">
      <c r="A10" s="58" t="s">
        <v>310</v>
      </c>
      <c r="G10" s="134" t="s">
        <v>215</v>
      </c>
      <c r="I10" s="64" t="s">
        <v>133</v>
      </c>
      <c r="O10" s="134" t="s">
        <v>247</v>
      </c>
    </row>
    <row r="11" spans="1:20" ht="15.75" x14ac:dyDescent="0.25">
      <c r="A11" s="58" t="s">
        <v>95</v>
      </c>
      <c r="G11" s="134" t="s">
        <v>215</v>
      </c>
      <c r="I11" s="64" t="s">
        <v>134</v>
      </c>
      <c r="O11" s="134" t="s">
        <v>248</v>
      </c>
    </row>
    <row r="12" spans="1:20" ht="15.75" x14ac:dyDescent="0.25">
      <c r="A12" s="58" t="s">
        <v>96</v>
      </c>
      <c r="G12" s="134" t="s">
        <v>221</v>
      </c>
      <c r="I12" s="64" t="s">
        <v>135</v>
      </c>
      <c r="O12" s="134" t="s">
        <v>249</v>
      </c>
    </row>
    <row r="13" spans="1:20" ht="15.75" x14ac:dyDescent="0.25">
      <c r="A13" s="58" t="s">
        <v>97</v>
      </c>
      <c r="G13" s="134" t="s">
        <v>222</v>
      </c>
      <c r="I13" s="64" t="s">
        <v>136</v>
      </c>
      <c r="O13" s="134" t="s">
        <v>250</v>
      </c>
    </row>
    <row r="14" spans="1:20" ht="15.75" x14ac:dyDescent="0.25">
      <c r="A14" s="58" t="s">
        <v>206</v>
      </c>
      <c r="G14" s="134" t="s">
        <v>223</v>
      </c>
      <c r="I14" s="64" t="s">
        <v>137</v>
      </c>
      <c r="O14" s="134" t="s">
        <v>251</v>
      </c>
    </row>
    <row r="15" spans="1:20" ht="15.75" x14ac:dyDescent="0.25">
      <c r="A15" s="58" t="s">
        <v>98</v>
      </c>
      <c r="G15" s="134" t="s">
        <v>224</v>
      </c>
      <c r="I15" s="64" t="s">
        <v>138</v>
      </c>
      <c r="O15" s="134" t="s">
        <v>251</v>
      </c>
    </row>
    <row r="16" spans="1:20" ht="15.75" x14ac:dyDescent="0.25">
      <c r="A16" s="133" t="s">
        <v>201</v>
      </c>
      <c r="G16" s="134" t="s">
        <v>230</v>
      </c>
      <c r="I16" s="64" t="s">
        <v>139</v>
      </c>
      <c r="O16" s="134" t="s">
        <v>252</v>
      </c>
    </row>
    <row r="17" spans="1:15" ht="15.75" x14ac:dyDescent="0.25">
      <c r="A17" s="133" t="s">
        <v>202</v>
      </c>
      <c r="G17" s="134" t="s">
        <v>231</v>
      </c>
      <c r="I17" s="64" t="s">
        <v>140</v>
      </c>
      <c r="O17" s="134" t="s">
        <v>253</v>
      </c>
    </row>
    <row r="18" spans="1:15" ht="15.75" x14ac:dyDescent="0.25">
      <c r="A18" s="133" t="s">
        <v>203</v>
      </c>
      <c r="G18" s="134" t="s">
        <v>232</v>
      </c>
      <c r="I18" s="64" t="s">
        <v>198</v>
      </c>
      <c r="O18" s="134" t="s">
        <v>254</v>
      </c>
    </row>
    <row r="19" spans="1:15" ht="15.75" x14ac:dyDescent="0.25">
      <c r="A19" s="133" t="s">
        <v>204</v>
      </c>
      <c r="G19" s="134" t="s">
        <v>233</v>
      </c>
      <c r="I19" s="64" t="s">
        <v>199</v>
      </c>
      <c r="O19" s="134" t="s">
        <v>255</v>
      </c>
    </row>
    <row r="20" spans="1:15" ht="15.75" x14ac:dyDescent="0.25">
      <c r="A20" s="133" t="s">
        <v>205</v>
      </c>
      <c r="G20" s="134">
        <v>3508</v>
      </c>
      <c r="I20" s="64" t="s">
        <v>200</v>
      </c>
      <c r="O20" s="134" t="s">
        <v>256</v>
      </c>
    </row>
    <row r="21" spans="1:15" ht="15.75" x14ac:dyDescent="0.25">
      <c r="A21" s="133" t="s">
        <v>207</v>
      </c>
      <c r="G21" s="134">
        <v>3512</v>
      </c>
      <c r="I21" s="64" t="s">
        <v>141</v>
      </c>
      <c r="O21" s="134" t="s">
        <v>257</v>
      </c>
    </row>
    <row r="22" spans="1:15" ht="15.75" x14ac:dyDescent="0.25">
      <c r="A22" s="133" t="s">
        <v>208</v>
      </c>
      <c r="G22" s="134">
        <v>3516</v>
      </c>
      <c r="I22" s="64" t="s">
        <v>142</v>
      </c>
      <c r="O22" s="134" t="s">
        <v>258</v>
      </c>
    </row>
    <row r="23" spans="1:15" ht="15.75" x14ac:dyDescent="0.25">
      <c r="A23" s="133" t="s">
        <v>209</v>
      </c>
      <c r="G23" s="134">
        <v>3520</v>
      </c>
      <c r="I23" s="64" t="s">
        <v>143</v>
      </c>
      <c r="O23" s="134" t="s">
        <v>259</v>
      </c>
    </row>
    <row r="24" spans="1:15" x14ac:dyDescent="0.25">
      <c r="G24" s="134">
        <v>3606</v>
      </c>
      <c r="I24" s="64" t="s">
        <v>144</v>
      </c>
      <c r="O24" s="134" t="s">
        <v>260</v>
      </c>
    </row>
    <row r="25" spans="1:15" x14ac:dyDescent="0.25">
      <c r="G25" s="134">
        <v>3608</v>
      </c>
      <c r="I25" s="64" t="s">
        <v>145</v>
      </c>
      <c r="O25" s="134" t="s">
        <v>261</v>
      </c>
    </row>
    <row r="26" spans="1:15" x14ac:dyDescent="0.25">
      <c r="G26" s="134">
        <v>3612</v>
      </c>
      <c r="I26" s="64" t="s">
        <v>146</v>
      </c>
      <c r="O26" s="134" t="s">
        <v>262</v>
      </c>
    </row>
    <row r="27" spans="1:15" x14ac:dyDescent="0.25">
      <c r="G27" s="134">
        <v>3616</v>
      </c>
      <c r="I27" s="64" t="s">
        <v>147</v>
      </c>
      <c r="O27" s="134" t="s">
        <v>263</v>
      </c>
    </row>
    <row r="28" spans="1:15" x14ac:dyDescent="0.25">
      <c r="G28" s="134" t="s">
        <v>217</v>
      </c>
      <c r="I28" s="64" t="s">
        <v>148</v>
      </c>
      <c r="O28" s="134" t="s">
        <v>264</v>
      </c>
    </row>
    <row r="29" spans="1:15" x14ac:dyDescent="0.25">
      <c r="G29" s="134" t="s">
        <v>216</v>
      </c>
      <c r="I29" s="64" t="s">
        <v>149</v>
      </c>
      <c r="O29" s="134" t="s">
        <v>265</v>
      </c>
    </row>
    <row r="30" spans="1:15" x14ac:dyDescent="0.25">
      <c r="G30" s="134" t="s">
        <v>218</v>
      </c>
      <c r="I30" s="64" t="s">
        <v>150</v>
      </c>
      <c r="O30" s="134" t="s">
        <v>266</v>
      </c>
    </row>
    <row r="31" spans="1:15" x14ac:dyDescent="0.25">
      <c r="G31" s="134" t="s">
        <v>219</v>
      </c>
      <c r="I31" s="64" t="s">
        <v>151</v>
      </c>
      <c r="O31" s="134" t="s">
        <v>267</v>
      </c>
    </row>
    <row r="32" spans="1:15" x14ac:dyDescent="0.25">
      <c r="G32" s="134" t="s">
        <v>220</v>
      </c>
      <c r="I32" s="64" t="s">
        <v>152</v>
      </c>
    </row>
    <row r="33" spans="7:9" x14ac:dyDescent="0.25">
      <c r="G33" s="134">
        <v>145</v>
      </c>
      <c r="I33" s="64" t="s">
        <v>153</v>
      </c>
    </row>
    <row r="34" spans="7:9" x14ac:dyDescent="0.25">
      <c r="G34" s="134">
        <v>817</v>
      </c>
      <c r="I34" s="64" t="s">
        <v>154</v>
      </c>
    </row>
    <row r="35" spans="7:9" x14ac:dyDescent="0.25">
      <c r="G35" s="134">
        <v>1197</v>
      </c>
      <c r="I35" s="64" t="s">
        <v>155</v>
      </c>
    </row>
    <row r="36" spans="7:9" x14ac:dyDescent="0.25">
      <c r="G36" s="134" t="s">
        <v>225</v>
      </c>
      <c r="I36" s="64" t="s">
        <v>156</v>
      </c>
    </row>
    <row r="37" spans="7:9" x14ac:dyDescent="0.25">
      <c r="G37" s="134" t="s">
        <v>226</v>
      </c>
      <c r="I37" s="64" t="s">
        <v>157</v>
      </c>
    </row>
    <row r="38" spans="7:9" x14ac:dyDescent="0.25">
      <c r="G38" s="134" t="s">
        <v>227</v>
      </c>
      <c r="I38" s="64" t="s">
        <v>158</v>
      </c>
    </row>
    <row r="39" spans="7:9" x14ac:dyDescent="0.25">
      <c r="G39" s="134" t="s">
        <v>228</v>
      </c>
      <c r="I39" s="64" t="s">
        <v>159</v>
      </c>
    </row>
    <row r="40" spans="7:9" x14ac:dyDescent="0.25">
      <c r="G40" s="134" t="s">
        <v>229</v>
      </c>
      <c r="I40" s="64" t="s">
        <v>160</v>
      </c>
    </row>
    <row r="41" spans="7:9" x14ac:dyDescent="0.25">
      <c r="G41" s="134" t="s">
        <v>304</v>
      </c>
      <c r="I41" s="64" t="s">
        <v>161</v>
      </c>
    </row>
    <row r="42" spans="7:9" x14ac:dyDescent="0.25">
      <c r="G42" s="134" t="s">
        <v>305</v>
      </c>
      <c r="I42" s="64" t="s">
        <v>162</v>
      </c>
    </row>
    <row r="43" spans="7:9" x14ac:dyDescent="0.25">
      <c r="G43" s="134" t="s">
        <v>268</v>
      </c>
      <c r="I43" s="64" t="s">
        <v>163</v>
      </c>
    </row>
    <row r="44" spans="7:9" x14ac:dyDescent="0.25">
      <c r="G44" s="134" t="s">
        <v>269</v>
      </c>
      <c r="I44" s="64" t="s">
        <v>164</v>
      </c>
    </row>
    <row r="45" spans="7:9" x14ac:dyDescent="0.25">
      <c r="G45" s="134" t="s">
        <v>270</v>
      </c>
      <c r="I45" s="64" t="s">
        <v>165</v>
      </c>
    </row>
    <row r="46" spans="7:9" x14ac:dyDescent="0.25">
      <c r="G46" s="134" t="s">
        <v>271</v>
      </c>
      <c r="I46" s="64" t="s">
        <v>166</v>
      </c>
    </row>
    <row r="47" spans="7:9" x14ac:dyDescent="0.25">
      <c r="G47" s="134" t="s">
        <v>272</v>
      </c>
      <c r="I47" s="64" t="s">
        <v>167</v>
      </c>
    </row>
    <row r="48" spans="7:9" x14ac:dyDescent="0.25">
      <c r="G48" s="134" t="s">
        <v>273</v>
      </c>
      <c r="I48" s="64" t="s">
        <v>168</v>
      </c>
    </row>
    <row r="49" spans="7:9" x14ac:dyDescent="0.25">
      <c r="G49" s="134" t="s">
        <v>274</v>
      </c>
      <c r="I49" s="64" t="s">
        <v>169</v>
      </c>
    </row>
    <row r="50" spans="7:9" x14ac:dyDescent="0.25">
      <c r="G50" s="134" t="s">
        <v>275</v>
      </c>
      <c r="I50" s="64" t="s">
        <v>170</v>
      </c>
    </row>
    <row r="51" spans="7:9" x14ac:dyDescent="0.25">
      <c r="G51" s="134" t="s">
        <v>276</v>
      </c>
      <c r="I51" s="64" t="s">
        <v>171</v>
      </c>
    </row>
    <row r="52" spans="7:9" x14ac:dyDescent="0.25">
      <c r="G52" s="134" t="s">
        <v>277</v>
      </c>
      <c r="I52" s="64" t="s">
        <v>172</v>
      </c>
    </row>
    <row r="53" spans="7:9" x14ac:dyDescent="0.25">
      <c r="G53" s="134" t="s">
        <v>278</v>
      </c>
      <c r="I53" s="64" t="s">
        <v>173</v>
      </c>
    </row>
    <row r="54" spans="7:9" x14ac:dyDescent="0.25">
      <c r="G54" s="134" t="s">
        <v>279</v>
      </c>
      <c r="I54" s="64" t="s">
        <v>174</v>
      </c>
    </row>
    <row r="55" spans="7:9" x14ac:dyDescent="0.25">
      <c r="G55" s="134" t="s">
        <v>280</v>
      </c>
      <c r="I55" s="64" t="s">
        <v>175</v>
      </c>
    </row>
    <row r="56" spans="7:9" x14ac:dyDescent="0.25">
      <c r="G56" s="134" t="s">
        <v>281</v>
      </c>
      <c r="I56" s="64" t="s">
        <v>176</v>
      </c>
    </row>
    <row r="57" spans="7:9" x14ac:dyDescent="0.25">
      <c r="G57" s="134" t="s">
        <v>282</v>
      </c>
      <c r="I57" s="64" t="s">
        <v>177</v>
      </c>
    </row>
    <row r="58" spans="7:9" x14ac:dyDescent="0.25">
      <c r="G58" s="134" t="s">
        <v>283</v>
      </c>
      <c r="I58" s="64" t="s">
        <v>178</v>
      </c>
    </row>
    <row r="59" spans="7:9" x14ac:dyDescent="0.25">
      <c r="G59" s="134" t="s">
        <v>284</v>
      </c>
    </row>
    <row r="60" spans="7:9" x14ac:dyDescent="0.25">
      <c r="G60" s="134" t="s">
        <v>285</v>
      </c>
    </row>
    <row r="61" spans="7:9" x14ac:dyDescent="0.25">
      <c r="G61" s="134" t="s">
        <v>286</v>
      </c>
    </row>
    <row r="62" spans="7:9" x14ac:dyDescent="0.25">
      <c r="G62" s="134" t="s">
        <v>287</v>
      </c>
    </row>
    <row r="63" spans="7:9" x14ac:dyDescent="0.25">
      <c r="G63" s="134" t="s">
        <v>288</v>
      </c>
    </row>
    <row r="64" spans="7:9" x14ac:dyDescent="0.25">
      <c r="G64" s="134" t="s">
        <v>289</v>
      </c>
    </row>
    <row r="65" spans="7:7" x14ac:dyDescent="0.25">
      <c r="G65" s="134" t="s">
        <v>290</v>
      </c>
    </row>
    <row r="66" spans="7:7" x14ac:dyDescent="0.25">
      <c r="G66" s="134" t="s">
        <v>291</v>
      </c>
    </row>
    <row r="67" spans="7:7" x14ac:dyDescent="0.25">
      <c r="G67" s="134" t="s">
        <v>292</v>
      </c>
    </row>
    <row r="68" spans="7:7" x14ac:dyDescent="0.25">
      <c r="G68" s="134" t="s">
        <v>293</v>
      </c>
    </row>
    <row r="69" spans="7:7" x14ac:dyDescent="0.25">
      <c r="G69" s="134" t="s">
        <v>294</v>
      </c>
    </row>
    <row r="70" spans="7:7" x14ac:dyDescent="0.25">
      <c r="G70" s="134" t="s">
        <v>296</v>
      </c>
    </row>
    <row r="71" spans="7:7" x14ac:dyDescent="0.25">
      <c r="G71" s="134" t="s">
        <v>295</v>
      </c>
    </row>
    <row r="72" spans="7:7" x14ac:dyDescent="0.25">
      <c r="G72" s="134" t="s">
        <v>297</v>
      </c>
    </row>
    <row r="73" spans="7:7" x14ac:dyDescent="0.25">
      <c r="G73" s="134" t="s">
        <v>298</v>
      </c>
    </row>
    <row r="74" spans="7:7" x14ac:dyDescent="0.25">
      <c r="G74" s="134" t="s">
        <v>299</v>
      </c>
    </row>
    <row r="75" spans="7:7" x14ac:dyDescent="0.25">
      <c r="G75" s="134" t="s">
        <v>300</v>
      </c>
    </row>
    <row r="76" spans="7:7" x14ac:dyDescent="0.25">
      <c r="G76" s="134" t="s">
        <v>301</v>
      </c>
    </row>
    <row r="77" spans="7:7" x14ac:dyDescent="0.25">
      <c r="G77" s="134" t="s">
        <v>302</v>
      </c>
    </row>
    <row r="78" spans="7:7" x14ac:dyDescent="0.25">
      <c r="G78" s="134" t="s">
        <v>303</v>
      </c>
    </row>
  </sheetData>
  <pageMargins left="0.7" right="0.7" top="0.75" bottom="0.75" header="0.3" footer="0.3"/>
  <pageSetup orientation="portrait" horizontalDpi="4294967294" verticalDpi="4294967294" r:id="rId1"/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8</vt:i4>
      </vt:variant>
    </vt:vector>
  </HeadingPairs>
  <TitlesOfParts>
    <vt:vector size="11" baseType="lpstr">
      <vt:lpstr>arriving</vt:lpstr>
      <vt:lpstr>dashboard</vt:lpstr>
      <vt:lpstr>dropdowns</vt:lpstr>
      <vt:lpstr>customerList</vt:lpstr>
      <vt:lpstr>engineMakeList</vt:lpstr>
      <vt:lpstr>engineModelsList</vt:lpstr>
      <vt:lpstr>frameMakeList</vt:lpstr>
      <vt:lpstr>frameModelList</vt:lpstr>
      <vt:lpstr>partsProvidersList</vt:lpstr>
      <vt:lpstr>partTypesList</vt:lpstr>
      <vt:lpstr>taskList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Melanie Pierce</dc:creator>
  <cp:lastModifiedBy>John Jr.</cp:lastModifiedBy>
  <cp:lastPrinted>2016-01-15T21:17:26Z</cp:lastPrinted>
  <dcterms:created xsi:type="dcterms:W3CDTF">2014-10-01T21:13:00Z</dcterms:created>
  <dcterms:modified xsi:type="dcterms:W3CDTF">2016-07-07T21:25:37Z</dcterms:modified>
</cp:coreProperties>
</file>