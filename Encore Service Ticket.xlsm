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 activeTab="1"/>
  </bookViews>
  <sheets>
    <sheet name="Test - Overtime" sheetId="9" r:id="rId1"/>
    <sheet name="Output" sheetId="4" r:id="rId2"/>
    <sheet name="Holidays" sheetId="8" r:id="rId3"/>
    <sheet name="Rate Matrix" sheetId="7" r:id="rId4"/>
    <sheet name="Pick Sheet" sheetId="5" r:id="rId5"/>
  </sheets>
  <externalReferences>
    <externalReference r:id="rId6"/>
  </externalReferences>
  <definedNames>
    <definedName name="ApprovalList" localSheetId="2">OFFSET('[1]Pick Sheet'!$U$2,0,0,COUNTA('[1]Pick Sheet'!$U:$U)-1,1)</definedName>
    <definedName name="ApprovalList">OFFSET('Pick Sheet'!$U$2,0,0,COUNTA('Pick Sheet'!$U:$U)-1,1)</definedName>
    <definedName name="ChargeTo" localSheetId="2">OFFSET('[1]Pick Sheet'!$H$2,0,0,COUNTA('[1]Pick Sheet'!$H:$H)-1,1)</definedName>
    <definedName name="ChargeTo">OFFSET('Pick Sheet'!$H$2,0,0,COUNTA('Pick Sheet'!$H:$H)-1,1)</definedName>
    <definedName name="ChargeToLookup" localSheetId="2">OFFSET('[1]Pick Sheet'!$H$2,0,0,COUNTA('[1]Pick Sheet'!$H:$H)-1,2)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 localSheetId="2">[1]Output!$I$42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 localSheetId="2">OFFSET('[1]Pick Sheet'!$AC$2,0,0,COUNTA('[1]Pick Sheet'!$AC:$AC)-1,1)</definedName>
    <definedName name="CompressorName">OFFSET('Pick Sheet'!$AC$2,0,0,COUNTA('Pick Sheet'!$AC:$AC)-1,1)</definedName>
    <definedName name="CustomerNames" localSheetId="2">OFFSET('[1]Rate Matrix'!$B$2,0,0,COUNTA('[1]Rate Matrix'!$B:$B)-1,1)</definedName>
    <definedName name="CustomerNames">OFFSET('Rate Matrix'!$B$2,0,0,COUNTA('Rate Matrix'!$B:$B)-1,1)</definedName>
    <definedName name="DateField">Output!$AP$7</definedName>
    <definedName name="DistrictLookup" localSheetId="2">OFFSET('[1]Pick Sheet'!#REF!,0,0,COUNTA('[1]Pick Sheet'!#REF!)-1,2)</definedName>
    <definedName name="DistrictLookup">OFFSET('Pick Sheet'!#REF!,0,0,COUNTA('Pick Sheet'!#REF!)-1,2)</definedName>
    <definedName name="DistrictName" localSheetId="2">OFFSET('[1]Pick Sheet'!#REF!,0,0,COUNTA('[1]Pick Sheet'!#REF!)-1,1)</definedName>
    <definedName name="DistrictName">OFFSET('Pick Sheet'!#REF!,0,0,COUNTA('Pick Sheet'!#REF!)-1,1)</definedName>
    <definedName name="DistrictRates" localSheetId="2">OFFSET('[1]Rate Matrix'!$C$1,0,0,1,COUNTA('[1]Rate Matrix'!$1:$1)-1)</definedName>
    <definedName name="DistrictRates">OFFSET('Rate Matrix'!$C$1,0,0,1,COUNTA('Rate Matrix'!$1:$1)-1)</definedName>
    <definedName name="DriverName" localSheetId="2">OFFSET('[1]Pick Sheet'!$AA$2,0,0,COUNTA('[1]Pick Sheet'!$AA:$AA)-1,1)</definedName>
    <definedName name="DriverName">OFFSET('Pick Sheet'!$AA$2,0,0,COUNTA('Pick Sheet'!$AA:$AA)-1,1)</definedName>
    <definedName name="EmpLookup" localSheetId="2">OFFSET('[1]Pick Sheet'!$C$2,0,0,COUNTA('[1]Pick Sheet'!$C:$C),2)</definedName>
    <definedName name="EmpLookup">OFFSET('Pick Sheet'!$C$2,0,0,COUNTA('Pick Sheet'!$C:$C),2)</definedName>
    <definedName name="EmpName" localSheetId="2">OFFSET('[1]Pick Sheet'!$C$2,0,0,COUNTA('[1]Pick Sheet'!$C:$C)-1,1)</definedName>
    <definedName name="EmpName">OFFSET('Pick Sheet'!$C$2,0,0,COUNTA('Pick Sheet'!$C:$C)-1,1)</definedName>
    <definedName name="ExcessTime" localSheetId="2">OFFSET('[1]Pick Sheet'!$S$2,0,0,COUNTA('[1]Pick Sheet'!$S:$S)-1,1)</definedName>
    <definedName name="ExcessTime">OFFSET('Pick Sheet'!$S$2,0,0,COUNTA('Pick Sheet'!$S:$S)-1,1)</definedName>
    <definedName name="FileName">Output!$AO$3</definedName>
    <definedName name="JobName" localSheetId="2">OFFSET('[1]Pick Sheet'!$F$2,0,0,COUNTA('[1]Pick Sheet'!$F:$F)-1,1)</definedName>
    <definedName name="JobName">OFFSET('Pick Sheet'!$F$2,0,0,COUNTA('Pick Sheet'!$F:$F)-1,1)</definedName>
    <definedName name="Mandatory1" localSheetId="2">[1]Output!$H$7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 localSheetId="2">OFFSET('[1]Pick Sheet'!$Y$2,0,0,COUNTA('[1]Pick Sheet'!$Y:$Y)-1,1)</definedName>
    <definedName name="MealsLodging">OFFSET('Pick Sheet'!$Y$2,0,0,COUNTA('Pick Sheet'!$Y:$Y)-1,1)</definedName>
    <definedName name="MilesPick" localSheetId="2">OFFSET('[1]Pick Sheet'!$K$2,0,0,COUNTA('[1]Pick Sheet'!$K:$K)-1,1)</definedName>
    <definedName name="MilesPick">OFFSET('Pick Sheet'!$K$2,0,0,COUNTA('Pick Sheet'!$K:$K)-1,1)</definedName>
    <definedName name="OTCalc" localSheetId="2">OFFSET('[1]Rate Matrix'!$A$2,0,0,COUNTA('[1]Rate Matrix'!$A:$A)-1,1)</definedName>
    <definedName name="OTCalc">OFFSET('Rate Matrix'!$A$2,0,0,COUNTA('Rate Matrix'!$A:$A)-1,1)</definedName>
    <definedName name="OtherExp" localSheetId="2">OFFSET('[1]Pick Sheet'!$Q$2,0,0,COUNTA('[1]Pick Sheet'!$Q:$Q)-1,1)</definedName>
    <definedName name="OtherExp">OFFSET('Pick Sheet'!$Q$2,0,0,COUNTA('Pick Sheet'!$Q:$Q)-1,1)</definedName>
    <definedName name="_xlnm.Print_Area" localSheetId="1">Output!$B$1:$AU$69</definedName>
    <definedName name="rHolidays">Holidays!$B$3:$B$29</definedName>
    <definedName name="RoadConditions" localSheetId="2">OFFSET('[1]Pick Sheet'!$M$2,0,0,COUNTA('[1]Pick Sheet'!$M:$M)-1,1)</definedName>
    <definedName name="RoadConditions">OFFSET('Pick Sheet'!$M$2,0,0,COUNTA('Pick Sheet'!$M:$M)-1,1)</definedName>
    <definedName name="ServiceMan" localSheetId="2">[1]Output!$H$15</definedName>
    <definedName name="ServiceMan">Output!$H$15</definedName>
    <definedName name="ServiceRate" localSheetId="2">OFFSET('[1]Rate Matrix'!$C$1,0,0,1,COUNTA('[1]Rate Matrix'!$1:$1))</definedName>
    <definedName name="ServiceRate">OFFSET('Rate Matrix'!$C$1,0,0,1,COUNTA('Rate Matrix'!$1:$1))</definedName>
    <definedName name="ServiceRates" localSheetId="2">OFFSET('[1]Rate Matrix'!$C$2,0,0,COUNTA('[1]Rate Matrix'!$B:$B)-1,COUNTA('[1]Rate Matrix'!$1:$1)-1)</definedName>
    <definedName name="ServiceRates">OFFSET('Rate Matrix'!$C$2,0,0,COUNTA('Rate Matrix'!$B:$B)-1,COUNTA('Rate Matrix'!$1:$1)-1)</definedName>
    <definedName name="SoNo">Output!$B$7</definedName>
    <definedName name="Time" localSheetId="2">OFFSET('[1]Pick Sheet'!$A$2,0,0,COUNTA('[1]Pick Sheet'!$A:$A)-1,1)</definedName>
    <definedName name="Time">OFFSET('Pick Sheet'!$A$2,0,0,COUNTA('Pick Sheet'!$A:$A)-1,1)</definedName>
    <definedName name="VehicleNo" localSheetId="2">OFFSET('[1]Pick Sheet'!$O$2,0,0,COUNTA('[1]Pick Sheet'!$O:$O)-1,1)</definedName>
    <definedName name="VehicleNo">OFFSET('Pick Sheet'!$O$2,0,0,COUNTA('Pick Sheet'!$O:$O)-1,1)</definedName>
    <definedName name="Warehouse" localSheetId="2">OFFSET('[1]Pick Sheet'!$W$2,0,0,COUNTA('[1]Pick Sheet'!$W:$W)-1,1)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E5" i="9" l="1"/>
  <c r="G13" i="9" s="1"/>
  <c r="E4" i="9"/>
  <c r="E3" i="9"/>
  <c r="B5" i="9"/>
  <c r="G8" i="9" s="1"/>
  <c r="B4" i="9"/>
  <c r="B3" i="9"/>
  <c r="AP7" i="4"/>
  <c r="E8" i="9" l="1"/>
  <c r="E9" i="9" s="1"/>
  <c r="E13" i="9"/>
  <c r="G9" i="9"/>
  <c r="F13" i="9"/>
  <c r="F8" i="9"/>
  <c r="F9" i="9" s="1"/>
  <c r="I5" i="5"/>
  <c r="I6" i="5" s="1"/>
  <c r="I7" i="5" s="1"/>
  <c r="I8" i="5" s="1"/>
  <c r="I9" i="5" s="1"/>
  <c r="I10" i="5" s="1"/>
  <c r="I4" i="5"/>
  <c r="I3" i="5"/>
  <c r="B15" i="4" l="1"/>
  <c r="AA18" i="4" l="1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G10" i="9" s="1"/>
  <c r="F10" i="9" l="1"/>
  <c r="F11" i="9" s="1"/>
  <c r="K22" i="4" s="1"/>
  <c r="G11" i="9"/>
  <c r="K23" i="4" s="1"/>
  <c r="Q23" i="4" s="1"/>
  <c r="E10" i="9"/>
  <c r="E11" i="9" s="1"/>
  <c r="K21" i="4" s="1"/>
  <c r="G12" i="9" l="1"/>
  <c r="H23" i="4" s="1"/>
  <c r="N23" i="4" s="1"/>
  <c r="F12" i="9"/>
  <c r="E12" i="9"/>
  <c r="H21" i="4" s="1"/>
  <c r="N21" i="4" s="1"/>
  <c r="Q22" i="4" l="1"/>
  <c r="H22" i="4"/>
  <c r="Q21" i="4"/>
  <c r="K24" i="4"/>
  <c r="AX24" i="4" s="1"/>
  <c r="H24" i="4" l="1"/>
  <c r="AX23" i="4" s="1"/>
  <c r="AX22" i="4" s="1"/>
  <c r="AX38" i="4" s="1"/>
  <c r="N22" i="4"/>
  <c r="Q24" i="4" s="1"/>
</calcChain>
</file>

<file path=xl/sharedStrings.xml><?xml version="1.0" encoding="utf-8"?>
<sst xmlns="http://schemas.openxmlformats.org/spreadsheetml/2006/main" count="391" uniqueCount="334">
  <si>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</si>
  <si>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</si>
  <si>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</si>
  <si>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</si>
  <si>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</si>
  <si>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</si>
  <si>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</si>
  <si>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</si>
  <si>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</si>
  <si>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</si>
  <si>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</si>
  <si>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</si>
  <si>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</si>
  <si>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</si>
  <si>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</si>
  <si>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</si>
  <si>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</si>
  <si>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</si>
  <si>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</si>
  <si>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</si>
  <si>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</si>
  <si>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</si>
  <si>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</si>
  <si>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</si>
  <si>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</si>
  <si>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</si>
  <si>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</si>
  <si>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</si>
  <si>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</si>
  <si>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</si>
  <si>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</si>
  <si>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</si>
  <si>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</si>
  <si>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</si>
  <si>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</si>
  <si>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</si>
  <si>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</si>
  <si>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</si>
  <si>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</si>
  <si>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</si>
  <si>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</si>
  <si>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</si>
  <si>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</si>
  <si>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</si>
  <si>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</si>
  <si>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</si>
  <si>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</si>
  <si>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</si>
  <si>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</si>
  <si>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</si>
  <si>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</si>
  <si>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</si>
  <si>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</si>
  <si>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</si>
  <si>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</si>
  <si>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</si>
  <si>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</si>
  <si>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</si>
  <si>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</si>
  <si>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</si>
  <si>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</si>
  <si>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</si>
  <si>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</si>
  <si>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</si>
  <si>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</si>
  <si>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</si>
  <si>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</si>
  <si>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</si>
  <si>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</si>
  <si>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</si>
  <si>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</si>
  <si>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</si>
  <si>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</si>
  <si>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</si>
  <si>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</si>
  <si>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</si>
  <si>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</si>
  <si>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</si>
  <si>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</si>
  <si>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</si>
  <si>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</si>
  <si>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</si>
  <si>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</si>
  <si>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</si>
  <si>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</si>
  <si>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</si>
  <si>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</si>
  <si>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</si>
  <si>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</si>
  <si>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</si>
  <si>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</si>
  <si>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</si>
  <si>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</si>
  <si>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</si>
  <si>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</si>
  <si>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</si>
  <si>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</si>
  <si>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</si>
  <si>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</si>
  <si>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</si>
  <si>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</si>
  <si>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</si>
  <si>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</si>
  <si>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</si>
  <si>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</si>
  <si>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</si>
  <si>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</si>
  <si>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</si>
  <si>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</si>
  <si>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</si>
  <si>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</si>
  <si>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</si>
  <si>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</si>
  <si>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</si>
  <si>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</si>
  <si>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</si>
  <si>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</si>
  <si>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</si>
  <si>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</si>
  <si>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</si>
  <si>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</si>
  <si>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</si>
  <si>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</si>
  <si>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</si>
  <si>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</si>
  <si>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</si>
  <si>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</si>
  <si>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</si>
  <si>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</si>
  <si>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</si>
  <si>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</si>
  <si>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</si>
  <si>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</si>
  <si>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</si>
  <si>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</si>
  <si>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</si>
  <si>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</si>
  <si>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</si>
  <si>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</si>
  <si>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</si>
  <si>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</si>
  <si>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</si>
  <si>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</si>
  <si>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</si>
  <si>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</si>
  <si>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</si>
  <si>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</si>
  <si>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</si>
  <si>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</si>
  <si>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</si>
  <si>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</si>
  <si>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</si>
  <si>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</si>
  <si>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</si>
  <si>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</si>
  <si>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</si>
  <si>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</si>
  <si>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</si>
  <si>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</si>
  <si>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</si>
  <si>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</si>
  <si>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</si>
  <si>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</si>
  <si>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</si>
  <si>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</si>
  <si>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</si>
  <si>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</si>
  <si>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</si>
  <si>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</si>
  <si>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</si>
  <si>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</si>
  <si>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</si>
  <si>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</si>
  <si>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</si>
  <si>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</si>
  <si>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</si>
  <si>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</si>
  <si>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</si>
  <si>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</si>
  <si>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</si>
  <si>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</si>
  <si>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</si>
  <si>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</si>
  <si>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</si>
  <si>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</si>
  <si>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</si>
  <si>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</si>
  <si>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</si>
  <si>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</si>
  <si>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</si>
  <si>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</si>
  <si>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</si>
  <si>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</si>
  <si>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</si>
  <si>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</si>
  <si>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</si>
  <si>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</si>
  <si>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</si>
  <si>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</si>
  <si>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</si>
  <si>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</si>
  <si>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</si>
  <si>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</si>
  <si>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</si>
  <si>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</si>
  <si>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</si>
  <si>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</si>
  <si>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</si>
  <si>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</si>
  <si>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</si>
  <si>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</si>
  <si>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</si>
  <si>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</si>
  <si>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</si>
  <si>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</si>
  <si>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</si>
  <si>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</si>
  <si>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</si>
  <si>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</si>
  <si>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</si>
  <si>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</si>
  <si>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</si>
  <si>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</si>
  <si>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</si>
  <si>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</si>
  <si>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</si>
  <si>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</si>
  <si>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</si>
  <si>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</si>
  <si>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</si>
  <si>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</si>
  <si>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</si>
  <si>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</si>
  <si>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</si>
  <si>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</si>
  <si>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</si>
  <si>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</si>
  <si>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</si>
  <si>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</si>
  <si>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</si>
  <si>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</si>
  <si>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</si>
  <si>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</si>
  <si>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</si>
  <si>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</si>
  <si>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</si>
  <si>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</si>
  <si>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</si>
  <si>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</si>
  <si>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</si>
  <si>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</si>
  <si>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</si>
  <si>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</si>
  <si>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</si>
  <si>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</si>
  <si>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</si>
  <si>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</si>
  <si>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</si>
  <si>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</si>
  <si>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</si>
  <si>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</si>
  <si>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</si>
  <si>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</si>
  <si>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</si>
  <si>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</si>
  <si>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</si>
  <si>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</si>
  <si>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</si>
  <si>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</si>
  <si>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</si>
  <si>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</si>
  <si>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</si>
  <si>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</si>
  <si>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</si>
  <si>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</si>
  <si>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</si>
  <si>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</si>
  <si>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</si>
  <si>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</si>
  <si>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</si>
  <si>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</si>
  <si>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</si>
  <si>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</si>
  <si>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</si>
  <si>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</si>
  <si>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</si>
  <si>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</si>
  <si>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</si>
  <si>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</si>
  <si>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</si>
  <si>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</si>
  <si>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</si>
  <si>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</si>
  <si>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</si>
  <si>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</si>
  <si>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</si>
  <si>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</si>
  <si>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</si>
  <si>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</si>
  <si>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</si>
  <si>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</si>
  <si>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</si>
  <si>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</si>
  <si>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</si>
  <si>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</si>
  <si>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</si>
  <si>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</si>
  <si>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</si>
  <si>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</si>
  <si>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</si>
  <si>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</si>
  <si>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</si>
  <si>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</si>
  <si>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</si>
  <si>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</si>
  <si>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</si>
  <si>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</si>
  <si>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</si>
  <si>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</si>
  <si>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</si>
  <si>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</si>
  <si>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</si>
  <si>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Holiday List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</si>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</sst>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</numFmts>
  <fonts count="16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4" fillId="13" borderId="0" applyNumberFormat="0" applyBorder="0" applyAlignment="0" applyProtection="0"/>
    <xf numFmtId="0" fontId="4" fillId="14" borderId="0" applyNumberFormat="0" applyBorder="0" applyAlignment="0" applyProtection="0"/>
    <xf numFmtId="0" fontId="14" fillId="16" borderId="0" applyNumberFormat="0" applyBorder="0" applyAlignment="0" applyProtection="0"/>
    <xf numFmtId="0" fontId="4" fillId="17" borderId="0" applyNumberFormat="0" applyBorder="0" applyAlignment="0" applyProtection="0"/>
  </cellStyleXfs>
  <cellXfs count="169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13" fillId="13" borderId="1" xfId="5" applyFont="1" applyBorder="1" applyAlignment="1">
      <alignment horizontal="center"/>
    </xf>
    <xf numFmtId="14" fontId="15" fillId="14" borderId="1" xfId="6" applyNumberFormat="1" applyFont="1" applyBorder="1" applyAlignment="1">
      <alignment horizontal="center"/>
    </xf>
    <xf numFmtId="0" fontId="15" fillId="14" borderId="1" xfId="6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165" fontId="3" fillId="19" borderId="2" xfId="0" applyNumberFormat="1" applyFont="1" applyFill="1" applyBorder="1" applyAlignment="1" applyProtection="1">
      <alignment horizontal="center" vertical="center"/>
      <protection locked="0"/>
    </xf>
    <xf numFmtId="165" fontId="3" fillId="19" borderId="4" xfId="0" applyNumberFormat="1" applyFont="1" applyFill="1" applyBorder="1" applyAlignment="1" applyProtection="1">
      <alignment horizontal="center" vertical="center"/>
      <protection locked="0"/>
    </xf>
    <xf numFmtId="165" fontId="3" fillId="19" borderId="3" xfId="0" applyNumberFormat="1" applyFont="1" applyFill="1" applyBorder="1" applyAlignment="1" applyProtection="1">
      <alignment horizontal="center" vertical="center"/>
      <protection locked="0"/>
    </xf>
    <xf numFmtId="0" fontId="4" fillId="17" borderId="2" xfId="8" applyBorder="1"/>
    <xf numFmtId="0" fontId="4" fillId="17" borderId="4" xfId="8" applyBorder="1"/>
    <xf numFmtId="0" fontId="4" fillId="17" borderId="3" xfId="8" applyBorder="1"/>
    <xf numFmtId="0" fontId="14" fillId="16" borderId="3" xfId="7" applyBorder="1" applyAlignment="1">
      <alignment horizontal="centerContinuous"/>
    </xf>
    <xf numFmtId="0" fontId="14" fillId="16" borderId="2" xfId="7" applyBorder="1" applyAlignment="1">
      <alignment horizontal="centerContinuous"/>
    </xf>
    <xf numFmtId="0" fontId="14" fillId="16" borderId="4" xfId="7" applyBorder="1" applyAlignment="1">
      <alignment horizontal="centerContinuous"/>
    </xf>
    <xf numFmtId="0" fontId="14" fillId="16" borderId="1" xfId="7" applyBorder="1" applyAlignment="1">
      <alignment horizontal="centerContinuous"/>
    </xf>
    <xf numFmtId="43" fontId="4" fillId="18" borderId="1" xfId="3" applyFill="1" applyBorder="1" applyAlignment="1">
      <alignment horizontal="center"/>
    </xf>
    <xf numFmtId="43" fontId="14" fillId="16" borderId="1" xfId="3" applyFont="1" applyFill="1" applyBorder="1" applyAlignment="1">
      <alignment horizontal="centerContinuous"/>
    </xf>
    <xf numFmtId="165" fontId="4" fillId="17" borderId="2" xfId="8" applyNumberFormat="1" applyBorder="1" applyAlignment="1" applyProtection="1">
      <alignment horizontal="center" vertical="center"/>
      <protection locked="0"/>
    </xf>
    <xf numFmtId="165" fontId="4" fillId="17" borderId="4" xfId="8" applyNumberFormat="1" applyBorder="1" applyAlignment="1" applyProtection="1">
      <alignment horizontal="center" vertical="center"/>
      <protection locked="0"/>
    </xf>
    <xf numFmtId="165" fontId="4" fillId="17" borderId="3" xfId="8" applyNumberFormat="1" applyBorder="1" applyAlignment="1" applyProtection="1">
      <alignment horizontal="center" vertical="center"/>
      <protection locked="0"/>
    </xf>
  </cellXfs>
  <cellStyles count="9">
    <cellStyle name="20% - Accent3" xfId="8" builtinId="38"/>
    <cellStyle name="20% - Accent6" xfId="6" builtinId="50"/>
    <cellStyle name="Accent3" xfId="7" builtinId="37"/>
    <cellStyle name="Accent6" xfId="5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60427%20Encore%20Service%20Ticke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Rate Matrix"/>
      <sheetName val="Pick Sheet"/>
      <sheetName val="Holidays"/>
    </sheetNames>
    <sheetDataSet>
      <sheetData sheetId="0"/>
      <sheetData sheetId="1">
        <row r="1">
          <cell r="A1" t="str">
            <v>Overtime Percentage</v>
          </cell>
          <cell r="B1" t="str">
            <v>Customer Name</v>
          </cell>
          <cell r="C1" t="str">
            <v>Encore - Not billable</v>
          </cell>
          <cell r="D1" t="str">
            <v xml:space="preserve">Field Service Technician </v>
          </cell>
          <cell r="E1" t="str">
            <v xml:space="preserve">Technician Helper </v>
          </cell>
          <cell r="F1" t="str">
            <v xml:space="preserve">Shop Service Technician </v>
          </cell>
          <cell r="G1" t="str">
            <v xml:space="preserve">Valve Service Technician </v>
          </cell>
          <cell r="H1" t="str">
            <v xml:space="preserve">CAT 3500 Certified Tech </v>
          </cell>
          <cell r="I1" t="str">
            <v xml:space="preserve">CAT 3600 Certified Tech </v>
          </cell>
          <cell r="J1" t="str">
            <v xml:space="preserve">Waukesha VHP Certified Tech </v>
          </cell>
          <cell r="K1" t="str">
            <v xml:space="preserve">Welder </v>
          </cell>
          <cell r="L1" t="str">
            <v xml:space="preserve">Hot Water Pressure Wash </v>
          </cell>
          <cell r="M1" t="str">
            <v xml:space="preserve">Service Supervisor </v>
          </cell>
          <cell r="N1" t="str">
            <v xml:space="preserve">Emission Tech </v>
          </cell>
          <cell r="O1" t="str">
            <v xml:space="preserve">Valve Tech, Helper &amp; Truck </v>
          </cell>
          <cell r="P1" t="str">
            <v xml:space="preserve">Hazard Tech </v>
          </cell>
          <cell r="Q1" t="str">
            <v xml:space="preserve">Facility Operator </v>
          </cell>
          <cell r="R1" t="str">
            <v xml:space="preserve">Trucking Service </v>
          </cell>
          <cell r="S1" t="str">
            <v xml:space="preserve">EOG Trucking </v>
          </cell>
          <cell r="T1" t="str">
            <v xml:space="preserve">Machinist </v>
          </cell>
          <cell r="U1" t="str">
            <v>Rate Per Mile</v>
          </cell>
        </row>
        <row r="2">
          <cell r="A2">
            <v>1.5</v>
          </cell>
          <cell r="B2" t="str">
            <v>ARUBA</v>
          </cell>
          <cell r="C2">
            <v>0</v>
          </cell>
        </row>
        <row r="3">
          <cell r="A3">
            <v>1.5</v>
          </cell>
          <cell r="B3" t="str">
            <v>BLUES</v>
          </cell>
        </row>
        <row r="4">
          <cell r="A4">
            <v>1.5</v>
          </cell>
          <cell r="B4" t="str">
            <v>CATALYTIC COMBUSTION</v>
          </cell>
        </row>
        <row r="5">
          <cell r="A5">
            <v>1.5</v>
          </cell>
          <cell r="B5" t="str">
            <v>CDM</v>
          </cell>
        </row>
        <row r="6">
          <cell r="A6">
            <v>1.5</v>
          </cell>
          <cell r="B6" t="str">
            <v>CDM-MIDLAND</v>
          </cell>
        </row>
        <row r="7">
          <cell r="A7">
            <v>1.5</v>
          </cell>
          <cell r="B7" t="str">
            <v>CTJ ENERGY</v>
          </cell>
        </row>
        <row r="8">
          <cell r="A8">
            <v>1.5</v>
          </cell>
          <cell r="B8" t="str">
            <v>ENBRIDGE</v>
          </cell>
        </row>
        <row r="9">
          <cell r="A9">
            <v>1.5</v>
          </cell>
          <cell r="B9" t="str">
            <v>ENCORE</v>
          </cell>
        </row>
        <row r="10">
          <cell r="A10">
            <v>1.5</v>
          </cell>
          <cell r="B10" t="str">
            <v>ENERGY GAS</v>
          </cell>
        </row>
        <row r="11">
          <cell r="A11">
            <v>1.5</v>
          </cell>
          <cell r="B11" t="str">
            <v>ENLINK-BPORT</v>
          </cell>
        </row>
        <row r="12">
          <cell r="A12">
            <v>1.5</v>
          </cell>
          <cell r="B12" t="str">
            <v>ENLINK-CTRL</v>
          </cell>
        </row>
        <row r="13">
          <cell r="A13">
            <v>1.5</v>
          </cell>
          <cell r="B13" t="str">
            <v>ENLINK-DW</v>
          </cell>
        </row>
        <row r="14">
          <cell r="A14">
            <v>1.5</v>
          </cell>
          <cell r="B14" t="str">
            <v>ENLINK-MMR</v>
          </cell>
        </row>
        <row r="15">
          <cell r="A15">
            <v>1.5</v>
          </cell>
          <cell r="B15" t="str">
            <v>ENLINK-N</v>
          </cell>
        </row>
        <row r="16">
          <cell r="A16">
            <v>1.5</v>
          </cell>
          <cell r="B16" t="str">
            <v>ENLINK-S</v>
          </cell>
        </row>
        <row r="17">
          <cell r="A17">
            <v>1.5</v>
          </cell>
          <cell r="B17" t="str">
            <v>ENLINK-W</v>
          </cell>
        </row>
        <row r="18">
          <cell r="A18">
            <v>1.5</v>
          </cell>
          <cell r="B18" t="str">
            <v>EOG-M</v>
          </cell>
        </row>
        <row r="19">
          <cell r="A19">
            <v>1.5</v>
          </cell>
          <cell r="B19" t="str">
            <v>EOG-N</v>
          </cell>
        </row>
        <row r="20">
          <cell r="A20">
            <v>1.5</v>
          </cell>
          <cell r="B20" t="str">
            <v>EOG-S</v>
          </cell>
        </row>
        <row r="21">
          <cell r="A21">
            <v>1.5</v>
          </cell>
          <cell r="B21" t="str">
            <v>ETC PIPELINE</v>
          </cell>
        </row>
        <row r="22">
          <cell r="A22">
            <v>1.5</v>
          </cell>
          <cell r="B22" t="str">
            <v>ETC PROCESSING</v>
          </cell>
        </row>
        <row r="23">
          <cell r="A23">
            <v>1.5</v>
          </cell>
          <cell r="B23" t="str">
            <v>ETC W TX</v>
          </cell>
        </row>
        <row r="24">
          <cell r="A24">
            <v>1.5</v>
          </cell>
          <cell r="B24" t="str">
            <v>ETF CLEBURNE</v>
          </cell>
        </row>
        <row r="25">
          <cell r="A25">
            <v>1.5</v>
          </cell>
          <cell r="B25" t="str">
            <v>ETT</v>
          </cell>
        </row>
        <row r="26">
          <cell r="A26">
            <v>1.5</v>
          </cell>
          <cell r="B26" t="str">
            <v>FORWIND INC</v>
          </cell>
        </row>
        <row r="27">
          <cell r="A27">
            <v>1.5</v>
          </cell>
          <cell r="B27" t="str">
            <v>H5O INC</v>
          </cell>
        </row>
        <row r="28">
          <cell r="A28">
            <v>1.5</v>
          </cell>
          <cell r="B28" t="str">
            <v>INDUSTRIAL GASMASTER</v>
          </cell>
        </row>
        <row r="29">
          <cell r="A29">
            <v>1.5</v>
          </cell>
          <cell r="B29" t="str">
            <v>J-W POWER</v>
          </cell>
        </row>
        <row r="30">
          <cell r="A30">
            <v>1.3</v>
          </cell>
          <cell r="B30" t="str">
            <v>KINDER MORGAN</v>
          </cell>
        </row>
        <row r="31">
          <cell r="A31">
            <v>1.3</v>
          </cell>
          <cell r="B31" t="str">
            <v>KINDER MORGAN-W TX</v>
          </cell>
        </row>
        <row r="32">
          <cell r="A32">
            <v>1.5</v>
          </cell>
          <cell r="B32" t="str">
            <v>LONE STAR</v>
          </cell>
        </row>
        <row r="33">
          <cell r="A33">
            <v>1.5</v>
          </cell>
          <cell r="B33" t="str">
            <v>LUCID-DTX</v>
          </cell>
        </row>
        <row r="34">
          <cell r="A34">
            <v>1.5</v>
          </cell>
          <cell r="B34" t="str">
            <v>LUCID-WTX</v>
          </cell>
        </row>
        <row r="35">
          <cell r="A35">
            <v>1.5</v>
          </cell>
          <cell r="B35" t="str">
            <v>MIKE BROWN</v>
          </cell>
        </row>
        <row r="36">
          <cell r="A36">
            <v>1.5</v>
          </cell>
          <cell r="B36" t="str">
            <v>NGSG</v>
          </cell>
        </row>
        <row r="37">
          <cell r="A37">
            <v>1.5</v>
          </cell>
          <cell r="B37" t="str">
            <v>OGS</v>
          </cell>
        </row>
        <row r="38">
          <cell r="A38">
            <v>1.5</v>
          </cell>
          <cell r="B38" t="str">
            <v>PECAN</v>
          </cell>
        </row>
        <row r="39">
          <cell r="A39">
            <v>1.5</v>
          </cell>
          <cell r="B39" t="str">
            <v>PECOS</v>
          </cell>
        </row>
        <row r="40">
          <cell r="A40">
            <v>1.5</v>
          </cell>
          <cell r="B40" t="str">
            <v>PENNTEX</v>
          </cell>
        </row>
        <row r="41">
          <cell r="A41">
            <v>1.5</v>
          </cell>
          <cell r="B41" t="str">
            <v>PRECISION</v>
          </cell>
        </row>
        <row r="42">
          <cell r="A42">
            <v>1.5</v>
          </cell>
          <cell r="B42" t="str">
            <v>QRI</v>
          </cell>
        </row>
        <row r="43">
          <cell r="A43">
            <v>1.5</v>
          </cell>
          <cell r="B43" t="str">
            <v>RICHARD SANDERS</v>
          </cell>
        </row>
        <row r="44">
          <cell r="A44">
            <v>1.5</v>
          </cell>
          <cell r="B44" t="str">
            <v>SEMGAS</v>
          </cell>
        </row>
        <row r="45">
          <cell r="A45">
            <v>1.5</v>
          </cell>
          <cell r="B45" t="str">
            <v>SPINDLETOP</v>
          </cell>
        </row>
        <row r="46">
          <cell r="A46">
            <v>1.5</v>
          </cell>
          <cell r="B46" t="str">
            <v>SQUAW CREEK</v>
          </cell>
        </row>
        <row r="47">
          <cell r="A47">
            <v>1.5</v>
          </cell>
          <cell r="B47" t="str">
            <v>SUMMIT</v>
          </cell>
        </row>
        <row r="48">
          <cell r="A48">
            <v>1.5</v>
          </cell>
          <cell r="B48" t="str">
            <v>TARGA</v>
          </cell>
        </row>
        <row r="49">
          <cell r="A49">
            <v>1.5</v>
          </cell>
          <cell r="B49" t="str">
            <v>TOTAL EQUIP</v>
          </cell>
        </row>
        <row r="50">
          <cell r="A50">
            <v>1.5</v>
          </cell>
          <cell r="B50" t="str">
            <v>TRINIDAD</v>
          </cell>
        </row>
        <row r="51">
          <cell r="A51">
            <v>1.5</v>
          </cell>
          <cell r="B51" t="str">
            <v>TRINITY RIVER</v>
          </cell>
        </row>
        <row r="52">
          <cell r="A52">
            <v>1.5</v>
          </cell>
          <cell r="B52" t="str">
            <v>TRUEROCK, LLC</v>
          </cell>
        </row>
        <row r="53">
          <cell r="A53">
            <v>1.5</v>
          </cell>
          <cell r="B53" t="str">
            <v>USA COMPRESSION</v>
          </cell>
        </row>
        <row r="54">
          <cell r="A54">
            <v>1.5</v>
          </cell>
          <cell r="B54" t="str">
            <v>W TX IND ENG</v>
          </cell>
        </row>
        <row r="55">
          <cell r="A55">
            <v>1.5</v>
          </cell>
          <cell r="B55" t="str">
            <v>WORSHAM STEED</v>
          </cell>
        </row>
        <row r="56">
          <cell r="A56">
            <v>1.5</v>
          </cell>
          <cell r="B56" t="str">
            <v>WTG</v>
          </cell>
        </row>
        <row r="57">
          <cell r="A57">
            <v>1.5</v>
          </cell>
          <cell r="B57" t="str">
            <v>XTO</v>
          </cell>
        </row>
      </sheetData>
      <sheetData sheetId="2">
        <row r="1">
          <cell r="A1" t="str">
            <v>Time</v>
          </cell>
          <cell r="C1" t="str">
            <v>Employee Name</v>
          </cell>
          <cell r="F1" t="str">
            <v>Job</v>
          </cell>
          <cell r="H1" t="str">
            <v>Charge to</v>
          </cell>
          <cell r="K1" t="str">
            <v>Mile Rate</v>
          </cell>
          <cell r="M1" t="str">
            <v>Road Conditions</v>
          </cell>
          <cell r="O1" t="str">
            <v>Vehicle#</v>
          </cell>
          <cell r="Q1" t="str">
            <v>Other Expenses</v>
          </cell>
          <cell r="S1" t="str">
            <v>Excess Time</v>
          </cell>
          <cell r="U1" t="str">
            <v>Approval</v>
          </cell>
          <cell r="W1" t="str">
            <v>Warehouse</v>
          </cell>
          <cell r="Y1" t="str">
            <v>Meals/Lodging</v>
          </cell>
          <cell r="AA1" t="str">
            <v>Driver</v>
          </cell>
          <cell r="AC1" t="str">
            <v>Compressor</v>
          </cell>
        </row>
        <row r="2">
          <cell r="A2">
            <v>42370</v>
          </cell>
          <cell r="C2" t="str">
            <v>Brandon Dunagan</v>
          </cell>
          <cell r="F2" t="str">
            <v>Third Party Service</v>
          </cell>
          <cell r="H2" t="str">
            <v>Set-In</v>
          </cell>
          <cell r="K2">
            <v>2.25</v>
          </cell>
          <cell r="M2" t="str">
            <v>Snow / Ice</v>
          </cell>
          <cell r="O2" t="str">
            <v>Trk 0025</v>
          </cell>
          <cell r="Q2" t="str">
            <v>Overhaul Tool Rental - $250 Per Day</v>
          </cell>
          <cell r="S2" t="str">
            <v>Waiting on Client</v>
          </cell>
          <cell r="U2" t="str">
            <v>Brandon Dunagan</v>
          </cell>
          <cell r="W2" t="str">
            <v>Parts  Depot</v>
          </cell>
          <cell r="Y2" t="str">
            <v>Meal Exp.</v>
          </cell>
          <cell r="AA2" t="str">
            <v>AJAX</v>
          </cell>
          <cell r="AC2" t="str">
            <v>Ajax</v>
          </cell>
        </row>
        <row r="3">
          <cell r="A3">
            <v>42370.010416666664</v>
          </cell>
          <cell r="C3" t="str">
            <v>Tracy Davis</v>
          </cell>
          <cell r="F3" t="str">
            <v>Trucking</v>
          </cell>
          <cell r="H3" t="str">
            <v>Billable</v>
          </cell>
          <cell r="K3">
            <v>2.35</v>
          </cell>
          <cell r="M3" t="str">
            <v>Muddy/Rough</v>
          </cell>
          <cell r="O3" t="str">
            <v>Trk 0495</v>
          </cell>
          <cell r="Q3" t="str">
            <v>8500 lb. Crane - $100 Per Hour</v>
          </cell>
          <cell r="S3" t="str">
            <v>Waiting on Operator</v>
          </cell>
          <cell r="U3" t="str">
            <v>John Simonetti, Jr</v>
          </cell>
          <cell r="W3" t="str">
            <v>Machine</v>
          </cell>
          <cell r="Y3" t="str">
            <v>Lodging Exp.</v>
          </cell>
          <cell r="AA3" t="str">
            <v>Arrow</v>
          </cell>
          <cell r="AC3" t="str">
            <v>Ariel</v>
          </cell>
        </row>
        <row r="4">
          <cell r="A4">
            <v>42370.020833333328</v>
          </cell>
          <cell r="C4" t="str">
            <v>Don Yandell</v>
          </cell>
          <cell r="F4" t="str">
            <v>Indirect Time</v>
          </cell>
          <cell r="H4" t="str">
            <v>Call Out</v>
          </cell>
          <cell r="K4">
            <v>2.75</v>
          </cell>
          <cell r="M4" t="str">
            <v>Rain/Fog</v>
          </cell>
          <cell r="O4" t="str">
            <v>Trk 0797</v>
          </cell>
          <cell r="Q4" t="str">
            <v>Laser Alignment Tool - $500 Per Alignment</v>
          </cell>
          <cell r="S4" t="str">
            <v>Waiting on Contractor</v>
          </cell>
          <cell r="U4" t="str">
            <v>Kelsey Wylie</v>
          </cell>
          <cell r="W4" t="str">
            <v>West TX</v>
          </cell>
          <cell r="Y4" t="str">
            <v>Both</v>
          </cell>
          <cell r="AA4" t="str">
            <v>Caterpillar</v>
          </cell>
          <cell r="AC4" t="str">
            <v>Gardner Denver</v>
          </cell>
        </row>
        <row r="5">
          <cell r="A5">
            <v>42370.031249999993</v>
          </cell>
          <cell r="C5" t="str">
            <v>Gerald Phillips</v>
          </cell>
          <cell r="F5" t="str">
            <v>Safety Meetings</v>
          </cell>
          <cell r="H5" t="str">
            <v>Drive - By Check</v>
          </cell>
          <cell r="M5" t="str">
            <v>Construction</v>
          </cell>
          <cell r="O5" t="str">
            <v>Trk 0798</v>
          </cell>
          <cell r="Q5" t="str">
            <v>Cat 3600 Tool Group - $500 Per Day</v>
          </cell>
          <cell r="S5" t="str">
            <v>Waiting on Parts</v>
          </cell>
          <cell r="U5" t="str">
            <v>Marty Windham</v>
          </cell>
          <cell r="Y5" t="str">
            <v>None</v>
          </cell>
          <cell r="AA5" t="str">
            <v>Electric Motor</v>
          </cell>
          <cell r="AC5" t="str">
            <v>GE</v>
          </cell>
        </row>
        <row r="6">
          <cell r="A6">
            <v>42370.041666666657</v>
          </cell>
          <cell r="C6" t="str">
            <v>Gilbert Padron</v>
          </cell>
          <cell r="F6" t="str">
            <v>Training</v>
          </cell>
          <cell r="H6" t="str">
            <v>Repair</v>
          </cell>
          <cell r="M6" t="str">
            <v>Traffic</v>
          </cell>
          <cell r="O6" t="str">
            <v>Trk 1118</v>
          </cell>
          <cell r="Q6" t="str">
            <v>Wash Trailer - $65 Per Hour</v>
          </cell>
          <cell r="S6" t="str">
            <v>Waiting on Crane</v>
          </cell>
          <cell r="U6" t="str">
            <v>Tommy Bennett</v>
          </cell>
          <cell r="AA6" t="str">
            <v>Intergrall</v>
          </cell>
          <cell r="AC6" t="str">
            <v>Ingersoll Rand</v>
          </cell>
        </row>
        <row r="7">
          <cell r="A7">
            <v>42370.052083333321</v>
          </cell>
          <cell r="C7" t="str">
            <v>Jack Benke</v>
          </cell>
          <cell r="F7" t="str">
            <v>Holiday</v>
          </cell>
          <cell r="H7" t="str">
            <v>Preventive Maintenance</v>
          </cell>
          <cell r="M7" t="str">
            <v>Clear</v>
          </cell>
          <cell r="O7" t="str">
            <v>Trk 1240</v>
          </cell>
          <cell r="Q7" t="str">
            <v>Tractor - $Xxx Per Day</v>
          </cell>
          <cell r="S7" t="str">
            <v>Waiting on Truck</v>
          </cell>
          <cell r="AA7" t="str">
            <v>Waukesha</v>
          </cell>
          <cell r="AC7" t="str">
            <v>Worthington</v>
          </cell>
        </row>
        <row r="8">
          <cell r="A8">
            <v>42370.062499999985</v>
          </cell>
          <cell r="C8" t="str">
            <v>James Lasley</v>
          </cell>
          <cell r="F8" t="str">
            <v>Jury Duty</v>
          </cell>
          <cell r="H8" t="str">
            <v>Shop</v>
          </cell>
          <cell r="O8" t="str">
            <v>Trk 1392</v>
          </cell>
          <cell r="Q8" t="str">
            <v>Welder - $85 Per Hour</v>
          </cell>
          <cell r="S8" t="str">
            <v>Travel - Road Conditions</v>
          </cell>
          <cell r="AA8" t="str">
            <v>White Superior</v>
          </cell>
          <cell r="AC8" t="str">
            <v>N/A - Trucking</v>
          </cell>
        </row>
        <row r="9">
          <cell r="A9">
            <v>42370.07291666665</v>
          </cell>
          <cell r="C9" t="str">
            <v>John R Simonetti, Jr.</v>
          </cell>
          <cell r="F9" t="str">
            <v>Personal</v>
          </cell>
          <cell r="H9" t="str">
            <v>Lost Time</v>
          </cell>
          <cell r="O9" t="str">
            <v>Trk 1411</v>
          </cell>
          <cell r="S9" t="str">
            <v>Weather Conditions</v>
          </cell>
          <cell r="AA9" t="str">
            <v>N/A - Trucking</v>
          </cell>
        </row>
        <row r="10">
          <cell r="A10">
            <v>42370.083333333314</v>
          </cell>
          <cell r="C10" t="str">
            <v>Johnny Wolff</v>
          </cell>
          <cell r="F10" t="str">
            <v>Sick</v>
          </cell>
          <cell r="H10" t="str">
            <v>Warranty</v>
          </cell>
          <cell r="O10" t="str">
            <v>Trk 1723</v>
          </cell>
          <cell r="S10" t="str">
            <v>None</v>
          </cell>
        </row>
        <row r="11">
          <cell r="A11">
            <v>42370.093749999978</v>
          </cell>
          <cell r="C11" t="str">
            <v>Kelsey Wylie</v>
          </cell>
          <cell r="F11" t="str">
            <v>Vacation</v>
          </cell>
          <cell r="O11" t="str">
            <v>Trk 1818</v>
          </cell>
        </row>
        <row r="12">
          <cell r="A12">
            <v>42370.104166666642</v>
          </cell>
          <cell r="C12" t="str">
            <v>Kevin Johnson</v>
          </cell>
          <cell r="O12" t="str">
            <v>Trk 1900</v>
          </cell>
        </row>
        <row r="13">
          <cell r="A13">
            <v>42370.114583333307</v>
          </cell>
          <cell r="C13" t="str">
            <v>Mario Salas</v>
          </cell>
          <cell r="O13" t="str">
            <v>Trk 2109</v>
          </cell>
        </row>
        <row r="14">
          <cell r="A14">
            <v>42370.124999999971</v>
          </cell>
          <cell r="C14" t="str">
            <v>Marty Windham</v>
          </cell>
          <cell r="O14" t="str">
            <v>Trk 2212</v>
          </cell>
        </row>
        <row r="15">
          <cell r="A15">
            <v>42370.135416666635</v>
          </cell>
          <cell r="C15" t="str">
            <v>Richard Bannister</v>
          </cell>
          <cell r="O15" t="str">
            <v>Trk 2224</v>
          </cell>
        </row>
        <row r="16">
          <cell r="A16">
            <v>42370.145833333299</v>
          </cell>
          <cell r="C16" t="str">
            <v>Rico Ugoletti</v>
          </cell>
          <cell r="O16" t="str">
            <v>Trk 3136</v>
          </cell>
        </row>
        <row r="17">
          <cell r="A17">
            <v>42370.156249999964</v>
          </cell>
          <cell r="C17" t="str">
            <v>Roberto Hernandez</v>
          </cell>
          <cell r="O17" t="str">
            <v>Trk 3385</v>
          </cell>
        </row>
        <row r="18">
          <cell r="A18">
            <v>42370.166666666628</v>
          </cell>
          <cell r="C18" t="str">
            <v>Rowdy Wickline</v>
          </cell>
          <cell r="O18" t="str">
            <v>Trk 3389</v>
          </cell>
        </row>
        <row r="19">
          <cell r="A19">
            <v>42370.177083333292</v>
          </cell>
          <cell r="C19" t="str">
            <v>William Brown</v>
          </cell>
          <cell r="O19" t="str">
            <v>Trk 3520</v>
          </cell>
        </row>
        <row r="20">
          <cell r="A20">
            <v>42370.187499999956</v>
          </cell>
          <cell r="C20" t="str">
            <v>Tommy Bennett</v>
          </cell>
          <cell r="O20" t="str">
            <v>Trk 4526</v>
          </cell>
        </row>
        <row r="21">
          <cell r="A21">
            <v>42370.197916666621</v>
          </cell>
          <cell r="C21" t="str">
            <v>Jason Ward</v>
          </cell>
          <cell r="O21" t="str">
            <v>Trk 4922</v>
          </cell>
        </row>
        <row r="22">
          <cell r="A22">
            <v>42370.208333333285</v>
          </cell>
          <cell r="C22" t="str">
            <v>Ryan Bryant</v>
          </cell>
          <cell r="O22" t="str">
            <v>Trk 5130</v>
          </cell>
        </row>
        <row r="23">
          <cell r="A23">
            <v>42370.218749999949</v>
          </cell>
          <cell r="O23" t="str">
            <v>Trk 5408</v>
          </cell>
        </row>
        <row r="24">
          <cell r="A24">
            <v>42370.229166666613</v>
          </cell>
          <cell r="O24" t="str">
            <v>Trk 5553</v>
          </cell>
        </row>
        <row r="25">
          <cell r="A25">
            <v>42370.239583333278</v>
          </cell>
          <cell r="O25" t="str">
            <v>Trk 8032</v>
          </cell>
        </row>
        <row r="26">
          <cell r="A26">
            <v>42370.249999999942</v>
          </cell>
          <cell r="O26" t="str">
            <v>Trk 8834</v>
          </cell>
        </row>
        <row r="27">
          <cell r="A27">
            <v>42370.260416666606</v>
          </cell>
          <cell r="O27" t="str">
            <v>Trk 8864</v>
          </cell>
        </row>
        <row r="28">
          <cell r="A28">
            <v>42370.27083333327</v>
          </cell>
          <cell r="O28" t="str">
            <v>Trk 9080</v>
          </cell>
        </row>
        <row r="29">
          <cell r="A29">
            <v>42370.281249999935</v>
          </cell>
          <cell r="O29" t="str">
            <v>Trk 9393</v>
          </cell>
        </row>
        <row r="30">
          <cell r="A30">
            <v>42370.291666666599</v>
          </cell>
          <cell r="O30" t="str">
            <v>Trk 9435</v>
          </cell>
        </row>
        <row r="31">
          <cell r="A31">
            <v>42370.302083333263</v>
          </cell>
          <cell r="O31" t="str">
            <v>Trk 9876</v>
          </cell>
        </row>
        <row r="32">
          <cell r="A32">
            <v>42370.312499999927</v>
          </cell>
          <cell r="O32" t="str">
            <v>Trl 3837</v>
          </cell>
        </row>
        <row r="33">
          <cell r="A33">
            <v>42370.322916666591</v>
          </cell>
          <cell r="O33" t="str">
            <v>Trl 4527</v>
          </cell>
        </row>
        <row r="34">
          <cell r="A34">
            <v>42370.333333333256</v>
          </cell>
          <cell r="O34" t="str">
            <v>Trl 5250</v>
          </cell>
        </row>
        <row r="35">
          <cell r="A35">
            <v>42370.34374999992</v>
          </cell>
          <cell r="O35" t="str">
            <v>Trl 5251</v>
          </cell>
        </row>
        <row r="36">
          <cell r="A36">
            <v>42370.354166666584</v>
          </cell>
          <cell r="O36" t="str">
            <v>Trl 6209</v>
          </cell>
        </row>
        <row r="37">
          <cell r="A37">
            <v>42370.364583333248</v>
          </cell>
          <cell r="O37" t="str">
            <v>Trl 6509</v>
          </cell>
        </row>
        <row r="38">
          <cell r="A38">
            <v>42370.374999999913</v>
          </cell>
        </row>
        <row r="39">
          <cell r="A39">
            <v>42370.385416666577</v>
          </cell>
        </row>
        <row r="40">
          <cell r="A40">
            <v>42370.395833333241</v>
          </cell>
        </row>
        <row r="41">
          <cell r="A41">
            <v>42370.406249999905</v>
          </cell>
        </row>
        <row r="42">
          <cell r="A42">
            <v>42370.41666666657</v>
          </cell>
        </row>
        <row r="43">
          <cell r="A43">
            <v>42370.427083333234</v>
          </cell>
        </row>
        <row r="44">
          <cell r="A44">
            <v>42370.437499999898</v>
          </cell>
        </row>
        <row r="45">
          <cell r="A45">
            <v>42370.447916666562</v>
          </cell>
        </row>
        <row r="46">
          <cell r="A46">
            <v>42370.458333333227</v>
          </cell>
        </row>
        <row r="47">
          <cell r="A47">
            <v>42370.468749999891</v>
          </cell>
        </row>
        <row r="48">
          <cell r="A48">
            <v>42370.479166666555</v>
          </cell>
        </row>
        <row r="49">
          <cell r="A49">
            <v>42370.489583333219</v>
          </cell>
        </row>
        <row r="50">
          <cell r="A50">
            <v>42370.499999999884</v>
          </cell>
        </row>
        <row r="51">
          <cell r="A51">
            <v>42370.510416666548</v>
          </cell>
        </row>
        <row r="52">
          <cell r="A52">
            <v>42370.520833333212</v>
          </cell>
        </row>
        <row r="53">
          <cell r="A53">
            <v>42370.531249999876</v>
          </cell>
        </row>
        <row r="54">
          <cell r="A54">
            <v>42370.541666666541</v>
          </cell>
        </row>
        <row r="55">
          <cell r="A55">
            <v>42370.552083333205</v>
          </cell>
        </row>
        <row r="56">
          <cell r="A56">
            <v>42370.562499999869</v>
          </cell>
        </row>
        <row r="57">
          <cell r="A57">
            <v>42370.572916666533</v>
          </cell>
        </row>
        <row r="58">
          <cell r="A58">
            <v>42370.583333333198</v>
          </cell>
        </row>
        <row r="59">
          <cell r="A59">
            <v>42370.593749999862</v>
          </cell>
        </row>
        <row r="60">
          <cell r="A60">
            <v>42370.604166666526</v>
          </cell>
        </row>
        <row r="61">
          <cell r="A61">
            <v>42370.61458333319</v>
          </cell>
        </row>
        <row r="62">
          <cell r="A62">
            <v>42370.624999999854</v>
          </cell>
        </row>
        <row r="63">
          <cell r="A63">
            <v>42370.635416666519</v>
          </cell>
        </row>
        <row r="64">
          <cell r="A64">
            <v>42370.645833333183</v>
          </cell>
        </row>
        <row r="65">
          <cell r="A65">
            <v>42370.656249999847</v>
          </cell>
        </row>
        <row r="66">
          <cell r="A66">
            <v>42370.666666666511</v>
          </cell>
        </row>
        <row r="67">
          <cell r="A67">
            <v>42370.677083333176</v>
          </cell>
        </row>
        <row r="68">
          <cell r="A68">
            <v>42370.68749999984</v>
          </cell>
        </row>
        <row r="69">
          <cell r="A69">
            <v>42370.697916666504</v>
          </cell>
        </row>
        <row r="70">
          <cell r="A70">
            <v>42370.708333333168</v>
          </cell>
        </row>
        <row r="71">
          <cell r="A71">
            <v>42370.718749999833</v>
          </cell>
        </row>
        <row r="72">
          <cell r="A72">
            <v>42370.729166666497</v>
          </cell>
        </row>
        <row r="73">
          <cell r="A73">
            <v>42370.739583333161</v>
          </cell>
        </row>
        <row r="74">
          <cell r="A74">
            <v>42370.749999999825</v>
          </cell>
        </row>
        <row r="75">
          <cell r="A75">
            <v>42370.76041666649</v>
          </cell>
        </row>
        <row r="76">
          <cell r="A76">
            <v>42370.770833333154</v>
          </cell>
        </row>
        <row r="77">
          <cell r="A77">
            <v>42370.781249999818</v>
          </cell>
        </row>
        <row r="78">
          <cell r="A78">
            <v>42370.791666666482</v>
          </cell>
        </row>
        <row r="79">
          <cell r="A79">
            <v>42370.802083333147</v>
          </cell>
        </row>
        <row r="80">
          <cell r="A80">
            <v>42370.812499999811</v>
          </cell>
        </row>
        <row r="81">
          <cell r="A81">
            <v>42370.822916666475</v>
          </cell>
        </row>
        <row r="82">
          <cell r="A82">
            <v>42370.833333333139</v>
          </cell>
        </row>
        <row r="83">
          <cell r="A83">
            <v>42370.843749999804</v>
          </cell>
        </row>
        <row r="84">
          <cell r="A84">
            <v>42370.854166666468</v>
          </cell>
        </row>
        <row r="85">
          <cell r="A85">
            <v>42370.864583333132</v>
          </cell>
        </row>
        <row r="86">
          <cell r="A86">
            <v>42370.874999999796</v>
          </cell>
        </row>
        <row r="87">
          <cell r="A87">
            <v>42370.885416666461</v>
          </cell>
        </row>
        <row r="88">
          <cell r="A88">
            <v>42370.895833333125</v>
          </cell>
        </row>
        <row r="89">
          <cell r="A89">
            <v>42370.906249999789</v>
          </cell>
        </row>
        <row r="90">
          <cell r="A90">
            <v>42370.916666666453</v>
          </cell>
        </row>
        <row r="91">
          <cell r="A91">
            <v>42370.927083333117</v>
          </cell>
        </row>
        <row r="92">
          <cell r="A92">
            <v>42370.937499999782</v>
          </cell>
        </row>
        <row r="93">
          <cell r="A93">
            <v>42370.947916666446</v>
          </cell>
        </row>
        <row r="94">
          <cell r="A94">
            <v>42370.95833333311</v>
          </cell>
        </row>
        <row r="95">
          <cell r="A95">
            <v>42370.968749999774</v>
          </cell>
        </row>
        <row r="96">
          <cell r="A96">
            <v>42370.979166666439</v>
          </cell>
        </row>
        <row r="97">
          <cell r="A97">
            <v>42370.989583333103</v>
          </cell>
        </row>
        <row r="98">
          <cell r="A98">
            <v>42370.999999999767</v>
          </cell>
        </row>
        <row r="99">
          <cell r="A99">
            <v>42371.010416666431</v>
          </cell>
        </row>
        <row r="100">
          <cell r="A100">
            <v>42371.020833333096</v>
          </cell>
        </row>
        <row r="101">
          <cell r="A101">
            <v>42371.03124999976</v>
          </cell>
        </row>
        <row r="102">
          <cell r="A102">
            <v>42371.041666666424</v>
          </cell>
        </row>
        <row r="103">
          <cell r="A103">
            <v>42371.052083333088</v>
          </cell>
        </row>
        <row r="104">
          <cell r="A104">
            <v>42371.062499999753</v>
          </cell>
        </row>
        <row r="105">
          <cell r="A105">
            <v>42371.072916666417</v>
          </cell>
        </row>
        <row r="106">
          <cell r="A106">
            <v>42371.083333333081</v>
          </cell>
        </row>
        <row r="107">
          <cell r="A107">
            <v>42371.093749999745</v>
          </cell>
        </row>
        <row r="108">
          <cell r="A108">
            <v>42371.10416666641</v>
          </cell>
        </row>
        <row r="109">
          <cell r="A109">
            <v>42371.114583333074</v>
          </cell>
        </row>
        <row r="110">
          <cell r="A110">
            <v>42371.124999999738</v>
          </cell>
        </row>
        <row r="111">
          <cell r="A111">
            <v>42371.135416666402</v>
          </cell>
        </row>
        <row r="112">
          <cell r="A112">
            <v>42371.145833333067</v>
          </cell>
        </row>
        <row r="113">
          <cell r="A113">
            <v>42371.156249999731</v>
          </cell>
        </row>
        <row r="114">
          <cell r="A114">
            <v>42371.166666666395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3"/>
  <sheetViews>
    <sheetView showGridLines="0" workbookViewId="0">
      <selection activeCell="G11" sqref="G11"/>
    </sheetView>
  </sheetViews>
  <sheetFormatPr defaultRowHeight="15" x14ac:dyDescent="0.25"/>
  <cols>
    <col min="1" max="1" width="2.85546875" customWidth="1"/>
    <col min="5" max="5" width="12" bestFit="1" customWidth="1"/>
  </cols>
  <sheetData>
    <row r="2" spans="2:14" x14ac:dyDescent="0.25">
      <c r="B2" s="161" t="s">
        <v>13</v>
      </c>
      <c r="C2" s="161"/>
      <c r="D2" s="161"/>
      <c r="E2" s="161" t="s">
        <v>14</v>
      </c>
      <c r="F2" s="161"/>
      <c r="G2" s="163"/>
      <c r="I2" s="107" t="s">
        <v>327</v>
      </c>
      <c r="J2" s="107"/>
      <c r="K2" s="107"/>
      <c r="L2" s="107" t="s">
        <v>328</v>
      </c>
      <c r="M2" s="107"/>
      <c r="N2" s="107"/>
    </row>
    <row r="3" spans="2:14" x14ac:dyDescent="0.25">
      <c r="B3" s="166">
        <f>IF(Output!$B21,Output!$B21,"")</f>
        <v>42370.499999999884</v>
      </c>
      <c r="C3" s="167"/>
      <c r="D3" s="168"/>
      <c r="E3" s="166">
        <f>IF(Output!$E21,Output!$E21,"")</f>
        <v>42370.749999999825</v>
      </c>
      <c r="F3" s="167"/>
      <c r="G3" s="168"/>
      <c r="I3" s="154">
        <v>42370.208333333285</v>
      </c>
      <c r="J3" s="155"/>
      <c r="K3" s="156"/>
      <c r="L3" s="154">
        <v>42370.708333333168</v>
      </c>
      <c r="M3" s="155"/>
      <c r="N3" s="156"/>
    </row>
    <row r="4" spans="2:14" x14ac:dyDescent="0.25">
      <c r="B4" s="166" t="str">
        <f>IF(Output!$B22,Output!$B22,"")</f>
        <v/>
      </c>
      <c r="C4" s="167"/>
      <c r="D4" s="168"/>
      <c r="E4" s="166" t="str">
        <f>IF(Output!$E22,Output!$E22,"")</f>
        <v/>
      </c>
      <c r="F4" s="167"/>
      <c r="G4" s="168"/>
    </row>
    <row r="5" spans="2:14" x14ac:dyDescent="0.25">
      <c r="B5" s="166" t="str">
        <f>IF(Output!$B23,Output!$B23,"")</f>
        <v/>
      </c>
      <c r="C5" s="167"/>
      <c r="D5" s="168"/>
      <c r="E5" s="166" t="str">
        <f>IF(Output!$E23,Output!$E23,"")</f>
        <v/>
      </c>
      <c r="F5" s="167"/>
      <c r="G5" s="168"/>
    </row>
    <row r="7" spans="2:14" x14ac:dyDescent="0.25">
      <c r="B7" s="161" t="s">
        <v>12</v>
      </c>
      <c r="C7" s="162"/>
      <c r="D7" s="160"/>
      <c r="E7" s="163" t="s">
        <v>330</v>
      </c>
      <c r="F7" s="163" t="s">
        <v>330</v>
      </c>
      <c r="G7" s="163" t="s">
        <v>330</v>
      </c>
    </row>
    <row r="8" spans="2:14" x14ac:dyDescent="0.25">
      <c r="B8" s="157" t="s">
        <v>329</v>
      </c>
      <c r="C8" s="158"/>
      <c r="D8" s="159"/>
      <c r="E8" s="164">
        <f>IFERROR((IF($B$3&lt;$I$3,$I$3-$B$3,0) + IF($E$3&gt;$L$3,$E$3-$L$3,0))*24,0)</f>
        <v>0.99999999976716936</v>
      </c>
      <c r="F8" s="164">
        <f>IFERROR((IF($B$4&lt;$I$3,$I$3-$B$4,0) + IF($E$4&gt;$L$3,$E$4-$L$3,0))*24,0)</f>
        <v>0</v>
      </c>
      <c r="G8" s="164">
        <f>IFERROR((IF($B$5&lt;$I$3,$I$3-$B$5,0) + IF($E$5&gt;$L$3,$E$5-$L$3,0))*24,0)</f>
        <v>0</v>
      </c>
    </row>
    <row r="9" spans="2:14" x14ac:dyDescent="0.25">
      <c r="B9" s="157" t="s">
        <v>326</v>
      </c>
      <c r="C9" s="158"/>
      <c r="D9" s="159"/>
      <c r="E9" s="164">
        <f>IFERROR(IF(($E$3-$B$3)*24-$E$8&gt;8,($E$3-$B$3)*24-$E$8-8,0),0)</f>
        <v>0</v>
      </c>
      <c r="F9" s="164">
        <f>IFERROR(IF(($E$4-$B$4)*24-$F$8&gt;8,($E$4-$B$4)*24-$F$8-8,0),0)</f>
        <v>0</v>
      </c>
      <c r="G9" s="164">
        <f>IFERROR(IF(($E$5-$B$5)*24-$G$8&gt;8,($E$5-$B$5)*24-$G$8-8,0),0)</f>
        <v>0</v>
      </c>
    </row>
    <row r="10" spans="2:14" x14ac:dyDescent="0.25">
      <c r="B10" s="157" t="s">
        <v>325</v>
      </c>
      <c r="C10" s="158"/>
      <c r="D10" s="159"/>
      <c r="E10" s="164">
        <f ca="1">IF(Output!$AX$43,($E$3-$B$3)*24-SUM($E$8:$E$9),0)</f>
        <v>0</v>
      </c>
      <c r="F10" s="164">
        <f ca="1">IF(Output!$AX$43,($E$4-$B$4)*24-SUM($F$8:$F$9),0)</f>
        <v>0</v>
      </c>
      <c r="G10" s="164">
        <f ca="1">IF(Output!$AX$43,($E$5-$B$5)*24-SUM($G$8:$G$9),0)</f>
        <v>0</v>
      </c>
    </row>
    <row r="11" spans="2:14" x14ac:dyDescent="0.25">
      <c r="B11" s="161" t="s">
        <v>331</v>
      </c>
      <c r="C11" s="162"/>
      <c r="D11" s="160"/>
      <c r="E11" s="165">
        <f ca="1">SUM(E8:E10)</f>
        <v>0.99999999976716936</v>
      </c>
      <c r="F11" s="165">
        <f ca="1">SUM(F8:F10)</f>
        <v>0</v>
      </c>
      <c r="G11" s="165">
        <f ca="1">SUM(G8:G10)</f>
        <v>0</v>
      </c>
    </row>
    <row r="12" spans="2:14" x14ac:dyDescent="0.25">
      <c r="B12" s="161" t="s">
        <v>332</v>
      </c>
      <c r="C12" s="162"/>
      <c r="D12" s="160"/>
      <c r="E12" s="165">
        <f ca="1">E13-E11</f>
        <v>4.9999999988358468</v>
      </c>
      <c r="F12" s="165">
        <f ca="1">F13-F11</f>
        <v>0</v>
      </c>
      <c r="G12" s="165">
        <f ca="1">G13-G11</f>
        <v>0</v>
      </c>
    </row>
    <row r="13" spans="2:14" x14ac:dyDescent="0.25">
      <c r="B13" s="161" t="s">
        <v>333</v>
      </c>
      <c r="C13" s="162"/>
      <c r="D13" s="160"/>
      <c r="E13" s="165">
        <f>IFERROR(($E$3-$B$3)*24,0)</f>
        <v>5.9999999986030161</v>
      </c>
      <c r="F13" s="165">
        <f>IFERROR(($E$4-$B$4)*24,0)</f>
        <v>0</v>
      </c>
      <c r="G13" s="165">
        <f>IFERROR(($E$5-$B$5)*24,0)</f>
        <v>0</v>
      </c>
    </row>
  </sheetData>
  <mergeCells count="10">
    <mergeCell ref="B4:D4"/>
    <mergeCell ref="E4:G4"/>
    <mergeCell ref="B5:D5"/>
    <mergeCell ref="E5:G5"/>
    <mergeCell ref="B3:D3"/>
    <mergeCell ref="E3:G3"/>
    <mergeCell ref="I2:K2"/>
    <mergeCell ref="L2:N2"/>
    <mergeCell ref="I3:K3"/>
    <mergeCell ref="L3:N3"/>
  </mergeCells>
  <dataValidations count="1">
    <dataValidation type="list" allowBlank="1" showInputMessage="1" showErrorMessage="1" sqref="I3:N3 B3:G5">
      <formula1>Time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E21" sqref="E21:G21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91" t="s">
        <v>183</v>
      </c>
      <c r="AX1" s="91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47" t="str">
        <f>IF(B11="","Report Template",VLOOKUP($B$11,'Pick Sheet'!$AE$2:$AF$22,2,FALSE))</f>
        <v>Report Template</v>
      </c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9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0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2"/>
      <c r="AN3" s="2"/>
      <c r="AO3" s="146" t="str">
        <f ca="1">CONCATENATE(YEAR($AP$7)," ",MONTH(AP$7)," ",DAY($AP$7)," ",$AX$11," ",$AX$18," ","0",$AX$40," ",$AX$20,)</f>
        <v>2016 4 27 0 0 00 0</v>
      </c>
      <c r="AP3" s="146"/>
      <c r="AQ3" s="146"/>
      <c r="AR3" s="146"/>
      <c r="AS3" s="146"/>
      <c r="AT3" s="146"/>
      <c r="AU3" s="146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42" t="s">
        <v>0</v>
      </c>
      <c r="C5" s="142"/>
      <c r="D5" s="142"/>
      <c r="E5" s="142"/>
      <c r="F5" s="142"/>
      <c r="G5" s="142"/>
      <c r="H5" s="102" t="s">
        <v>1</v>
      </c>
      <c r="I5" s="103"/>
      <c r="J5" s="103"/>
      <c r="K5" s="103"/>
      <c r="L5" s="103"/>
      <c r="M5" s="103"/>
      <c r="N5" s="103"/>
      <c r="O5" s="103"/>
      <c r="P5" s="103"/>
      <c r="Q5" s="103"/>
      <c r="R5" s="103"/>
      <c r="S5" s="103"/>
      <c r="T5" s="104"/>
      <c r="U5" s="102" t="s">
        <v>2</v>
      </c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4"/>
      <c r="AK5" s="102" t="s">
        <v>3</v>
      </c>
      <c r="AL5" s="103"/>
      <c r="AM5" s="103"/>
      <c r="AN5" s="103"/>
      <c r="AO5" s="104"/>
      <c r="AP5" s="102" t="s">
        <v>4</v>
      </c>
      <c r="AQ5" s="103"/>
      <c r="AR5" s="103"/>
      <c r="AS5" s="103"/>
      <c r="AT5" s="103"/>
      <c r="AU5" s="104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90"/>
      <c r="C7" s="90"/>
      <c r="D7" s="90"/>
      <c r="E7" s="90"/>
      <c r="F7" s="90"/>
      <c r="G7" s="90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141">
        <f ca="1">TODAY()</f>
        <v>42487</v>
      </c>
      <c r="AQ7" s="90"/>
      <c r="AR7" s="90"/>
      <c r="AS7" s="90"/>
      <c r="AT7" s="90"/>
      <c r="AU7" s="90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42" t="s">
        <v>43</v>
      </c>
      <c r="C9" s="142"/>
      <c r="D9" s="142"/>
      <c r="E9" s="142"/>
      <c r="F9" s="142"/>
      <c r="G9" s="142"/>
      <c r="H9" s="142" t="s">
        <v>170</v>
      </c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 t="s">
        <v>5</v>
      </c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 t="s">
        <v>6</v>
      </c>
      <c r="AL9" s="142"/>
      <c r="AM9" s="142"/>
      <c r="AN9" s="142"/>
      <c r="AO9" s="142"/>
      <c r="AP9" s="142" t="s">
        <v>7</v>
      </c>
      <c r="AQ9" s="142"/>
      <c r="AR9" s="142"/>
      <c r="AS9" s="142"/>
      <c r="AT9" s="142"/>
      <c r="AU9" s="142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116"/>
      <c r="AL11" s="116"/>
      <c r="AM11" s="116"/>
      <c r="AN11" s="116"/>
      <c r="AO11" s="116"/>
      <c r="AP11" s="105"/>
      <c r="AQ11" s="106"/>
      <c r="AR11" s="106"/>
      <c r="AS11" s="106"/>
      <c r="AT11" s="106"/>
      <c r="AU11" s="140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42" t="s">
        <v>44</v>
      </c>
      <c r="C13" s="142"/>
      <c r="D13" s="142"/>
      <c r="E13" s="142"/>
      <c r="F13" s="142"/>
      <c r="G13" s="142"/>
      <c r="H13" s="142" t="s">
        <v>38</v>
      </c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02" t="s">
        <v>8</v>
      </c>
      <c r="V13" s="103"/>
      <c r="W13" s="103"/>
      <c r="X13" s="103"/>
      <c r="Y13" s="103"/>
      <c r="Z13" s="103"/>
      <c r="AA13" s="103"/>
      <c r="AB13" s="104"/>
      <c r="AC13" s="139"/>
      <c r="AD13" s="139"/>
      <c r="AE13" s="139"/>
      <c r="AF13" s="139"/>
      <c r="AG13" s="139"/>
      <c r="AH13" s="139"/>
      <c r="AI13" s="139"/>
      <c r="AJ13" s="139"/>
      <c r="AK13" s="142" t="s">
        <v>45</v>
      </c>
      <c r="AL13" s="142"/>
      <c r="AM13" s="142"/>
      <c r="AN13" s="142"/>
      <c r="AO13" s="142"/>
      <c r="AP13" s="142" t="s">
        <v>46</v>
      </c>
      <c r="AQ13" s="142"/>
      <c r="AR13" s="142"/>
      <c r="AS13" s="142"/>
      <c r="AT13" s="142"/>
      <c r="AU13" s="142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35" t="str">
        <f ca="1">IFERROR(VLOOKUP(ServiceMan,EmpLookup,2,FALSE),"")</f>
        <v/>
      </c>
      <c r="C15" s="135"/>
      <c r="D15" s="135"/>
      <c r="E15" s="135"/>
      <c r="F15" s="135"/>
      <c r="G15" s="135"/>
      <c r="H15" s="136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8"/>
      <c r="U15" s="105"/>
      <c r="V15" s="106"/>
      <c r="W15" s="106"/>
      <c r="X15" s="106"/>
      <c r="Y15" s="106"/>
      <c r="Z15" s="106"/>
      <c r="AA15" s="106"/>
      <c r="AB15" s="140"/>
      <c r="AC15" s="139"/>
      <c r="AD15" s="139"/>
      <c r="AE15" s="139"/>
      <c r="AF15" s="139"/>
      <c r="AG15" s="139"/>
      <c r="AH15" s="139"/>
      <c r="AI15" s="139"/>
      <c r="AJ15" s="139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02" t="s">
        <v>48</v>
      </c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3"/>
      <c r="O17" s="103"/>
      <c r="P17" s="103"/>
      <c r="Q17" s="103"/>
      <c r="R17" s="103"/>
      <c r="S17" s="104"/>
      <c r="T17" s="3"/>
      <c r="U17" s="102" t="s">
        <v>49</v>
      </c>
      <c r="V17" s="103"/>
      <c r="W17" s="103"/>
      <c r="X17" s="103"/>
      <c r="Y17" s="103"/>
      <c r="Z17" s="103"/>
      <c r="AA17" s="103"/>
      <c r="AB17" s="103"/>
      <c r="AC17" s="104"/>
      <c r="AD17" s="2"/>
      <c r="AE17" s="102" t="s">
        <v>37</v>
      </c>
      <c r="AF17" s="103"/>
      <c r="AG17" s="103"/>
      <c r="AH17" s="103"/>
      <c r="AI17" s="103"/>
      <c r="AJ17" s="103"/>
      <c r="AK17" s="103"/>
      <c r="AL17" s="103"/>
      <c r="AM17" s="103"/>
      <c r="AN17" s="103"/>
      <c r="AO17" s="103"/>
      <c r="AP17" s="103"/>
      <c r="AQ17" s="103"/>
      <c r="AR17" s="103"/>
      <c r="AS17" s="103"/>
      <c r="AT17" s="103"/>
      <c r="AU17" s="104"/>
      <c r="AV17" s="2"/>
      <c r="AW17" s="8" t="s">
        <v>4</v>
      </c>
      <c r="AX17" s="11">
        <f ca="1">AP7</f>
        <v>42487</v>
      </c>
    </row>
    <row r="18" spans="1:50" ht="18" customHeight="1" x14ac:dyDescent="0.25">
      <c r="A18" s="2"/>
      <c r="B18" s="134" t="s">
        <v>172</v>
      </c>
      <c r="C18" s="134"/>
      <c r="D18" s="134"/>
      <c r="E18" s="134"/>
      <c r="F18" s="134"/>
      <c r="G18" s="134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4"/>
      <c r="U18" s="100" t="s">
        <v>16</v>
      </c>
      <c r="V18" s="100"/>
      <c r="W18" s="100"/>
      <c r="X18" s="100"/>
      <c r="Y18" s="100"/>
      <c r="Z18" s="100"/>
      <c r="AA18" s="121">
        <f>IFERROR(INDEX('Rate Matrix'!$C$2:$U$70,MATCH(Mandatory1,'Rate Matrix'!$B$2:$B$70,0),MATCH("Rate Per Mile",'Rate Matrix'!$C$1:$U$1)),0)</f>
        <v>0</v>
      </c>
      <c r="AB18" s="122"/>
      <c r="AC18" s="123"/>
      <c r="AD18" s="2"/>
      <c r="AE18" s="96" t="s">
        <v>23</v>
      </c>
      <c r="AF18" s="97"/>
      <c r="AG18" s="97"/>
      <c r="AH18" s="97"/>
      <c r="AI18" s="97"/>
      <c r="AJ18" s="97"/>
      <c r="AK18" s="97"/>
      <c r="AL18" s="97"/>
      <c r="AM18" s="98"/>
      <c r="AN18" s="96" t="s">
        <v>24</v>
      </c>
      <c r="AO18" s="98"/>
      <c r="AP18" s="96" t="s">
        <v>25</v>
      </c>
      <c r="AQ18" s="97"/>
      <c r="AR18" s="97"/>
      <c r="AS18" s="97"/>
      <c r="AT18" s="97"/>
      <c r="AU18" s="98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07" t="s">
        <v>9</v>
      </c>
      <c r="C19" s="107"/>
      <c r="D19" s="107"/>
      <c r="E19" s="107"/>
      <c r="F19" s="107"/>
      <c r="G19" s="107"/>
      <c r="H19" s="107" t="s">
        <v>10</v>
      </c>
      <c r="I19" s="107"/>
      <c r="J19" s="107"/>
      <c r="K19" s="107"/>
      <c r="L19" s="107"/>
      <c r="M19" s="107"/>
      <c r="N19" s="107" t="s">
        <v>15</v>
      </c>
      <c r="O19" s="107"/>
      <c r="P19" s="107"/>
      <c r="Q19" s="107"/>
      <c r="R19" s="107"/>
      <c r="S19" s="107"/>
      <c r="T19" s="5"/>
      <c r="U19" s="100" t="s">
        <v>50</v>
      </c>
      <c r="V19" s="100"/>
      <c r="W19" s="100"/>
      <c r="X19" s="100"/>
      <c r="Y19" s="100"/>
      <c r="Z19" s="100"/>
      <c r="AA19" s="90"/>
      <c r="AB19" s="90"/>
      <c r="AC19" s="90"/>
      <c r="AD19" s="2"/>
      <c r="AE19" s="92"/>
      <c r="AF19" s="93"/>
      <c r="AG19" s="93"/>
      <c r="AH19" s="93"/>
      <c r="AI19" s="93"/>
      <c r="AJ19" s="93"/>
      <c r="AK19" s="93"/>
      <c r="AL19" s="93"/>
      <c r="AM19" s="94"/>
      <c r="AN19" s="92"/>
      <c r="AO19" s="94"/>
      <c r="AP19" s="92"/>
      <c r="AQ19" s="93"/>
      <c r="AR19" s="93"/>
      <c r="AS19" s="93"/>
      <c r="AT19" s="93"/>
      <c r="AU19" s="94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07" t="s">
        <v>13</v>
      </c>
      <c r="C20" s="107"/>
      <c r="D20" s="107"/>
      <c r="E20" s="107" t="s">
        <v>14</v>
      </c>
      <c r="F20" s="107"/>
      <c r="G20" s="107"/>
      <c r="H20" s="107" t="s">
        <v>11</v>
      </c>
      <c r="I20" s="107"/>
      <c r="J20" s="107"/>
      <c r="K20" s="107" t="s">
        <v>12</v>
      </c>
      <c r="L20" s="107"/>
      <c r="M20" s="107"/>
      <c r="N20" s="107" t="s">
        <v>11</v>
      </c>
      <c r="O20" s="107"/>
      <c r="P20" s="107"/>
      <c r="Q20" s="107" t="s">
        <v>12</v>
      </c>
      <c r="R20" s="107"/>
      <c r="S20" s="107"/>
      <c r="T20" s="3"/>
      <c r="U20" s="100" t="s">
        <v>51</v>
      </c>
      <c r="V20" s="100"/>
      <c r="W20" s="100"/>
      <c r="X20" s="100"/>
      <c r="Y20" s="100"/>
      <c r="Z20" s="100"/>
      <c r="AA20" s="90"/>
      <c r="AB20" s="90"/>
      <c r="AC20" s="90"/>
      <c r="AD20" s="2"/>
      <c r="AE20" s="107" t="s">
        <v>26</v>
      </c>
      <c r="AF20" s="107"/>
      <c r="AG20" s="96" t="s">
        <v>53</v>
      </c>
      <c r="AH20" s="97"/>
      <c r="AI20" s="98"/>
      <c r="AJ20" s="107" t="s">
        <v>54</v>
      </c>
      <c r="AK20" s="107"/>
      <c r="AL20" s="107"/>
      <c r="AM20" s="107"/>
      <c r="AN20" s="107"/>
      <c r="AO20" s="107"/>
      <c r="AP20" s="119" t="s">
        <v>27</v>
      </c>
      <c r="AQ20" s="119"/>
      <c r="AR20" s="118" t="s">
        <v>55</v>
      </c>
      <c r="AS20" s="118"/>
      <c r="AT20" s="118"/>
      <c r="AU20" s="118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26">
        <v>42370.499999999884</v>
      </c>
      <c r="C21" s="127"/>
      <c r="D21" s="128"/>
      <c r="E21" s="126">
        <v>42370.749999999825</v>
      </c>
      <c r="F21" s="127"/>
      <c r="G21" s="128"/>
      <c r="H21" s="121">
        <f ca="1">IF('Test - Overtime'!$E$12,'Test - Overtime'!$E$12,"")</f>
        <v>4.9999999988358468</v>
      </c>
      <c r="I21" s="122"/>
      <c r="J21" s="123"/>
      <c r="K21" s="121">
        <f ca="1">IF('Test - Overtime'!$E$11,'Test - Overtime'!$E$11,"")</f>
        <v>0.99999999976716936</v>
      </c>
      <c r="L21" s="122"/>
      <c r="M21" s="123"/>
      <c r="N21" s="129" t="str">
        <f ca="1">IFERROR(IF($B21="","",INDEX(ServiceRates,MATCH(Output!$H$7,CustomerNames,0),MATCH(Output!$H$18,ServiceRate,0))*$H21),"")</f>
        <v/>
      </c>
      <c r="O21" s="129"/>
      <c r="P21" s="129"/>
      <c r="Q21" s="130" t="str">
        <f ca="1">IFERROR(IF($B21="","",INDEX(ServiceRates,MATCH(Output!$H$7,CustomerNames,0),MATCH(Output!$H$18,ServiceRate,0))*INDEX(OTCalc,MATCH($H$7,CustomerNames,0))*$K21),"")</f>
        <v/>
      </c>
      <c r="R21" s="131"/>
      <c r="S21" s="132"/>
      <c r="T21" s="3"/>
      <c r="U21" s="100" t="s">
        <v>17</v>
      </c>
      <c r="V21" s="100"/>
      <c r="W21" s="100"/>
      <c r="X21" s="100"/>
      <c r="Y21" s="100"/>
      <c r="Z21" s="100"/>
      <c r="AA21" s="124">
        <f>SUM(AA19:AC20)</f>
        <v>0</v>
      </c>
      <c r="AB21" s="124"/>
      <c r="AC21" s="124"/>
      <c r="AD21" s="3"/>
      <c r="AE21" s="120" t="s">
        <v>28</v>
      </c>
      <c r="AF21" s="12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26"/>
      <c r="C22" s="127"/>
      <c r="D22" s="128"/>
      <c r="E22" s="126"/>
      <c r="F22" s="127"/>
      <c r="G22" s="128"/>
      <c r="H22" s="121" t="str">
        <f ca="1">IF('Test - Overtime'!$F$12,'Test - Overtime'!$F$12,"")</f>
        <v/>
      </c>
      <c r="I22" s="122"/>
      <c r="J22" s="123"/>
      <c r="K22" s="121" t="str">
        <f ca="1">IF('Test - Overtime'!$F$11,'Test - Overtime'!$F$11,"")</f>
        <v/>
      </c>
      <c r="L22" s="122"/>
      <c r="M22" s="123"/>
      <c r="N22" s="129" t="str">
        <f>IFERROR(IF($B22="","",INDEX(ServiceRates,MATCH(Output!$H$7,CustomerNames,0),MATCH(Output!$H$18,ServiceRate,0))*$H22),"")</f>
        <v/>
      </c>
      <c r="O22" s="129"/>
      <c r="P22" s="129"/>
      <c r="Q22" s="130" t="str">
        <f>IFERROR(IF($B22="","",INDEX(ServiceRates,MATCH(Output!$H$7,CustomerNames,0),MATCH(Output!$H$18,ServiceRate,0))*INDEX(OTCalc,MATCH($H$7,CustomerNames,0))*$K22),"")</f>
        <v/>
      </c>
      <c r="R22" s="131"/>
      <c r="S22" s="132"/>
      <c r="T22" s="3"/>
      <c r="U22" s="100" t="s">
        <v>18</v>
      </c>
      <c r="V22" s="100"/>
      <c r="W22" s="100"/>
      <c r="X22" s="100"/>
      <c r="Y22" s="100"/>
      <c r="Z22" s="100"/>
      <c r="AA22" s="125">
        <f>IF($AA$18="","",AA21*AA18)</f>
        <v>0</v>
      </c>
      <c r="AB22" s="125"/>
      <c r="AC22" s="125"/>
      <c r="AD22" s="3"/>
      <c r="AE22" s="120" t="s">
        <v>29</v>
      </c>
      <c r="AF22" s="120"/>
      <c r="AG22" s="90"/>
      <c r="AH22" s="90"/>
      <c r="AI22" s="90"/>
      <c r="AJ22" s="90"/>
      <c r="AK22" s="90"/>
      <c r="AL22" s="90"/>
      <c r="AM22" s="90"/>
      <c r="AN22" s="90"/>
      <c r="AO22" s="90"/>
      <c r="AP22" s="118" t="s">
        <v>181</v>
      </c>
      <c r="AQ22" s="118"/>
      <c r="AR22" s="118" t="s">
        <v>182</v>
      </c>
      <c r="AS22" s="118"/>
      <c r="AT22" s="118"/>
      <c r="AU22" s="118"/>
      <c r="AV22" s="3"/>
      <c r="AW22" s="8" t="s">
        <v>218</v>
      </c>
      <c r="AX22" s="8">
        <f ca="1">SUM(AX23:AX24)</f>
        <v>5.9999999986030161</v>
      </c>
    </row>
    <row r="23" spans="1:50" ht="18" customHeight="1" x14ac:dyDescent="0.25">
      <c r="A23" s="3"/>
      <c r="B23" s="126"/>
      <c r="C23" s="127"/>
      <c r="D23" s="128"/>
      <c r="E23" s="126"/>
      <c r="F23" s="127"/>
      <c r="G23" s="128"/>
      <c r="H23" s="121" t="str">
        <f ca="1">IF('Test - Overtime'!$G$12,'Test - Overtime'!$G$12,"")</f>
        <v/>
      </c>
      <c r="I23" s="122"/>
      <c r="J23" s="123"/>
      <c r="K23" s="121" t="str">
        <f ca="1">IF('Test - Overtime'!$G$11,'Test - Overtime'!$G$11,"")</f>
        <v/>
      </c>
      <c r="L23" s="122"/>
      <c r="M23" s="123"/>
      <c r="N23" s="129" t="str">
        <f>IFERROR(IF($B23="","",INDEX(ServiceRates,MATCH(Output!$H$7,CustomerNames,0),MATCH(Output!$H$18,ServiceRate,0))*$H23),"")</f>
        <v/>
      </c>
      <c r="O23" s="129"/>
      <c r="P23" s="129"/>
      <c r="Q23" s="130" t="str">
        <f>IFERROR(IF($B23="","",INDEX(ServiceRates,MATCH(Output!$H$7,CustomerNames,0),MATCH(Output!$H$18,ServiceRate,0))*INDEX(OTCalc,MATCH($H$7,CustomerNames,0))*$K23),"")</f>
        <v/>
      </c>
      <c r="R23" s="131"/>
      <c r="S23" s="132"/>
      <c r="T23" s="3"/>
      <c r="U23" s="111"/>
      <c r="V23" s="112"/>
      <c r="W23" s="112"/>
      <c r="X23" s="112"/>
      <c r="Y23" s="112"/>
      <c r="Z23" s="112"/>
      <c r="AA23" s="112"/>
      <c r="AB23" s="112"/>
      <c r="AC23" s="113"/>
      <c r="AD23" s="3"/>
      <c r="AE23" s="120" t="s">
        <v>56</v>
      </c>
      <c r="AF23" s="12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110" t="str">
        <f>IF(AG23="","",((AG23+15)*((AP23/2)^2)*PI())-((AG22+15)*(((AP23/2)^2)*PI()-(($AP$21/2)^2)*PI())))</f>
        <v/>
      </c>
      <c r="AS23" s="110"/>
      <c r="AT23" s="110"/>
      <c r="AU23" s="110"/>
      <c r="AV23" s="3"/>
      <c r="AW23" s="8" t="s">
        <v>11</v>
      </c>
      <c r="AX23" s="8">
        <f ca="1">IF($H$24="",0,$H$24)</f>
        <v>4.9999999988358468</v>
      </c>
    </row>
    <row r="24" spans="1:50" ht="18" customHeight="1" x14ac:dyDescent="0.25">
      <c r="A24" s="3"/>
      <c r="B24" s="114" t="s">
        <v>20</v>
      </c>
      <c r="C24" s="115"/>
      <c r="D24" s="115"/>
      <c r="E24" s="115"/>
      <c r="F24" s="115"/>
      <c r="G24" s="133"/>
      <c r="H24" s="124">
        <f ca="1">SUM(H$21:J$23)</f>
        <v>4.9999999988358468</v>
      </c>
      <c r="I24" s="120"/>
      <c r="J24" s="120"/>
      <c r="K24" s="124">
        <f ca="1">SUM(K$21:M$23)</f>
        <v>0.99999999976716936</v>
      </c>
      <c r="L24" s="120"/>
      <c r="M24" s="120"/>
      <c r="N24" s="107" t="s">
        <v>47</v>
      </c>
      <c r="O24" s="107"/>
      <c r="P24" s="107"/>
      <c r="Q24" s="129">
        <f ca="1">SUM(N21:S23)</f>
        <v>0</v>
      </c>
      <c r="R24" s="120"/>
      <c r="S24" s="120"/>
      <c r="T24" s="3"/>
      <c r="U24" s="114" t="s">
        <v>19</v>
      </c>
      <c r="V24" s="115"/>
      <c r="W24" s="115"/>
      <c r="X24" s="115"/>
      <c r="Y24" s="115"/>
      <c r="Z24" s="116"/>
      <c r="AA24" s="116"/>
      <c r="AB24" s="116"/>
      <c r="AC24" s="116"/>
      <c r="AD24" s="3"/>
      <c r="AE24" s="120" t="s">
        <v>30</v>
      </c>
      <c r="AF24" s="12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110" t="str">
        <f t="shared" ref="AR24:AR25" si="0">IF(AG24="","",((AG24+15)*((AP24/2)^2)*PI())-((AG23+15)*(((AP24/2)^2)*PI()-(($AP$21/2)^2)*PI())))</f>
        <v/>
      </c>
      <c r="AS24" s="110"/>
      <c r="AT24" s="110"/>
      <c r="AU24" s="110"/>
      <c r="AV24" s="3"/>
      <c r="AW24" s="8" t="s">
        <v>12</v>
      </c>
      <c r="AX24" s="8">
        <f ca="1">IF($K$24="",0,$K$24)</f>
        <v>0.99999999976716936</v>
      </c>
    </row>
    <row r="25" spans="1:50" ht="18" customHeight="1" x14ac:dyDescent="0.25">
      <c r="A25" s="3"/>
      <c r="B25" s="100" t="s">
        <v>22</v>
      </c>
      <c r="C25" s="100"/>
      <c r="D25" s="100"/>
      <c r="E25" s="100"/>
      <c r="F25" s="100"/>
      <c r="G25" s="100"/>
      <c r="H25" s="100"/>
      <c r="I25" s="100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3"/>
      <c r="U25" s="114" t="s">
        <v>52</v>
      </c>
      <c r="V25" s="115"/>
      <c r="W25" s="115"/>
      <c r="X25" s="115"/>
      <c r="Y25" s="115"/>
      <c r="Z25" s="116"/>
      <c r="AA25" s="116"/>
      <c r="AB25" s="116"/>
      <c r="AC25" s="116"/>
      <c r="AD25" s="3"/>
      <c r="AE25" s="120" t="s">
        <v>31</v>
      </c>
      <c r="AF25" s="12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110" t="str">
        <f t="shared" si="0"/>
        <v/>
      </c>
      <c r="AS25" s="110"/>
      <c r="AT25" s="110"/>
      <c r="AU25" s="110"/>
      <c r="AV25" s="3"/>
      <c r="AW25" s="8" t="s">
        <v>189</v>
      </c>
      <c r="AX25" s="8"/>
    </row>
    <row r="26" spans="1:50" ht="18" customHeight="1" x14ac:dyDescent="0.25">
      <c r="A26" s="3"/>
      <c r="B26" s="100" t="s">
        <v>21</v>
      </c>
      <c r="C26" s="100"/>
      <c r="D26" s="100"/>
      <c r="E26" s="100"/>
      <c r="F26" s="100"/>
      <c r="G26" s="100"/>
      <c r="H26" s="100"/>
      <c r="I26" s="100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3"/>
      <c r="U26" s="114" t="s">
        <v>171</v>
      </c>
      <c r="V26" s="115"/>
      <c r="W26" s="115"/>
      <c r="X26" s="115"/>
      <c r="Y26" s="115"/>
      <c r="Z26" s="117"/>
      <c r="AA26" s="117"/>
      <c r="AB26" s="117"/>
      <c r="AC26" s="117"/>
      <c r="AD26" s="3"/>
      <c r="AE26" s="111"/>
      <c r="AF26" s="112"/>
      <c r="AG26" s="112"/>
      <c r="AH26" s="112"/>
      <c r="AI26" s="112"/>
      <c r="AJ26" s="112"/>
      <c r="AK26" s="112"/>
      <c r="AL26" s="112"/>
      <c r="AM26" s="112"/>
      <c r="AN26" s="112"/>
      <c r="AO26" s="112"/>
      <c r="AP26" s="112"/>
      <c r="AQ26" s="112"/>
      <c r="AR26" s="112"/>
      <c r="AS26" s="112"/>
      <c r="AT26" s="112"/>
      <c r="AU26" s="113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02" t="s">
        <v>63</v>
      </c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4"/>
      <c r="AD28" s="3"/>
      <c r="AE28" s="107" t="s">
        <v>61</v>
      </c>
      <c r="AF28" s="107"/>
      <c r="AG28" s="107"/>
      <c r="AH28" s="107"/>
      <c r="AI28" s="107" t="s">
        <v>57</v>
      </c>
      <c r="AJ28" s="107"/>
      <c r="AK28" s="107" t="s">
        <v>58</v>
      </c>
      <c r="AL28" s="107"/>
      <c r="AM28" s="107"/>
      <c r="AN28" s="107" t="s">
        <v>59</v>
      </c>
      <c r="AO28" s="107"/>
      <c r="AP28" s="107" t="s">
        <v>60</v>
      </c>
      <c r="AQ28" s="107"/>
      <c r="AR28" s="107" t="s">
        <v>32</v>
      </c>
      <c r="AS28" s="107"/>
      <c r="AT28" s="107"/>
      <c r="AU28" s="107"/>
      <c r="AV28" s="3"/>
      <c r="AW28" s="8" t="s">
        <v>190</v>
      </c>
      <c r="AX28" s="8"/>
    </row>
    <row r="29" spans="1:50" ht="18" customHeight="1" x14ac:dyDescent="0.25">
      <c r="A29" s="3"/>
      <c r="B29" s="107" t="s">
        <v>39</v>
      </c>
      <c r="C29" s="107"/>
      <c r="D29" s="107"/>
      <c r="E29" s="96" t="s">
        <v>72</v>
      </c>
      <c r="F29" s="97"/>
      <c r="G29" s="97"/>
      <c r="H29" s="97"/>
      <c r="I29" s="96" t="s">
        <v>73</v>
      </c>
      <c r="J29" s="97"/>
      <c r="K29" s="97"/>
      <c r="L29" s="97"/>
      <c r="M29" s="97"/>
      <c r="N29" s="96" t="s">
        <v>74</v>
      </c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8"/>
      <c r="Z29" s="97" t="s">
        <v>222</v>
      </c>
      <c r="AA29" s="97"/>
      <c r="AB29" s="97"/>
      <c r="AC29" s="98"/>
      <c r="AD29" s="3"/>
      <c r="AE29" s="107" t="s">
        <v>62</v>
      </c>
      <c r="AF29" s="107"/>
      <c r="AG29" s="90"/>
      <c r="AH29" s="90"/>
      <c r="AI29" s="90"/>
      <c r="AJ29" s="90"/>
      <c r="AK29" s="90"/>
      <c r="AL29" s="90"/>
      <c r="AM29" s="90"/>
      <c r="AN29" s="90"/>
      <c r="AO29" s="90"/>
      <c r="AP29" s="109" t="str">
        <f>IF(AG29="","",(CHOOSE(AG29,(AG$23+15)/(AG$22+15),(AG$24+15)/(AG$23+15),(AG$25+15)/(AG$24+15))))</f>
        <v/>
      </c>
      <c r="AQ29" s="109"/>
      <c r="AR29" s="108" t="str">
        <f>IF(AG29="","",((AI29+460)*(AP29^0.206))-460)</f>
        <v/>
      </c>
      <c r="AS29" s="108"/>
      <c r="AT29" s="108"/>
      <c r="AU29" s="108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01"/>
      <c r="C30" s="101"/>
      <c r="D30" s="101"/>
      <c r="E30" s="105"/>
      <c r="F30" s="106"/>
      <c r="G30" s="106"/>
      <c r="H30" s="106"/>
      <c r="I30" s="90"/>
      <c r="J30" s="90"/>
      <c r="K30" s="90"/>
      <c r="L30" s="90"/>
      <c r="M30" s="90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9"/>
      <c r="Z30" s="90"/>
      <c r="AA30" s="90"/>
      <c r="AB30" s="90"/>
      <c r="AC30" s="90"/>
      <c r="AD30" s="3"/>
      <c r="AE30" s="107" t="s">
        <v>62</v>
      </c>
      <c r="AF30" s="107"/>
      <c r="AG30" s="90"/>
      <c r="AH30" s="90"/>
      <c r="AI30" s="90"/>
      <c r="AJ30" s="90"/>
      <c r="AK30" s="90"/>
      <c r="AL30" s="90"/>
      <c r="AM30" s="90"/>
      <c r="AN30" s="90"/>
      <c r="AO30" s="90"/>
      <c r="AP30" s="109" t="str">
        <f t="shared" ref="AP30:AP32" si="1">IF(AG30="","",(CHOOSE(AG30,(AG$23+15)/(AG$22+15),(AG$24+15)/(AG$23+15),(AG$25+15)/(AG$24+15))))</f>
        <v/>
      </c>
      <c r="AQ30" s="109"/>
      <c r="AR30" s="108" t="str">
        <f t="shared" ref="AR30:AR32" si="2">IF(AG30="","",((AI30+460)*(AP30^0.206))-460)</f>
        <v/>
      </c>
      <c r="AS30" s="108"/>
      <c r="AT30" s="108"/>
      <c r="AU30" s="108"/>
      <c r="AV30" s="3"/>
      <c r="AW30" s="8" t="s">
        <v>191</v>
      </c>
      <c r="AX30" s="8"/>
    </row>
    <row r="31" spans="1:50" ht="18" customHeight="1" x14ac:dyDescent="0.25">
      <c r="A31" s="3"/>
      <c r="B31" s="101"/>
      <c r="C31" s="101"/>
      <c r="D31" s="101"/>
      <c r="E31" s="105"/>
      <c r="F31" s="106"/>
      <c r="G31" s="106"/>
      <c r="H31" s="106"/>
      <c r="I31" s="90"/>
      <c r="J31" s="90"/>
      <c r="K31" s="90"/>
      <c r="L31" s="90"/>
      <c r="M31" s="90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9"/>
      <c r="Z31" s="90"/>
      <c r="AA31" s="90"/>
      <c r="AB31" s="90"/>
      <c r="AC31" s="90"/>
      <c r="AD31" s="3"/>
      <c r="AE31" s="107" t="s">
        <v>62</v>
      </c>
      <c r="AF31" s="107"/>
      <c r="AG31" s="90"/>
      <c r="AH31" s="90"/>
      <c r="AI31" s="90"/>
      <c r="AJ31" s="90"/>
      <c r="AK31" s="90"/>
      <c r="AL31" s="90"/>
      <c r="AM31" s="90"/>
      <c r="AN31" s="90"/>
      <c r="AO31" s="90"/>
      <c r="AP31" s="109" t="str">
        <f t="shared" si="1"/>
        <v/>
      </c>
      <c r="AQ31" s="109"/>
      <c r="AR31" s="108" t="str">
        <f t="shared" si="2"/>
        <v/>
      </c>
      <c r="AS31" s="108"/>
      <c r="AT31" s="108"/>
      <c r="AU31" s="108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01"/>
      <c r="C32" s="101"/>
      <c r="D32" s="101"/>
      <c r="E32" s="105"/>
      <c r="F32" s="106"/>
      <c r="G32" s="106"/>
      <c r="H32" s="106"/>
      <c r="I32" s="90"/>
      <c r="J32" s="90"/>
      <c r="K32" s="90"/>
      <c r="L32" s="90"/>
      <c r="M32" s="90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9"/>
      <c r="Z32" s="90"/>
      <c r="AA32" s="90"/>
      <c r="AB32" s="90"/>
      <c r="AC32" s="90"/>
      <c r="AD32" s="3"/>
      <c r="AE32" s="107" t="s">
        <v>62</v>
      </c>
      <c r="AF32" s="107"/>
      <c r="AG32" s="90"/>
      <c r="AH32" s="90"/>
      <c r="AI32" s="90"/>
      <c r="AJ32" s="90"/>
      <c r="AK32" s="90"/>
      <c r="AL32" s="90"/>
      <c r="AM32" s="90"/>
      <c r="AN32" s="90"/>
      <c r="AO32" s="90"/>
      <c r="AP32" s="109" t="str">
        <f t="shared" si="1"/>
        <v/>
      </c>
      <c r="AQ32" s="109"/>
      <c r="AR32" s="108" t="str">
        <f t="shared" si="2"/>
        <v/>
      </c>
      <c r="AS32" s="108"/>
      <c r="AT32" s="108"/>
      <c r="AU32" s="108"/>
      <c r="AV32" s="3"/>
      <c r="AW32" s="8" t="s">
        <v>192</v>
      </c>
      <c r="AX32" s="8"/>
    </row>
    <row r="33" spans="1:50" ht="18" customHeight="1" x14ac:dyDescent="0.25">
      <c r="A33" s="3"/>
      <c r="B33" s="101"/>
      <c r="C33" s="101"/>
      <c r="D33" s="101"/>
      <c r="E33" s="105"/>
      <c r="F33" s="106"/>
      <c r="G33" s="106"/>
      <c r="H33" s="106"/>
      <c r="I33" s="90"/>
      <c r="J33" s="90"/>
      <c r="K33" s="90"/>
      <c r="L33" s="90"/>
      <c r="M33" s="90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9"/>
      <c r="Z33" s="90"/>
      <c r="AA33" s="90"/>
      <c r="AB33" s="90"/>
      <c r="AC33" s="90"/>
      <c r="AD33" s="3"/>
      <c r="AE33" s="107" t="s">
        <v>64</v>
      </c>
      <c r="AF33" s="107"/>
      <c r="AG33" s="107"/>
      <c r="AH33" s="107"/>
      <c r="AI33" s="107"/>
      <c r="AJ33" s="107" t="s">
        <v>65</v>
      </c>
      <c r="AK33" s="107"/>
      <c r="AL33" s="107"/>
      <c r="AM33" s="107" t="s">
        <v>59</v>
      </c>
      <c r="AN33" s="107"/>
      <c r="AO33" s="107"/>
      <c r="AP33" s="107" t="s">
        <v>66</v>
      </c>
      <c r="AQ33" s="107"/>
      <c r="AR33" s="107"/>
      <c r="AS33" s="107" t="s">
        <v>59</v>
      </c>
      <c r="AT33" s="107"/>
      <c r="AU33" s="107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01"/>
      <c r="C34" s="101"/>
      <c r="D34" s="101"/>
      <c r="E34" s="105"/>
      <c r="F34" s="106"/>
      <c r="G34" s="106"/>
      <c r="H34" s="106"/>
      <c r="I34" s="90"/>
      <c r="J34" s="90"/>
      <c r="K34" s="90"/>
      <c r="L34" s="90"/>
      <c r="M34" s="90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9"/>
      <c r="Z34" s="90"/>
      <c r="AA34" s="90"/>
      <c r="AB34" s="90"/>
      <c r="AC34" s="90"/>
      <c r="AD34" s="3"/>
      <c r="AE34" s="107" t="s">
        <v>67</v>
      </c>
      <c r="AF34" s="107"/>
      <c r="AG34" s="107"/>
      <c r="AH34" s="107"/>
      <c r="AI34" s="107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3"/>
      <c r="AW34" s="8" t="s">
        <v>193</v>
      </c>
      <c r="AX34" s="8"/>
    </row>
    <row r="35" spans="1:50" ht="18" customHeight="1" x14ac:dyDescent="0.25">
      <c r="A35" s="3"/>
      <c r="B35" s="101"/>
      <c r="C35" s="101"/>
      <c r="D35" s="101"/>
      <c r="E35" s="105"/>
      <c r="F35" s="106"/>
      <c r="G35" s="106"/>
      <c r="H35" s="106"/>
      <c r="I35" s="90"/>
      <c r="J35" s="90"/>
      <c r="K35" s="90"/>
      <c r="L35" s="90"/>
      <c r="M35" s="90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9"/>
      <c r="Z35" s="90"/>
      <c r="AA35" s="90"/>
      <c r="AB35" s="90"/>
      <c r="AC35" s="90"/>
      <c r="AD35" s="3"/>
      <c r="AE35" s="107" t="s">
        <v>68</v>
      </c>
      <c r="AF35" s="107" t="s">
        <v>33</v>
      </c>
      <c r="AG35" s="107"/>
      <c r="AH35" s="107"/>
      <c r="AI35" s="107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01"/>
      <c r="C36" s="101"/>
      <c r="D36" s="101"/>
      <c r="E36" s="105"/>
      <c r="F36" s="106"/>
      <c r="G36" s="106"/>
      <c r="H36" s="106"/>
      <c r="I36" s="90"/>
      <c r="J36" s="90"/>
      <c r="K36" s="90"/>
      <c r="L36" s="90"/>
      <c r="M36" s="90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9"/>
      <c r="Z36" s="90"/>
      <c r="AA36" s="90"/>
      <c r="AB36" s="90"/>
      <c r="AC36" s="90"/>
      <c r="AD36" s="3"/>
      <c r="AE36" s="107" t="s">
        <v>69</v>
      </c>
      <c r="AF36" s="107" t="s">
        <v>34</v>
      </c>
      <c r="AG36" s="107"/>
      <c r="AH36" s="107"/>
      <c r="AI36" s="107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3"/>
      <c r="AW36" s="8" t="s">
        <v>195</v>
      </c>
      <c r="AX36" s="8"/>
    </row>
    <row r="37" spans="1:50" ht="18" customHeight="1" x14ac:dyDescent="0.25">
      <c r="A37" s="3"/>
      <c r="B37" s="101"/>
      <c r="C37" s="101"/>
      <c r="D37" s="101"/>
      <c r="E37" s="105"/>
      <c r="F37" s="106"/>
      <c r="G37" s="106"/>
      <c r="H37" s="106"/>
      <c r="I37" s="90"/>
      <c r="J37" s="90"/>
      <c r="K37" s="90"/>
      <c r="L37" s="90"/>
      <c r="M37" s="90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9"/>
      <c r="Z37" s="90"/>
      <c r="AA37" s="90"/>
      <c r="AB37" s="90"/>
      <c r="AC37" s="90"/>
      <c r="AD37" s="3"/>
      <c r="AE37" s="107" t="s">
        <v>70</v>
      </c>
      <c r="AF37" s="107" t="s">
        <v>35</v>
      </c>
      <c r="AG37" s="107"/>
      <c r="AH37" s="107"/>
      <c r="AI37" s="107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01"/>
      <c r="C38" s="101"/>
      <c r="D38" s="101"/>
      <c r="E38" s="105"/>
      <c r="F38" s="106"/>
      <c r="G38" s="106"/>
      <c r="H38" s="106"/>
      <c r="I38" s="90"/>
      <c r="J38" s="90"/>
      <c r="K38" s="90"/>
      <c r="L38" s="90"/>
      <c r="M38" s="90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4"/>
      <c r="Z38" s="90"/>
      <c r="AA38" s="90"/>
      <c r="AB38" s="90"/>
      <c r="AC38" s="90"/>
      <c r="AD38" s="3"/>
      <c r="AE38" s="107" t="s">
        <v>71</v>
      </c>
      <c r="AF38" s="107" t="s">
        <v>36</v>
      </c>
      <c r="AG38" s="107"/>
      <c r="AH38" s="107"/>
      <c r="AI38" s="107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3"/>
      <c r="AW38" s="8" t="s">
        <v>220</v>
      </c>
      <c r="AX38" s="8">
        <f ca="1">AX22</f>
        <v>5.9999999986030161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02" t="s">
        <v>75</v>
      </c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3"/>
      <c r="AL40" s="103"/>
      <c r="AM40" s="103"/>
      <c r="AN40" s="103"/>
      <c r="AO40" s="103"/>
      <c r="AP40" s="103"/>
      <c r="AQ40" s="103"/>
      <c r="AR40" s="103"/>
      <c r="AS40" s="103"/>
      <c r="AT40" s="103"/>
      <c r="AU40" s="104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8"/>
    </row>
    <row r="42" spans="1:50" ht="18" customHeight="1" x14ac:dyDescent="0.25">
      <c r="A42" s="3"/>
      <c r="B42" s="70" t="s">
        <v>76</v>
      </c>
      <c r="C42" s="71"/>
      <c r="D42" s="71"/>
      <c r="E42" s="71"/>
      <c r="F42" s="71"/>
      <c r="G42" s="71"/>
      <c r="H42" s="72"/>
      <c r="I42" s="64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"/>
      <c r="AV42" s="3"/>
      <c r="AW42" s="8" t="s">
        <v>323</v>
      </c>
      <c r="AX42" s="57">
        <f ca="1">WEEKDAY($AX$17)</f>
        <v>4</v>
      </c>
    </row>
    <row r="43" spans="1:50" ht="18" customHeight="1" x14ac:dyDescent="0.25">
      <c r="A43" s="3"/>
      <c r="B43" s="73"/>
      <c r="C43" s="74"/>
      <c r="D43" s="74"/>
      <c r="E43" s="74"/>
      <c r="F43" s="74"/>
      <c r="G43" s="74"/>
      <c r="H43" s="75"/>
      <c r="I43" s="67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8"/>
      <c r="AL43" s="68"/>
      <c r="AM43" s="68"/>
      <c r="AN43" s="68"/>
      <c r="AO43" s="68"/>
      <c r="AP43" s="68"/>
      <c r="AQ43" s="68"/>
      <c r="AR43" s="68"/>
      <c r="AS43" s="68"/>
      <c r="AT43" s="68"/>
      <c r="AU43" s="69"/>
      <c r="AV43" s="3"/>
      <c r="AW43" s="8" t="s">
        <v>324</v>
      </c>
      <c r="AX43" s="57">
        <f ca="1"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70" t="s">
        <v>77</v>
      </c>
      <c r="C45" s="71"/>
      <c r="D45" s="71"/>
      <c r="E45" s="71"/>
      <c r="F45" s="71"/>
      <c r="G45" s="71"/>
      <c r="H45" s="72"/>
      <c r="I45" s="64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H45" s="65"/>
      <c r="AI45" s="65"/>
      <c r="AJ45" s="65"/>
      <c r="AK45" s="65"/>
      <c r="AL45" s="65"/>
      <c r="AM45" s="65"/>
      <c r="AN45" s="65"/>
      <c r="AO45" s="65"/>
      <c r="AP45" s="65"/>
      <c r="AQ45" s="65"/>
      <c r="AR45" s="65"/>
      <c r="AS45" s="65"/>
      <c r="AT45" s="65"/>
      <c r="AU45" s="66"/>
      <c r="AV45" s="3"/>
      <c r="AW45" s="8"/>
      <c r="AX45" s="8"/>
    </row>
    <row r="46" spans="1:50" ht="18" customHeight="1" x14ac:dyDescent="0.25">
      <c r="A46" s="3"/>
      <c r="B46" s="73"/>
      <c r="C46" s="74"/>
      <c r="D46" s="74"/>
      <c r="E46" s="74"/>
      <c r="F46" s="74"/>
      <c r="G46" s="74"/>
      <c r="H46" s="75"/>
      <c r="I46" s="67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8"/>
      <c r="AL46" s="68"/>
      <c r="AM46" s="68"/>
      <c r="AN46" s="68"/>
      <c r="AO46" s="68"/>
      <c r="AP46" s="68"/>
      <c r="AQ46" s="68"/>
      <c r="AR46" s="68"/>
      <c r="AS46" s="68"/>
      <c r="AT46" s="68"/>
      <c r="AU46" s="69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70" t="s">
        <v>78</v>
      </c>
      <c r="C48" s="71"/>
      <c r="D48" s="71"/>
      <c r="E48" s="71"/>
      <c r="F48" s="71"/>
      <c r="G48" s="71"/>
      <c r="H48" s="72"/>
      <c r="I48" s="76"/>
      <c r="J48" s="77"/>
      <c r="K48" s="77"/>
      <c r="L48" s="77"/>
      <c r="M48" s="77"/>
      <c r="N48" s="77"/>
      <c r="O48" s="77"/>
      <c r="P48" s="77"/>
      <c r="Q48" s="77"/>
      <c r="R48" s="77"/>
      <c r="S48" s="77"/>
      <c r="T48" s="77"/>
      <c r="U48" s="77"/>
      <c r="V48" s="77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  <c r="AO48" s="77"/>
      <c r="AP48" s="77"/>
      <c r="AQ48" s="77"/>
      <c r="AR48" s="77"/>
      <c r="AS48" s="77"/>
      <c r="AT48" s="77"/>
      <c r="AU48" s="78"/>
      <c r="AV48" s="3"/>
      <c r="AW48" s="8"/>
      <c r="AX48" s="8"/>
    </row>
    <row r="49" spans="1:50" ht="18" customHeight="1" x14ac:dyDescent="0.25">
      <c r="A49" s="3"/>
      <c r="B49" s="85"/>
      <c r="C49" s="86"/>
      <c r="D49" s="86"/>
      <c r="E49" s="86"/>
      <c r="F49" s="86"/>
      <c r="G49" s="86"/>
      <c r="H49" s="87"/>
      <c r="I49" s="79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1"/>
      <c r="AV49" s="3"/>
      <c r="AW49" s="8"/>
      <c r="AX49" s="8"/>
    </row>
    <row r="50" spans="1:50" ht="18" customHeight="1" x14ac:dyDescent="0.25">
      <c r="A50" s="3"/>
      <c r="B50" s="85"/>
      <c r="C50" s="86"/>
      <c r="D50" s="86"/>
      <c r="E50" s="86"/>
      <c r="F50" s="86"/>
      <c r="G50" s="86"/>
      <c r="H50" s="87"/>
      <c r="I50" s="79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1"/>
      <c r="AV50" s="3"/>
      <c r="AW50" s="8"/>
      <c r="AX50" s="8"/>
    </row>
    <row r="51" spans="1:50" ht="18" customHeight="1" x14ac:dyDescent="0.25">
      <c r="A51" s="3"/>
      <c r="B51" s="85"/>
      <c r="C51" s="86"/>
      <c r="D51" s="86"/>
      <c r="E51" s="86"/>
      <c r="F51" s="86"/>
      <c r="G51" s="86"/>
      <c r="H51" s="87"/>
      <c r="I51" s="79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1"/>
      <c r="AV51" s="3"/>
      <c r="AW51" s="8"/>
      <c r="AX51" s="8"/>
    </row>
    <row r="52" spans="1:50" ht="18" customHeight="1" x14ac:dyDescent="0.25">
      <c r="A52" s="3"/>
      <c r="B52" s="85"/>
      <c r="C52" s="86"/>
      <c r="D52" s="86"/>
      <c r="E52" s="86"/>
      <c r="F52" s="86"/>
      <c r="G52" s="86"/>
      <c r="H52" s="87"/>
      <c r="I52" s="79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1"/>
      <c r="AV52" s="3"/>
      <c r="AW52" s="8"/>
      <c r="AX52" s="8"/>
    </row>
    <row r="53" spans="1:50" ht="18" customHeight="1" x14ac:dyDescent="0.25">
      <c r="A53" s="3"/>
      <c r="B53" s="85"/>
      <c r="C53" s="86"/>
      <c r="D53" s="86"/>
      <c r="E53" s="86"/>
      <c r="F53" s="86"/>
      <c r="G53" s="86"/>
      <c r="H53" s="87"/>
      <c r="I53" s="79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1"/>
      <c r="AV53" s="3"/>
      <c r="AW53" s="8"/>
      <c r="AX53" s="8"/>
    </row>
    <row r="54" spans="1:50" ht="18" customHeight="1" x14ac:dyDescent="0.25">
      <c r="A54" s="3"/>
      <c r="B54" s="85"/>
      <c r="C54" s="86"/>
      <c r="D54" s="86"/>
      <c r="E54" s="86"/>
      <c r="F54" s="86"/>
      <c r="G54" s="86"/>
      <c r="H54" s="87"/>
      <c r="I54" s="79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1"/>
      <c r="AV54" s="3"/>
      <c r="AW54" s="8"/>
      <c r="AX54" s="8"/>
    </row>
    <row r="55" spans="1:50" ht="18" customHeight="1" x14ac:dyDescent="0.25">
      <c r="A55" s="3"/>
      <c r="B55" s="85"/>
      <c r="C55" s="86"/>
      <c r="D55" s="86"/>
      <c r="E55" s="86"/>
      <c r="F55" s="86"/>
      <c r="G55" s="86"/>
      <c r="H55" s="87"/>
      <c r="I55" s="79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1"/>
      <c r="AV55" s="3"/>
      <c r="AW55" s="8"/>
      <c r="AX55" s="8"/>
    </row>
    <row r="56" spans="1:50" ht="18" customHeight="1" x14ac:dyDescent="0.25">
      <c r="A56" s="3"/>
      <c r="B56" s="85"/>
      <c r="C56" s="86"/>
      <c r="D56" s="86"/>
      <c r="E56" s="86"/>
      <c r="F56" s="86"/>
      <c r="G56" s="86"/>
      <c r="H56" s="87"/>
      <c r="I56" s="79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1"/>
      <c r="AV56" s="3"/>
      <c r="AW56" s="8"/>
      <c r="AX56" s="8"/>
    </row>
    <row r="57" spans="1:50" ht="5.0999999999999996" customHeight="1" x14ac:dyDescent="0.25">
      <c r="A57" s="3"/>
      <c r="B57" s="85"/>
      <c r="C57" s="86"/>
      <c r="D57" s="86"/>
      <c r="E57" s="86"/>
      <c r="F57" s="86"/>
      <c r="G57" s="86"/>
      <c r="H57" s="87"/>
      <c r="I57" s="79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1"/>
      <c r="AV57" s="3"/>
      <c r="AW57" s="8"/>
      <c r="AX57" s="8"/>
    </row>
    <row r="58" spans="1:50" ht="18" customHeight="1" x14ac:dyDescent="0.25">
      <c r="A58" s="3"/>
      <c r="B58" s="85"/>
      <c r="C58" s="86"/>
      <c r="D58" s="86"/>
      <c r="E58" s="86"/>
      <c r="F58" s="86"/>
      <c r="G58" s="86"/>
      <c r="H58" s="87"/>
      <c r="I58" s="79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1"/>
      <c r="AV58" s="6"/>
      <c r="AW58" s="9"/>
      <c r="AX58" s="8"/>
    </row>
    <row r="59" spans="1:50" ht="18" customHeight="1" x14ac:dyDescent="0.25">
      <c r="A59" s="3"/>
      <c r="B59" s="73"/>
      <c r="C59" s="74"/>
      <c r="D59" s="74"/>
      <c r="E59" s="74"/>
      <c r="F59" s="74"/>
      <c r="G59" s="74"/>
      <c r="H59" s="75"/>
      <c r="I59" s="82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4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58" t="s">
        <v>79</v>
      </c>
      <c r="C61" s="59"/>
      <c r="D61" s="59"/>
      <c r="E61" s="59"/>
      <c r="F61" s="59"/>
      <c r="G61" s="59"/>
      <c r="H61" s="60"/>
      <c r="I61" s="64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6"/>
      <c r="AV61" s="3"/>
      <c r="AW61" s="8"/>
      <c r="AX61" s="8"/>
    </row>
    <row r="62" spans="1:50" ht="18" customHeight="1" x14ac:dyDescent="0.25">
      <c r="A62" s="3"/>
      <c r="B62" s="61"/>
      <c r="C62" s="62"/>
      <c r="D62" s="62"/>
      <c r="E62" s="62"/>
      <c r="F62" s="62"/>
      <c r="G62" s="62"/>
      <c r="H62" s="63"/>
      <c r="I62" s="67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9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45" t="s">
        <v>223</v>
      </c>
      <c r="C64" s="145"/>
      <c r="D64" s="145"/>
      <c r="E64" s="145"/>
      <c r="F64" s="145"/>
      <c r="G64" s="145"/>
      <c r="H64" s="145"/>
      <c r="I64" s="145"/>
      <c r="J64" s="145"/>
      <c r="K64" s="145"/>
      <c r="L64" s="145"/>
      <c r="M64" s="116"/>
      <c r="N64" s="116"/>
      <c r="O64" s="116"/>
      <c r="P64" s="116"/>
      <c r="Q64" s="116"/>
      <c r="R64" s="116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99" t="s">
        <v>180</v>
      </c>
      <c r="AG64" s="99"/>
      <c r="AH64" s="99"/>
      <c r="AI64" s="99"/>
      <c r="AJ64" s="99"/>
      <c r="AK64" s="99"/>
      <c r="AL64" s="100" t="s">
        <v>40</v>
      </c>
      <c r="AM64" s="100"/>
      <c r="AN64" s="100"/>
      <c r="AO64" s="100"/>
      <c r="AP64" s="101"/>
      <c r="AQ64" s="101"/>
      <c r="AR64" s="101"/>
      <c r="AS64" s="95" t="s">
        <v>41</v>
      </c>
      <c r="AT64" s="95"/>
      <c r="AU64" s="95"/>
      <c r="AV64" s="3"/>
      <c r="AW64" s="8"/>
      <c r="AX64" s="8"/>
    </row>
    <row r="65" spans="1:50" ht="18" customHeight="1" x14ac:dyDescent="0.25">
      <c r="A65" s="3"/>
      <c r="B65" s="143" t="s">
        <v>224</v>
      </c>
      <c r="C65" s="144"/>
      <c r="D65" s="144"/>
      <c r="E65" s="144"/>
      <c r="F65" s="144"/>
      <c r="G65" s="144"/>
      <c r="H65" s="144"/>
      <c r="I65" s="144"/>
      <c r="J65" s="144"/>
      <c r="K65" s="144"/>
      <c r="L65" s="144"/>
      <c r="M65" s="116"/>
      <c r="N65" s="116"/>
      <c r="O65" s="116"/>
      <c r="P65" s="116"/>
      <c r="Q65" s="116"/>
      <c r="R65" s="116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99"/>
      <c r="AG65" s="99"/>
      <c r="AH65" s="99"/>
      <c r="AI65" s="99"/>
      <c r="AJ65" s="99"/>
      <c r="AK65" s="99"/>
      <c r="AL65" s="100" t="s">
        <v>42</v>
      </c>
      <c r="AM65" s="100"/>
      <c r="AN65" s="100"/>
      <c r="AO65" s="100"/>
      <c r="AP65" s="101"/>
      <c r="AQ65" s="101"/>
      <c r="AR65" s="101"/>
      <c r="AS65" s="95" t="s">
        <v>41</v>
      </c>
      <c r="AT65" s="95"/>
      <c r="AU65" s="95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14" t="s">
        <v>80</v>
      </c>
      <c r="C67" s="115"/>
      <c r="D67" s="115"/>
      <c r="E67" s="115"/>
      <c r="F67" s="115"/>
      <c r="G67" s="133"/>
      <c r="H67" s="105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40"/>
      <c r="X67" s="3"/>
      <c r="Y67" s="96" t="s">
        <v>225</v>
      </c>
      <c r="Z67" s="97"/>
      <c r="AA67" s="97"/>
      <c r="AB67" s="97"/>
      <c r="AC67" s="97"/>
      <c r="AD67" s="97"/>
      <c r="AE67" s="98"/>
      <c r="AF67" s="92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4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96" t="s">
        <v>226</v>
      </c>
      <c r="Z69" s="97"/>
      <c r="AA69" s="97"/>
      <c r="AB69" s="97"/>
      <c r="AC69" s="97"/>
      <c r="AD69" s="97"/>
      <c r="AE69" s="98"/>
      <c r="AF69" s="92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4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B29"/>
  <sheetViews>
    <sheetView showGridLines="0" workbookViewId="0">
      <selection activeCell="B9" sqref="B9"/>
    </sheetView>
  </sheetViews>
  <sheetFormatPr defaultRowHeight="15" x14ac:dyDescent="0.25"/>
  <cols>
    <col min="1" max="1" width="2.85546875" style="14" customWidth="1"/>
    <col min="2" max="2" width="14" style="14" bestFit="1" customWidth="1"/>
    <col min="3" max="16384" width="9.140625" style="14"/>
  </cols>
  <sheetData>
    <row r="2" spans="2:2" x14ac:dyDescent="0.25">
      <c r="B2" s="54" t="s">
        <v>322</v>
      </c>
    </row>
    <row r="3" spans="2:2" x14ac:dyDescent="0.25">
      <c r="B3" s="55">
        <v>42370</v>
      </c>
    </row>
    <row r="4" spans="2:2" x14ac:dyDescent="0.25">
      <c r="B4" s="55">
        <v>42520</v>
      </c>
    </row>
    <row r="5" spans="2:2" x14ac:dyDescent="0.25">
      <c r="B5" s="55">
        <v>42555</v>
      </c>
    </row>
    <row r="6" spans="2:2" x14ac:dyDescent="0.25">
      <c r="B6" s="55">
        <v>42618</v>
      </c>
    </row>
    <row r="7" spans="2:2" x14ac:dyDescent="0.25">
      <c r="B7" s="55">
        <v>42698</v>
      </c>
    </row>
    <row r="8" spans="2:2" x14ac:dyDescent="0.25">
      <c r="B8" s="55">
        <v>42729</v>
      </c>
    </row>
    <row r="9" spans="2:2" x14ac:dyDescent="0.25">
      <c r="B9" s="55"/>
    </row>
    <row r="10" spans="2:2" x14ac:dyDescent="0.25">
      <c r="B10" s="55"/>
    </row>
    <row r="11" spans="2:2" x14ac:dyDescent="0.25">
      <c r="B11" s="55"/>
    </row>
    <row r="12" spans="2:2" x14ac:dyDescent="0.25">
      <c r="B12" s="55"/>
    </row>
    <row r="13" spans="2:2" x14ac:dyDescent="0.25">
      <c r="B13" s="56"/>
    </row>
    <row r="14" spans="2:2" x14ac:dyDescent="0.25">
      <c r="B14" s="56"/>
    </row>
    <row r="15" spans="2:2" x14ac:dyDescent="0.25">
      <c r="B15" s="56"/>
    </row>
    <row r="16" spans="2:2" x14ac:dyDescent="0.25">
      <c r="B16" s="56"/>
    </row>
    <row r="17" spans="2:2" x14ac:dyDescent="0.25">
      <c r="B17" s="56"/>
    </row>
    <row r="18" spans="2:2" x14ac:dyDescent="0.25">
      <c r="B18" s="56"/>
    </row>
    <row r="19" spans="2:2" x14ac:dyDescent="0.25">
      <c r="B19" s="56"/>
    </row>
    <row r="20" spans="2:2" x14ac:dyDescent="0.25">
      <c r="B20" s="56"/>
    </row>
    <row r="21" spans="2:2" x14ac:dyDescent="0.25">
      <c r="B21" s="56"/>
    </row>
    <row r="22" spans="2:2" x14ac:dyDescent="0.25">
      <c r="B22" s="56"/>
    </row>
    <row r="23" spans="2:2" x14ac:dyDescent="0.25">
      <c r="B23" s="56"/>
    </row>
    <row r="24" spans="2:2" x14ac:dyDescent="0.25">
      <c r="B24" s="56"/>
    </row>
    <row r="25" spans="2:2" x14ac:dyDescent="0.25">
      <c r="B25" s="56"/>
    </row>
    <row r="26" spans="2:2" x14ac:dyDescent="0.25">
      <c r="B26" s="56"/>
    </row>
    <row r="27" spans="2:2" x14ac:dyDescent="0.25">
      <c r="B27" s="56"/>
    </row>
    <row r="28" spans="2:2" x14ac:dyDescent="0.25">
      <c r="B28" s="56"/>
    </row>
    <row r="29" spans="2:2" x14ac:dyDescent="0.25">
      <c r="B29" s="5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6"/>
  <sheetViews>
    <sheetView workbookViewId="0">
      <selection activeCell="S27" sqref="S27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140</v>
      </c>
      <c r="S23" s="17">
        <v>0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2.25</v>
      </c>
      <c r="V31" s="34"/>
      <c r="W31" s="17"/>
      <c r="X31" s="34"/>
      <c r="Y31" s="17"/>
      <c r="Z31" s="34"/>
      <c r="AA31" s="17"/>
    </row>
    <row r="32" spans="1:27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2.75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2.25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2.75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2.25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2.75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2.25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2.75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2.25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2.75</v>
      </c>
      <c r="V57" s="34"/>
      <c r="W57" s="17"/>
      <c r="X57" s="34"/>
      <c r="Y57" s="17"/>
      <c r="Z57" s="34"/>
      <c r="AA57" s="17"/>
    </row>
    <row r="58" spans="1:27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33">
        <v>125</v>
      </c>
      <c r="I58" s="17">
        <v>125</v>
      </c>
      <c r="J58" s="17">
        <v>125</v>
      </c>
      <c r="K58" s="17">
        <v>85</v>
      </c>
      <c r="L58" s="33">
        <v>65</v>
      </c>
      <c r="M58" s="17">
        <v>110</v>
      </c>
      <c r="N58" s="33">
        <v>120</v>
      </c>
      <c r="O58" s="17">
        <v>115</v>
      </c>
      <c r="P58" s="17">
        <v>115</v>
      </c>
      <c r="Q58" s="17">
        <v>0</v>
      </c>
      <c r="R58" s="33">
        <v>140</v>
      </c>
      <c r="S58" s="17">
        <v>0</v>
      </c>
      <c r="T58" s="33">
        <v>90</v>
      </c>
      <c r="U58" s="17">
        <v>2.25</v>
      </c>
      <c r="V58" s="34"/>
      <c r="W58" s="17"/>
      <c r="X58" s="34"/>
      <c r="Y58" s="17"/>
      <c r="Z58" s="34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3"/>
      <c r="W64" s="17"/>
      <c r="X64" s="33"/>
      <c r="Y64" s="17"/>
      <c r="Z64" s="33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7"/>
      <c r="B74" s="50"/>
      <c r="C74" s="19"/>
      <c r="D74" s="33"/>
      <c r="E74" s="17"/>
      <c r="F74" s="33"/>
      <c r="G74" s="17"/>
      <c r="H74" s="33"/>
      <c r="I74" s="17"/>
      <c r="J74" s="17"/>
      <c r="K74" s="17"/>
      <c r="L74" s="33"/>
      <c r="M74" s="17"/>
      <c r="N74" s="33"/>
      <c r="O74" s="17"/>
      <c r="P74" s="17"/>
      <c r="Q74" s="17"/>
      <c r="R74" s="33"/>
      <c r="S74" s="17"/>
      <c r="T74" s="33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8"/>
      <c r="B101" s="50"/>
      <c r="C101" s="17"/>
      <c r="D101" s="34"/>
      <c r="E101" s="17"/>
      <c r="F101" s="34"/>
      <c r="G101" s="17"/>
      <c r="H101" s="34"/>
      <c r="I101" s="17"/>
      <c r="J101" s="34"/>
      <c r="K101" s="17"/>
      <c r="L101" s="34"/>
      <c r="M101" s="17"/>
      <c r="N101" s="34"/>
      <c r="O101" s="17"/>
      <c r="P101" s="34"/>
      <c r="Q101" s="17"/>
      <c r="R101" s="34"/>
      <c r="S101" s="17"/>
      <c r="T101" s="34"/>
      <c r="U101" s="17"/>
      <c r="V101" s="34"/>
      <c r="W101" s="17"/>
      <c r="X101" s="34"/>
      <c r="Y101" s="17"/>
      <c r="Z101" s="34"/>
      <c r="AA101" s="17"/>
    </row>
    <row r="102" spans="1:27" x14ac:dyDescent="0.25">
      <c r="A102" s="49"/>
      <c r="B102" s="51"/>
      <c r="C102" s="18"/>
      <c r="D102" s="35"/>
      <c r="E102" s="18"/>
      <c r="F102" s="35"/>
      <c r="G102" s="18"/>
      <c r="H102" s="35"/>
      <c r="I102" s="18"/>
      <c r="J102" s="35"/>
      <c r="K102" s="18"/>
      <c r="L102" s="35"/>
      <c r="M102" s="18"/>
      <c r="N102" s="35"/>
      <c r="O102" s="18"/>
      <c r="P102" s="35"/>
      <c r="Q102" s="18"/>
      <c r="R102" s="35"/>
      <c r="S102" s="18"/>
      <c r="T102" s="35"/>
      <c r="U102" s="18"/>
      <c r="V102" s="35"/>
      <c r="W102" s="18"/>
      <c r="X102" s="35"/>
      <c r="Y102" s="18"/>
      <c r="Z102" s="35"/>
      <c r="AA102" s="18"/>
    </row>
    <row r="103" spans="1:27" hidden="1" x14ac:dyDescent="0.25"/>
    <row r="104" spans="1:27" hidden="1" x14ac:dyDescent="0.25"/>
    <row r="105" spans="1:27" hidden="1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18"/>
  <sheetViews>
    <sheetView workbookViewId="0">
      <selection activeCell="A2" sqref="A2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16384" width="9.140625" hidden="1"/>
  </cols>
  <sheetData>
    <row r="1" spans="1:33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53" t="s">
        <v>300</v>
      </c>
      <c r="AF1" s="153"/>
      <c r="AG1" s="53"/>
    </row>
    <row r="2" spans="1:33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5"/>
    </row>
    <row r="3" spans="1:33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5"/>
    </row>
    <row r="4" spans="1:33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5"/>
    </row>
    <row r="5" spans="1:33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5"/>
    </row>
    <row r="6" spans="1:33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5"/>
    </row>
    <row r="7" spans="1:33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5"/>
    </row>
    <row r="8" spans="1:33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5"/>
    </row>
    <row r="9" spans="1:33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5"/>
    </row>
    <row r="10" spans="1:33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5"/>
    </row>
    <row r="11" spans="1:33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5"/>
    </row>
    <row r="12" spans="1:33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5"/>
    </row>
    <row r="13" spans="1:33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5"/>
    </row>
    <row r="14" spans="1:33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5"/>
    </row>
    <row r="15" spans="1:33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5"/>
    </row>
    <row r="16" spans="1:33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5"/>
    </row>
    <row r="17" spans="1:33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5"/>
    </row>
    <row r="18" spans="1:33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5"/>
    </row>
    <row r="19" spans="1:33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5"/>
    </row>
    <row r="20" spans="1:33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5"/>
    </row>
    <row r="21" spans="1:33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5"/>
    </row>
    <row r="22" spans="1:33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5"/>
    </row>
    <row r="23" spans="1:33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5"/>
    </row>
    <row r="24" spans="1:33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5"/>
    </row>
    <row r="25" spans="1:33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5"/>
    </row>
    <row r="26" spans="1:33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5"/>
    </row>
    <row r="27" spans="1:33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5"/>
    </row>
    <row r="28" spans="1:33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5"/>
    </row>
    <row r="29" spans="1:33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5"/>
    </row>
    <row r="30" spans="1:33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5"/>
    </row>
    <row r="31" spans="1:33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5"/>
    </row>
    <row r="32" spans="1:33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5"/>
    </row>
    <row r="33" spans="1:33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5"/>
    </row>
    <row r="34" spans="1:33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5"/>
    </row>
    <row r="35" spans="1:33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5"/>
    </row>
    <row r="36" spans="1:33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5"/>
    </row>
    <row r="37" spans="1:33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5"/>
    </row>
    <row r="38" spans="1:33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5"/>
    </row>
    <row r="39" spans="1:33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5"/>
    </row>
    <row r="40" spans="1:33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5"/>
    </row>
    <row r="41" spans="1:33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5"/>
    </row>
    <row r="42" spans="1:33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5"/>
    </row>
    <row r="43" spans="1:33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5"/>
    </row>
    <row r="44" spans="1:33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5"/>
    </row>
    <row r="45" spans="1:33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5"/>
    </row>
    <row r="46" spans="1:33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5"/>
    </row>
    <row r="47" spans="1:33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5"/>
    </row>
    <row r="48" spans="1:33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5"/>
    </row>
    <row r="49" spans="1:33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5"/>
    </row>
    <row r="50" spans="1:33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5"/>
    </row>
    <row r="51" spans="1:33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5"/>
    </row>
    <row r="52" spans="1:33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5"/>
    </row>
    <row r="53" spans="1:33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5"/>
    </row>
    <row r="54" spans="1:33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5"/>
    </row>
    <row r="55" spans="1:33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5"/>
    </row>
    <row r="56" spans="1:33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5"/>
    </row>
    <row r="57" spans="1:33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5"/>
    </row>
    <row r="58" spans="1:33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5"/>
    </row>
    <row r="59" spans="1:33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5"/>
    </row>
    <row r="60" spans="1:33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5"/>
    </row>
    <row r="61" spans="1:33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5"/>
    </row>
    <row r="62" spans="1:33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5"/>
    </row>
    <row r="63" spans="1:33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5"/>
    </row>
    <row r="64" spans="1:33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5"/>
    </row>
    <row r="65" spans="1:33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5"/>
    </row>
    <row r="66" spans="1:33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5"/>
    </row>
    <row r="67" spans="1:33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5"/>
    </row>
    <row r="68" spans="1:33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5"/>
    </row>
    <row r="69" spans="1:33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5"/>
    </row>
    <row r="70" spans="1:33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5"/>
    </row>
    <row r="71" spans="1:33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5"/>
    </row>
    <row r="72" spans="1:33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5"/>
    </row>
    <row r="73" spans="1:33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5"/>
    </row>
    <row r="74" spans="1:33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5"/>
    </row>
    <row r="75" spans="1:33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5"/>
    </row>
    <row r="76" spans="1:33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5"/>
    </row>
    <row r="77" spans="1:33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5"/>
    </row>
    <row r="78" spans="1:33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5"/>
    </row>
    <row r="79" spans="1:33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5"/>
    </row>
    <row r="80" spans="1:33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5"/>
    </row>
    <row r="81" spans="1:33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5"/>
    </row>
    <row r="82" spans="1:33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5"/>
    </row>
    <row r="83" spans="1:33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5"/>
    </row>
    <row r="84" spans="1:33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5"/>
    </row>
    <row r="85" spans="1:33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5"/>
    </row>
    <row r="86" spans="1:33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5"/>
    </row>
    <row r="87" spans="1:33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5"/>
    </row>
    <row r="88" spans="1:33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5"/>
    </row>
    <row r="89" spans="1:33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5"/>
    </row>
    <row r="90" spans="1:33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5"/>
    </row>
    <row r="91" spans="1:33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5"/>
    </row>
    <row r="92" spans="1:33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5"/>
    </row>
    <row r="93" spans="1:33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5"/>
    </row>
    <row r="94" spans="1:33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5"/>
    </row>
    <row r="95" spans="1:33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5"/>
    </row>
    <row r="96" spans="1:33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5"/>
    </row>
    <row r="97" spans="1:33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5"/>
    </row>
    <row r="98" spans="1:33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5"/>
    </row>
    <row r="99" spans="1:33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5"/>
    </row>
    <row r="100" spans="1:33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5"/>
    </row>
    <row r="101" spans="1:33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5"/>
    </row>
    <row r="102" spans="1:33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5"/>
    </row>
    <row r="103" spans="1:33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5"/>
    </row>
    <row r="104" spans="1:33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5"/>
    </row>
    <row r="105" spans="1:33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5"/>
    </row>
    <row r="106" spans="1:33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5"/>
    </row>
    <row r="107" spans="1:33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5"/>
    </row>
    <row r="108" spans="1:33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5"/>
    </row>
    <row r="109" spans="1:33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5"/>
    </row>
    <row r="110" spans="1:33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5"/>
    </row>
    <row r="111" spans="1:33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26"/>
    </row>
    <row r="112" spans="1:33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27"/>
    </row>
    <row r="113" spans="1:33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27"/>
    </row>
    <row r="114" spans="1:33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28"/>
    </row>
    <row r="115" spans="1:33" hidden="1" x14ac:dyDescent="0.25">
      <c r="O115" s="16"/>
    </row>
    <row r="116" spans="1:33" hidden="1" x14ac:dyDescent="0.25">
      <c r="O116" s="16"/>
    </row>
    <row r="117" spans="1:33" hidden="1" x14ac:dyDescent="0.25">
      <c r="O117" s="16"/>
    </row>
    <row r="118" spans="1:33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Test - Overtime</vt:lpstr>
      <vt:lpstr>Output</vt:lpstr>
      <vt:lpstr>Holidays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2016-04-28T02:56:28Z</dcterms:modified>
</cp:coreProperties>
</file>