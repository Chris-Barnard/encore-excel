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B\Documents\Excel Consulting Services\Encore Oil\"/>
    </mc:Choice>
  </mc:AlternateContent>
  <bookViews>
    <workbookView xWindow="0" yWindow="0" windowWidth="16170" windowHeight="6135"/>
  </bookViews>
  <sheets>
    <sheet name="Output" sheetId="4" r:id="rId1"/>
    <sheet name="Overtime" sheetId="9" state="hidden" r:id="rId2"/>
    <sheet name="Rate Matrix" sheetId="7" r:id="rId3"/>
    <sheet name="Pick Sheet" sheetId="5" state="hidden" r:id="rId4"/>
  </sheets>
  <definedNames>
    <definedName name="ApprovalList">OFFSET('Pick Sheet'!$U$2,0,0,COUNTA('Pick Sheet'!$U:$U)-1,1)</definedName>
    <definedName name="ChargeTo">OFFSET('Pick Sheet'!$H$2,0,0,COUNTA('Pick Sheet'!$H:$H)-1,1)</definedName>
    <definedName name="ChargeToLookup">OFFSET('Pick Sheet'!$H$2,0,0,COUNTA('Pick Sheet'!$H:$H)-1,2)</definedName>
    <definedName name="Clear1">Output!$B$7:$AO$7</definedName>
    <definedName name="Clear10">Output!$AG$22:$AO$25</definedName>
    <definedName name="Clear11">Output!$AP$23:$AQ$25</definedName>
    <definedName name="Clear12">Output!$AG$29:$AO$32</definedName>
    <definedName name="Clear13">Output!$AJ$34:$AU$38</definedName>
    <definedName name="Clear14">Output!$B$30:$AC$38</definedName>
    <definedName name="Clear15">Output!$I$42</definedName>
    <definedName name="Clear16">Output!$I$45</definedName>
    <definedName name="Clear17">Output!$I$48</definedName>
    <definedName name="Clear18">Output!$I$61</definedName>
    <definedName name="Clear19">Output!$H$69</definedName>
    <definedName name="Clear2">Output!$B$11:$AU$11</definedName>
    <definedName name="Clear20">Output!$AF$69</definedName>
    <definedName name="Clear21">Output!$AP$64:$AR$65</definedName>
    <definedName name="Clear23">Output!$M$64:$R$65</definedName>
    <definedName name="Clear3">Output!$H$15:$AU$15</definedName>
    <definedName name="Clear4">Output!$H$18</definedName>
    <definedName name="Clear5">Output!$AA$19:$AC$20</definedName>
    <definedName name="Clear6">Output!$AE$19:$AU$19</definedName>
    <definedName name="Clear7">Output!$B$21:$G$23</definedName>
    <definedName name="Clear8">Output!$Z$24:$AC$26</definedName>
    <definedName name="Clear9">Output!$AG$21:$AU$21</definedName>
    <definedName name="CompressorName">OFFSET('Pick Sheet'!$AC$2,0,0,COUNTA('Pick Sheet'!$AC:$AC)-1,1)</definedName>
    <definedName name="CustomerNames">OFFSET('Rate Matrix'!$B$2,0,0,COUNTA('Rate Matrix'!$B:$B)-1,1)</definedName>
    <definedName name="DateField">Output!$AP$7</definedName>
    <definedName name="DistrictLookup">OFFSET('Pick Sheet'!#REF!,0,0,COUNTA('Pick Sheet'!#REF!)-1,2)</definedName>
    <definedName name="DistrictName">OFFSET('Pick Sheet'!#REF!,0,0,COUNTA('Pick Sheet'!#REF!)-1,1)</definedName>
    <definedName name="DistrictRates">OFFSET('Rate Matrix'!$C$1,0,0,1,COUNTA('Rate Matrix'!$1:$1)-1)</definedName>
    <definedName name="DriverName">OFFSET('Pick Sheet'!$AA$2,0,0,COUNTA('Pick Sheet'!$AA:$AA)-1,1)</definedName>
    <definedName name="EmpLookup">OFFSET('Pick Sheet'!$C$2,0,0,COUNTA('Pick Sheet'!$C:$C),2)</definedName>
    <definedName name="EmpName">OFFSET('Pick Sheet'!$C$2,0,0,COUNTA('Pick Sheet'!$C:$C)-1,1)</definedName>
    <definedName name="ExcessTime">OFFSET('Pick Sheet'!$S$2,0,0,COUNTA('Pick Sheet'!$S:$S)-1,1)</definedName>
    <definedName name="FileName">Output!$AO$3</definedName>
    <definedName name="JobName">OFFSET('Pick Sheet'!$F$2,0,0,COUNTA('Pick Sheet'!$F:$F)-1,1)</definedName>
    <definedName name="Mandatory1">Output!$H$7</definedName>
    <definedName name="Mandatory2">Output!$M$64</definedName>
    <definedName name="Mandatory3">Output!$M$65</definedName>
    <definedName name="Mandatory4">Output!$AP$19</definedName>
    <definedName name="Mandatory5">Output!$AA$19</definedName>
    <definedName name="Mandatory6">Output!$AA$20</definedName>
    <definedName name="MealsLodging">OFFSET('Pick Sheet'!$Y$2,0,0,COUNTA('Pick Sheet'!$Y:$Y)-1,1)</definedName>
    <definedName name="MilesPick">OFFSET('Pick Sheet'!$K$2,0,0,COUNTA('Pick Sheet'!$K:$K)-1,1)</definedName>
    <definedName name="OTCalc">OFFSET('Rate Matrix'!$A$2,0,0,COUNTA('Rate Matrix'!$A:$A)-1,1)</definedName>
    <definedName name="OtherExp">OFFSET('Pick Sheet'!$Q$2,0,0,COUNTA('Pick Sheet'!$Q:$Q)-1,1)</definedName>
    <definedName name="_xlnm.Print_Area" localSheetId="0">Output!$B$1:$AU$69</definedName>
    <definedName name="rHolidays">OFFSET('Pick Sheet'!$AH$2,0,0,COUNTA('Pick Sheet'!$AH:$AH)-1,1)</definedName>
    <definedName name="RoadConditions">OFFSET('Pick Sheet'!$M$2,0,0,COUNTA('Pick Sheet'!$M:$M)-1,1)</definedName>
    <definedName name="ServiceMan">Output!$H$15</definedName>
    <definedName name="ServiceRate">OFFSET('Rate Matrix'!$C$1,0,0,1,COUNTA('Rate Matrix'!$1:$1))</definedName>
    <definedName name="ServiceRates">OFFSET('Rate Matrix'!$C$2,0,0,COUNTA('Rate Matrix'!$B:$B)-1,COUNTA('Rate Matrix'!$1:$1)-1)</definedName>
    <definedName name="SoNo">Output!$B$7</definedName>
    <definedName name="Time">OFFSET('Pick Sheet'!$A$2,0,0,COUNTA('Pick Sheet'!$A:$A)-1,1)</definedName>
    <definedName name="VehicleNo">OFFSET('Pick Sheet'!$O$2,0,0,COUNTA('Pick Sheet'!$O:$O)-1,1)</definedName>
    <definedName name="Warehouse">OFFSET('Pick Sheet'!$W$2,0,0,COUNTA('Pick Sheet'!$W:$W)-1,1)</definedName>
  </definedNames>
  <calcPr calcId="152511"/>
</workbook>
</file>

<file path=xl/calcChain.xml><?xml version="1.0" encoding="utf-8"?>
<calcChain xmlns="http://schemas.openxmlformats.org/spreadsheetml/2006/main">
  <c r="AA18" i="4" l="1"/>
  <c r="AP7" i="4" l="1"/>
  <c r="E5" i="9" l="1"/>
  <c r="E4" i="9"/>
  <c r="E3" i="9"/>
  <c r="B5" i="9"/>
  <c r="B4" i="9"/>
  <c r="B3" i="9"/>
  <c r="I3" i="9" l="1"/>
  <c r="K9" i="9" s="1"/>
  <c r="M9" i="9" s="1"/>
  <c r="I4" i="9"/>
  <c r="I5" i="9"/>
  <c r="G13" i="9"/>
  <c r="G8" i="9"/>
  <c r="E8" i="9"/>
  <c r="E13" i="9"/>
  <c r="F13" i="9"/>
  <c r="F8" i="9"/>
  <c r="I3" i="5"/>
  <c r="I4" i="5" s="1"/>
  <c r="I5" i="5" s="1"/>
  <c r="I6" i="5" s="1"/>
  <c r="I7" i="5" s="1"/>
  <c r="I8" i="5" s="1"/>
  <c r="I9" i="5" s="1"/>
  <c r="I10" i="5" s="1"/>
  <c r="K11" i="9" l="1"/>
  <c r="I6" i="9"/>
  <c r="I9" i="9" s="1"/>
  <c r="L9" i="9" s="1"/>
  <c r="L10" i="9" s="1"/>
  <c r="K10" i="9"/>
  <c r="E9" i="9"/>
  <c r="B15" i="4"/>
  <c r="O2" i="4" l="1"/>
  <c r="AR25" i="4" l="1"/>
  <c r="AR24" i="4"/>
  <c r="AR23" i="4"/>
  <c r="AP29" i="4"/>
  <c r="AP32" i="4"/>
  <c r="AR32" i="4" s="1"/>
  <c r="AP31" i="4"/>
  <c r="AR31" i="4" s="1"/>
  <c r="AP30" i="4"/>
  <c r="AR30" i="4" s="1"/>
  <c r="AR29" i="4"/>
  <c r="AX40" i="4"/>
  <c r="AX20" i="4"/>
  <c r="AX21" i="4" l="1"/>
  <c r="AX19" i="4"/>
  <c r="AX31" i="4" s="1"/>
  <c r="AX18" i="4"/>
  <c r="AX15" i="4"/>
  <c r="AX37" i="4" l="1"/>
  <c r="AX35" i="4"/>
  <c r="AX33" i="4"/>
  <c r="AX29" i="4"/>
  <c r="AX26" i="4"/>
  <c r="AX11" i="4"/>
  <c r="AA21" i="4" l="1"/>
  <c r="AA22" i="4" s="1"/>
  <c r="AO3" i="4"/>
  <c r="AX17" i="4" l="1"/>
  <c r="AX42" i="4" s="1"/>
  <c r="AX43" i="4" s="1"/>
  <c r="E10" i="9" s="1"/>
  <c r="E11" i="9" l="1"/>
  <c r="K21" i="4" s="1"/>
  <c r="E12" i="9" l="1"/>
  <c r="H21" i="4" s="1"/>
  <c r="N21" i="4" s="1"/>
  <c r="Q21" i="4" l="1"/>
  <c r="M10" i="9" l="1"/>
  <c r="L11" i="9" l="1"/>
  <c r="M11" i="9" s="1"/>
  <c r="G9" i="9" s="1"/>
  <c r="F9" i="9"/>
  <c r="F10" i="9" l="1"/>
  <c r="F11" i="9" s="1"/>
  <c r="G10" i="9"/>
  <c r="G11" i="9" s="1"/>
  <c r="K23" i="4" l="1"/>
  <c r="Q23" i="4" s="1"/>
  <c r="G12" i="9"/>
  <c r="H23" i="4" s="1"/>
  <c r="N23" i="4" s="1"/>
  <c r="K22" i="4"/>
  <c r="F12" i="9"/>
  <c r="H22" i="4" s="1"/>
  <c r="N22" i="4"/>
  <c r="Q22" i="4"/>
  <c r="H24" i="4" l="1"/>
  <c r="AX23" i="4" s="1"/>
  <c r="K24" i="4"/>
  <c r="AX24" i="4" s="1"/>
  <c r="Q24" i="4"/>
  <c r="AX22" i="4" l="1"/>
  <c r="AX38" i="4" s="1"/>
</calcChain>
</file>

<file path=xl/sharedStrings.xml><?xml version="1.0" encoding="utf-8"?>
<sst xmlns="http://schemas.openxmlformats.org/spreadsheetml/2006/main" count="398" uniqueCount="341">
  <si>
    <t>S.O. Number</t>
  </si>
  <si>
    <t>Customer</t>
  </si>
  <si>
    <t>Location/Lease</t>
  </si>
  <si>
    <t>County</t>
  </si>
  <si>
    <t>Date</t>
  </si>
  <si>
    <t>Ordered By</t>
  </si>
  <si>
    <t>Driver</t>
  </si>
  <si>
    <t>Compressor</t>
  </si>
  <si>
    <t>Vehicle Number</t>
  </si>
  <si>
    <t>Time</t>
  </si>
  <si>
    <t>Total Hours</t>
  </si>
  <si>
    <t>Regular</t>
  </si>
  <si>
    <t>Overtime</t>
  </si>
  <si>
    <t>Start</t>
  </si>
  <si>
    <t>Stop</t>
  </si>
  <si>
    <t>Estimated Labor Cost</t>
  </si>
  <si>
    <t>Rate Per Mile:</t>
  </si>
  <si>
    <t>Total Mileage:</t>
  </si>
  <si>
    <t>Total Dollars:</t>
  </si>
  <si>
    <t>Road Conditions:</t>
  </si>
  <si>
    <t>Total Hours:</t>
  </si>
  <si>
    <t>Excess Time Explanation:</t>
  </si>
  <si>
    <t>Other Expenses:</t>
  </si>
  <si>
    <t>MMCFD</t>
  </si>
  <si>
    <t>Sg.</t>
  </si>
  <si>
    <t>Hour Meter Reading</t>
  </si>
  <si>
    <t>PSI</t>
  </si>
  <si>
    <t>Rod Size</t>
  </si>
  <si>
    <t>RPM</t>
  </si>
  <si>
    <t>SUC</t>
  </si>
  <si>
    <t>DIS 2</t>
  </si>
  <si>
    <t>DIS 3</t>
  </si>
  <si>
    <t>Design Temp</t>
  </si>
  <si>
    <t>COMPRESSOR OIL</t>
  </si>
  <si>
    <t>ENGINE COOLANT</t>
  </si>
  <si>
    <t>AUXILIARY COOLANT</t>
  </si>
  <si>
    <t>OTHER (List)</t>
  </si>
  <si>
    <t>Operating Conditions</t>
  </si>
  <si>
    <t>Serviceman</t>
  </si>
  <si>
    <t>Quantity</t>
  </si>
  <si>
    <t>Oil:</t>
  </si>
  <si>
    <t>gallons</t>
  </si>
  <si>
    <t>Antifreeze:</t>
  </si>
  <si>
    <t>Job</t>
  </si>
  <si>
    <t>Employee ID</t>
  </si>
  <si>
    <t>Driver SN</t>
  </si>
  <si>
    <t>Compressor SN</t>
  </si>
  <si>
    <t>Est. Total</t>
  </si>
  <si>
    <t>Hourly Rate Estimate</t>
  </si>
  <si>
    <t>Mileage Rate and Expenses</t>
  </si>
  <si>
    <t>Miles To Location:</t>
  </si>
  <si>
    <t>Miles From Location:</t>
  </si>
  <si>
    <t>Meals/Lodging:</t>
  </si>
  <si>
    <t>Reading</t>
  </si>
  <si>
    <t>Low - Safety - High</t>
  </si>
  <si>
    <t>Max Road Load</t>
  </si>
  <si>
    <t>DIS 1</t>
  </si>
  <si>
    <t>Inlet</t>
  </si>
  <si>
    <t>Discharge</t>
  </si>
  <si>
    <t>Safety</t>
  </si>
  <si>
    <t>RC</t>
  </si>
  <si>
    <t>Cyl Temp</t>
  </si>
  <si>
    <t>Stage</t>
  </si>
  <si>
    <t>Parts Information</t>
  </si>
  <si>
    <t>Other</t>
  </si>
  <si>
    <t>Pressure</t>
  </si>
  <si>
    <t>Temp.</t>
  </si>
  <si>
    <t>Engine Oil</t>
  </si>
  <si>
    <t>Compressor Oil</t>
  </si>
  <si>
    <t>Engine Coolant</t>
  </si>
  <si>
    <t>Auxiliary Coolant</t>
  </si>
  <si>
    <t>Other (List)</t>
  </si>
  <si>
    <t>Warehouse</t>
  </si>
  <si>
    <t>Part Number</t>
  </si>
  <si>
    <t>Description</t>
  </si>
  <si>
    <t>Call Information</t>
  </si>
  <si>
    <t>What Was The Call?</t>
  </si>
  <si>
    <t>What Was Found?</t>
  </si>
  <si>
    <t>What Was Performed?</t>
  </si>
  <si>
    <t>Future Work/ 
Parts Needed:</t>
  </si>
  <si>
    <t>Manager Approval:</t>
  </si>
  <si>
    <t>Charge to</t>
  </si>
  <si>
    <t>Mile Rate</t>
  </si>
  <si>
    <t>Other Expenses</t>
  </si>
  <si>
    <t>Road Conditions</t>
  </si>
  <si>
    <t>Excess Time</t>
  </si>
  <si>
    <t>Encore - Not billable</t>
  </si>
  <si>
    <t>Encore</t>
  </si>
  <si>
    <t>Set-In</t>
  </si>
  <si>
    <t>Snow / Ice</t>
  </si>
  <si>
    <t>Waiting on Client</t>
  </si>
  <si>
    <t>Billable</t>
  </si>
  <si>
    <t>Muddy/Rough</t>
  </si>
  <si>
    <t>Waiting on Operator</t>
  </si>
  <si>
    <t>Holiday</t>
  </si>
  <si>
    <t>Call Out</t>
  </si>
  <si>
    <t>Rain/Fog</t>
  </si>
  <si>
    <t>Waiting on Contractor</t>
  </si>
  <si>
    <t>Indirect Labor</t>
  </si>
  <si>
    <t>Drive - By Check</t>
  </si>
  <si>
    <t>Construction</t>
  </si>
  <si>
    <t>Waiting on Parts</t>
  </si>
  <si>
    <t>Indirect Travel</t>
  </si>
  <si>
    <t>Repair</t>
  </si>
  <si>
    <t>Traffic</t>
  </si>
  <si>
    <t>Travel - Road Conditions</t>
  </si>
  <si>
    <t>Jury Duty</t>
  </si>
  <si>
    <t>Preventive Maintenance</t>
  </si>
  <si>
    <t>Clear</t>
  </si>
  <si>
    <t>Weather Conditions</t>
  </si>
  <si>
    <t>Personal/Time Off</t>
  </si>
  <si>
    <t>Shop</t>
  </si>
  <si>
    <t>None</t>
  </si>
  <si>
    <t>Safety Meetings</t>
  </si>
  <si>
    <t>Trucking</t>
  </si>
  <si>
    <t>Sick</t>
  </si>
  <si>
    <t>Lost Time</t>
  </si>
  <si>
    <t>Warranty</t>
  </si>
  <si>
    <t>Training</t>
  </si>
  <si>
    <t>Vacation</t>
  </si>
  <si>
    <t>Vehicle Repair</t>
  </si>
  <si>
    <t>Vehicle#</t>
  </si>
  <si>
    <t>Employee Name</t>
  </si>
  <si>
    <t>Trk 0797</t>
  </si>
  <si>
    <t>Trk 0798</t>
  </si>
  <si>
    <t>Brandon Dunagan</t>
  </si>
  <si>
    <t>Trk 1118</t>
  </si>
  <si>
    <t>Trk 1240</t>
  </si>
  <si>
    <t>Waiting on Crane</t>
  </si>
  <si>
    <t>Don Yandell</t>
  </si>
  <si>
    <t>Trk 1411</t>
  </si>
  <si>
    <t>Waiting on Truck</t>
  </si>
  <si>
    <t>Trk 1723</t>
  </si>
  <si>
    <t>Gerald Phillips</t>
  </si>
  <si>
    <t>Trk 1818</t>
  </si>
  <si>
    <t>Gilbert Padron</t>
  </si>
  <si>
    <t>Jack Benke</t>
  </si>
  <si>
    <t>Trk 2109</t>
  </si>
  <si>
    <t>James Lasley</t>
  </si>
  <si>
    <t>Trk 2224</t>
  </si>
  <si>
    <t>Trk 3136</t>
  </si>
  <si>
    <t>John R Simonetti, Jr.</t>
  </si>
  <si>
    <t>Trk 3385</t>
  </si>
  <si>
    <t>Johnny Wolff</t>
  </si>
  <si>
    <t>Trk 3389</t>
  </si>
  <si>
    <t>Trk 3520</t>
  </si>
  <si>
    <t>Kelsey Wylie</t>
  </si>
  <si>
    <t>Trk 4526</t>
  </si>
  <si>
    <t>Kevin Johnson</t>
  </si>
  <si>
    <t>Mario Salas</t>
  </si>
  <si>
    <t>Trk 5553</t>
  </si>
  <si>
    <t>Marty Windham</t>
  </si>
  <si>
    <t>Trk 8032</t>
  </si>
  <si>
    <t>Trk 8834</t>
  </si>
  <si>
    <t>Trk 8864</t>
  </si>
  <si>
    <t>Trk 9080</t>
  </si>
  <si>
    <t>Richard Bannister</t>
  </si>
  <si>
    <t>Trk 9393</t>
  </si>
  <si>
    <t>Trk 9435</t>
  </si>
  <si>
    <t>Trk 9876</t>
  </si>
  <si>
    <t>Tracy Davis</t>
  </si>
  <si>
    <t>Trl 4527</t>
  </si>
  <si>
    <t>William Brown</t>
  </si>
  <si>
    <t>Trl 5250</t>
  </si>
  <si>
    <t>Trl 5251</t>
  </si>
  <si>
    <t>Trl 6209</t>
  </si>
  <si>
    <t>Trl 6509</t>
  </si>
  <si>
    <t>Approval</t>
  </si>
  <si>
    <t>John Simonetti, Jr</t>
  </si>
  <si>
    <t>Stand-By Time</t>
  </si>
  <si>
    <t>Charge To</t>
  </si>
  <si>
    <t>M/L Expenses:</t>
  </si>
  <si>
    <t>Listed Service Rate:</t>
  </si>
  <si>
    <t>Overhaul Tool Rental - $250 Per Day</t>
  </si>
  <si>
    <t>Laser Alignment Tool - $500 Per Alignment</t>
  </si>
  <si>
    <t>Cat 3600 Tool Group - $500 Per Day</t>
  </si>
  <si>
    <t>Wash Trailer - $65 Per Hour</t>
  </si>
  <si>
    <t>Tractor - $Xxx Per Day</t>
  </si>
  <si>
    <t>Welder - $85 Per Hour</t>
  </si>
  <si>
    <t>8500 lb. Crane - $100 Per Hour</t>
  </si>
  <si>
    <t>Day tank Amounts 
(In Gallons):</t>
  </si>
  <si>
    <t>Cyl Size</t>
  </si>
  <si>
    <t>Calc Rod Load (CE)</t>
  </si>
  <si>
    <t>Not In Print Range</t>
  </si>
  <si>
    <t>Meals/Lodging</t>
  </si>
  <si>
    <t>Both</t>
  </si>
  <si>
    <t>Meal Exp.</t>
  </si>
  <si>
    <t>Lodging Exp.</t>
  </si>
  <si>
    <t>Count</t>
  </si>
  <si>
    <t>Hours 3 Code</t>
  </si>
  <si>
    <t>Hours 3 Code1</t>
  </si>
  <si>
    <t>Hours 3 Code2</t>
  </si>
  <si>
    <t>Hours 3 Code3</t>
  </si>
  <si>
    <t>Hours 3 Code4</t>
  </si>
  <si>
    <t>Funeral</t>
  </si>
  <si>
    <t>Hours 3 Code5</t>
  </si>
  <si>
    <t>Lost Time Report</t>
  </si>
  <si>
    <t>Unit Service Report</t>
  </si>
  <si>
    <t>Third Party Service</t>
  </si>
  <si>
    <t>Rate Per Mile</t>
  </si>
  <si>
    <t xml:space="preserve">Field Service Technician </t>
  </si>
  <si>
    <t xml:space="preserve">Technician Helper </t>
  </si>
  <si>
    <t xml:space="preserve">Shop Service Technician </t>
  </si>
  <si>
    <t xml:space="preserve">Valve Service Technician </t>
  </si>
  <si>
    <t xml:space="preserve">CAT 3500 Certified Tech </t>
  </si>
  <si>
    <t xml:space="preserve">CAT 3600 Certified Tech </t>
  </si>
  <si>
    <t xml:space="preserve">Waukesha VHP Certified Tech </t>
  </si>
  <si>
    <t xml:space="preserve">Welder </t>
  </si>
  <si>
    <t xml:space="preserve">Hot Water Pressure Wash </t>
  </si>
  <si>
    <t xml:space="preserve">Service Supervisor </t>
  </si>
  <si>
    <t xml:space="preserve">Emission Tech </t>
  </si>
  <si>
    <t xml:space="preserve">Valve Tech, Helper &amp; Truck </t>
  </si>
  <si>
    <t xml:space="preserve">Hazard Tech </t>
  </si>
  <si>
    <t xml:space="preserve">Facility Operator </t>
  </si>
  <si>
    <t xml:space="preserve">Trucking Service </t>
  </si>
  <si>
    <t xml:space="preserve">EOG Trucking </t>
  </si>
  <si>
    <t xml:space="preserve">Machinist </t>
  </si>
  <si>
    <t>What Was the Call:</t>
  </si>
  <si>
    <t>Hours Worked</t>
  </si>
  <si>
    <t>Floating Holiday</t>
  </si>
  <si>
    <t>Total</t>
  </si>
  <si>
    <t>District Number</t>
  </si>
  <si>
    <t>PO Number</t>
  </si>
  <si>
    <t>Job Complete:</t>
  </si>
  <si>
    <t>Worked With Other Encore Employees:</t>
  </si>
  <si>
    <t>Customer Signature:</t>
  </si>
  <si>
    <t>Customer Name:</t>
  </si>
  <si>
    <t>AJAX</t>
  </si>
  <si>
    <t>Arrow</t>
  </si>
  <si>
    <t>Electric Motor</t>
  </si>
  <si>
    <t>Caterpillar</t>
  </si>
  <si>
    <t>Waukesha</t>
  </si>
  <si>
    <t>White Superior</t>
  </si>
  <si>
    <t>Intergrall</t>
  </si>
  <si>
    <t>Ariel</t>
  </si>
  <si>
    <t>GE</t>
  </si>
  <si>
    <t>Ajax</t>
  </si>
  <si>
    <t>Ingersoll Rand</t>
  </si>
  <si>
    <t>Gardner Denver</t>
  </si>
  <si>
    <t>Worthington</t>
  </si>
  <si>
    <t>Overtime Percentage</t>
  </si>
  <si>
    <t>Customer Name</t>
  </si>
  <si>
    <t>Indirect Time</t>
  </si>
  <si>
    <t>Rico Ugoletti</t>
  </si>
  <si>
    <t>Roberto Hernandez</t>
  </si>
  <si>
    <t>Rowdy Wickline</t>
  </si>
  <si>
    <t>Tommy Bennett</t>
  </si>
  <si>
    <t>Trk 0025</t>
  </si>
  <si>
    <t>Trk 0495</t>
  </si>
  <si>
    <t>Trk 1392</t>
  </si>
  <si>
    <t>Trk 4922</t>
  </si>
  <si>
    <t>Trk 5130</t>
  </si>
  <si>
    <t>Trl 3837</t>
  </si>
  <si>
    <t>ARUBA</t>
  </si>
  <si>
    <t>BLUES</t>
  </si>
  <si>
    <t>CATALYTIC COMBUSTION</t>
  </si>
  <si>
    <t>CDM</t>
  </si>
  <si>
    <t>CDM-MIDLAND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</si>
  <si>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</si>
  <si>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</si>
  <si>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</si>
  <si>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</si>
  <si>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</si>
  <si>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</si>
  <si>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</si>
  <si>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</si>
  <si>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</si>
  <si>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</si>
  <si>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EOG-M</t>
  </si>
  <si>
    <t>EOG-N</t>
  </si>
  <si>
    <t>EOG-S</t>
  </si>
  <si>
    <t>ETC PIPELINE</t>
  </si>
  <si>
    <t>ETC PROCESSING</t>
  </si>
  <si>
    <t>ETF CLEBURNE</t>
  </si>
  <si>
    <t>ETT</t>
  </si>
  <si>
    <t>FORWIND INC</t>
  </si>
  <si>
    <t>KINDER MORGAN</t>
  </si>
  <si>
    <t>LONE STAR</t>
  </si>
  <si>
    <t>MIKE BROWN</t>
  </si>
  <si>
    <t>NGSG</t>
  </si>
  <si>
    <t>OGS</t>
  </si>
  <si>
    <t>PECAN</t>
  </si>
  <si>
    <t>PECOS</t>
  </si>
  <si>
    <t>PRECISION</t>
  </si>
  <si>
    <t>QRI</t>
  </si>
  <si>
    <t>SEMGAS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</si>
  <si>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</si>
  <si>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</si>
  <si>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</si>
  <si>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</si>
  <si>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</si>
  <si>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</si>
  <si>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</si>
  <si>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WORSHAM STEED</t>
  </si>
  <si>
    <t>WTG</t>
  </si>
  <si>
    <t>XTO</t>
  </si>
  <si>
    <t>KINDER MORGAN-W TX</t>
  </si>
  <si>
    <t>Parts  Depot</t>
  </si>
  <si>
    <t>Machine</t>
  </si>
  <si>
    <t>West TX</t>
  </si>
  <si>
    <t>Job Description</t>
  </si>
  <si>
    <t>ETC W TX</t>
  </si>
  <si>
    <t>H5O INC</t>
  </si>
  <si>
    <t>INDUSTRIAL GASMASTER</t>
  </si>
  <si>
    <t>J-W POWER</t>
  </si>
  <si>
    <t>LUCID-DTX</t>
  </si>
  <si>
    <t>LUCID-WTX</t>
  </si>
  <si>
    <t>PENNTEX</t>
  </si>
  <si>
    <t>SPINDLETOP</t>
  </si>
  <si>
    <t>USA COMPRESSION</t>
  </si>
  <si>
    <t>W TX IND ENG</t>
  </si>
  <si>
    <t>CTJ ENERGY</t>
  </si>
  <si>
    <t>Trk 1900</t>
  </si>
  <si>
    <t>Trk 2212</t>
  </si>
  <si>
    <t>Trk 5408</t>
  </si>
  <si>
    <t>Personal</t>
  </si>
  <si>
    <t>RICHARD SANDERS</t>
  </si>
  <si>
    <t>N/A - Trucking</t>
  </si>
  <si>
    <t>Jason Ward</t>
  </si>
  <si>
    <t>Ryan Bryant</t>
  </si>
  <si>
    <t>FINLEY</t>
  </si>
  <si>
    <t>Randy Thurmond</t>
  </si>
  <si>
    <t>Day Of Week</t>
  </si>
  <si>
    <t>Weekend/ Holiday Flag</t>
  </si>
  <si>
    <t xml:space="preserve"> - holiday / weekend flag</t>
  </si>
  <si>
    <t xml:space="preserve"> - excess over 8 hours worked</t>
  </si>
  <si>
    <t>Overtime Start</t>
  </si>
  <si>
    <t>Overtime Stop</t>
  </si>
  <si>
    <t xml:space="preserve"> - outside business hours</t>
  </si>
  <si>
    <t>Hours</t>
  </si>
  <si>
    <t>Total Overtime Hours</t>
  </si>
  <si>
    <t>Normal Hours</t>
  </si>
  <si>
    <t>Total Hours Worked</t>
  </si>
  <si>
    <t>Holidays</t>
  </si>
  <si>
    <t>Duration</t>
  </si>
  <si>
    <t>Excess Overtime</t>
  </si>
  <si>
    <t>Overtime Threshold</t>
  </si>
  <si>
    <t>Rem OTT</t>
  </si>
  <si>
    <t>Rem EOT</t>
  </si>
  <si>
    <t>OTA</t>
  </si>
  <si>
    <t>Production Equipment Technician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</si>
</sst>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h:mm\ AM/PM;@"/>
    <numFmt numFmtId="165" formatCode="&quot;$&quot;#,##0.00"/>
    <numFmt numFmtId="166" formatCode="00"/>
    <numFmt numFmtId="167" formatCode="0.000"/>
    <numFmt numFmtId="168" formatCode="##0\ &quot;hrs&quot;"/>
  </numFmts>
  <fonts count="14" x14ac:knownFonts="1"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Helv"/>
    </font>
    <font>
      <b/>
      <u/>
      <sz val="16"/>
      <color rgb="FFFF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Times New Roman"/>
      <family val="1"/>
    </font>
    <font>
      <b/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E1F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E7"/>
        <bgColor indexed="64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164" fontId="0" fillId="0" borderId="0"/>
    <xf numFmtId="44" fontId="4" fillId="0" borderId="0" applyFont="0" applyFill="0" applyBorder="0" applyAlignment="0" applyProtection="0"/>
    <xf numFmtId="164" fontId="8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13" fillId="13" borderId="0" applyNumberFormat="0" applyBorder="0" applyAlignment="0" applyProtection="0"/>
    <xf numFmtId="164" fontId="4" fillId="14" borderId="0" applyNumberFormat="0" applyBorder="0" applyAlignment="0" applyProtection="0"/>
    <xf numFmtId="164" fontId="13" fillId="17" borderId="0" applyNumberFormat="0" applyBorder="0" applyAlignment="0" applyProtection="0"/>
    <xf numFmtId="164" fontId="4" fillId="18" borderId="0" applyNumberFormat="0" applyBorder="0" applyAlignment="0" applyProtection="0"/>
  </cellStyleXfs>
  <cellXfs count="172">
    <xf numFmtId="164" fontId="0" fillId="0" borderId="0" xfId="0"/>
    <xf numFmtId="164" fontId="3" fillId="2" borderId="0" xfId="0" applyFont="1" applyFill="1" applyAlignment="1">
      <alignment horizontal="center" vertical="center"/>
    </xf>
    <xf numFmtId="164" fontId="5" fillId="2" borderId="0" xfId="0" applyFont="1" applyFill="1" applyAlignment="1">
      <alignment horizontal="left" vertical="center"/>
    </xf>
    <xf numFmtId="164" fontId="3" fillId="2" borderId="0" xfId="0" applyFont="1" applyFill="1" applyAlignment="1">
      <alignment horizontal="left" vertical="center"/>
    </xf>
    <xf numFmtId="164" fontId="3" fillId="2" borderId="0" xfId="0" applyFont="1" applyFill="1" applyBorder="1" applyAlignment="1">
      <alignment horizontal="left" vertical="center"/>
    </xf>
    <xf numFmtId="164" fontId="3" fillId="2" borderId="0" xfId="0" applyFont="1" applyFill="1" applyBorder="1" applyAlignment="1">
      <alignment vertical="center"/>
    </xf>
    <xf numFmtId="164" fontId="3" fillId="2" borderId="0" xfId="1" applyNumberFormat="1" applyFont="1" applyFill="1" applyAlignment="1">
      <alignment vertical="center"/>
    </xf>
    <xf numFmtId="164" fontId="0" fillId="2" borderId="0" xfId="0" applyFont="1" applyFill="1" applyAlignment="1">
      <alignment horizontal="left" vertical="center"/>
    </xf>
    <xf numFmtId="164" fontId="0" fillId="5" borderId="0" xfId="0" applyFont="1" applyFill="1" applyAlignment="1">
      <alignment horizontal="left" vertical="center"/>
    </xf>
    <xf numFmtId="164" fontId="0" fillId="5" borderId="0" xfId="1" applyNumberFormat="1" applyFont="1" applyFill="1" applyAlignment="1">
      <alignment vertical="center"/>
    </xf>
    <xf numFmtId="164" fontId="0" fillId="5" borderId="0" xfId="0" applyNumberFormat="1" applyFont="1" applyFill="1" applyAlignment="1">
      <alignment horizontal="left" vertical="center"/>
    </xf>
    <xf numFmtId="14" fontId="0" fillId="5" borderId="0" xfId="0" applyNumberFormat="1" applyFont="1" applyFill="1" applyAlignment="1">
      <alignment horizontal="left" vertical="center"/>
    </xf>
    <xf numFmtId="164" fontId="3" fillId="0" borderId="0" xfId="0" applyFont="1" applyFill="1" applyAlignment="1">
      <alignment horizontal="left" vertical="center"/>
    </xf>
    <xf numFmtId="164" fontId="0" fillId="0" borderId="0" xfId="0" applyFont="1" applyFill="1" applyAlignment="1">
      <alignment horizontal="left" vertical="center"/>
    </xf>
    <xf numFmtId="164" fontId="0" fillId="0" borderId="0" xfId="0"/>
    <xf numFmtId="166" fontId="0" fillId="5" borderId="0" xfId="0" applyNumberFormat="1" applyFont="1" applyFill="1" applyAlignment="1">
      <alignment horizontal="left" vertical="center"/>
    </xf>
    <xf numFmtId="164" fontId="0" fillId="2" borderId="0" xfId="0" applyFill="1"/>
    <xf numFmtId="165" fontId="0" fillId="2" borderId="14" xfId="0" applyNumberFormat="1" applyFill="1" applyBorder="1"/>
    <xf numFmtId="165" fontId="0" fillId="2" borderId="15" xfId="0" applyNumberFormat="1" applyFill="1" applyBorder="1"/>
    <xf numFmtId="44" fontId="0" fillId="2" borderId="14" xfId="1" applyFont="1" applyFill="1" applyBorder="1"/>
    <xf numFmtId="164" fontId="12" fillId="7" borderId="2" xfId="0" applyFont="1" applyFill="1" applyBorder="1" applyAlignment="1">
      <alignment horizontal="center"/>
    </xf>
    <xf numFmtId="164" fontId="12" fillId="7" borderId="4" xfId="0" applyFont="1" applyFill="1" applyBorder="1" applyAlignment="1">
      <alignment horizontal="center"/>
    </xf>
    <xf numFmtId="166" fontId="0" fillId="2" borderId="0" xfId="0" applyNumberFormat="1" applyFill="1"/>
    <xf numFmtId="164" fontId="0" fillId="2" borderId="0" xfId="0" applyNumberFormat="1" applyFill="1"/>
    <xf numFmtId="44" fontId="0" fillId="2" borderId="0" xfId="1" applyFont="1" applyFill="1"/>
    <xf numFmtId="164" fontId="0" fillId="8" borderId="14" xfId="0" applyNumberFormat="1" applyFill="1" applyBorder="1"/>
    <xf numFmtId="164" fontId="0" fillId="8" borderId="14" xfId="0" applyNumberFormat="1" applyFill="1" applyBorder="1"/>
    <xf numFmtId="164" fontId="0" fillId="8" borderId="14" xfId="0" applyFill="1" applyBorder="1"/>
    <xf numFmtId="164" fontId="0" fillId="8" borderId="15" xfId="0" applyFill="1" applyBorder="1"/>
    <xf numFmtId="164" fontId="0" fillId="9" borderId="14" xfId="0" applyNumberFormat="1" applyFill="1" applyBorder="1"/>
    <xf numFmtId="164" fontId="0" fillId="9" borderId="14" xfId="0" applyNumberFormat="1" applyFill="1" applyBorder="1"/>
    <xf numFmtId="164" fontId="0" fillId="9" borderId="14" xfId="0" applyFill="1" applyBorder="1"/>
    <xf numFmtId="164" fontId="0" fillId="9" borderId="15" xfId="0" applyFill="1" applyBorder="1"/>
    <xf numFmtId="44" fontId="0" fillId="10" borderId="14" xfId="1" applyFont="1" applyFill="1" applyBorder="1"/>
    <xf numFmtId="165" fontId="0" fillId="10" borderId="14" xfId="0" applyNumberFormat="1" applyFill="1" applyBorder="1"/>
    <xf numFmtId="165" fontId="0" fillId="10" borderId="15" xfId="0" applyNumberFormat="1" applyFill="1" applyBorder="1"/>
    <xf numFmtId="164" fontId="12" fillId="7" borderId="4" xfId="0" applyFont="1" applyFill="1" applyBorder="1" applyAlignment="1">
      <alignment horizontal="center" vertical="center"/>
    </xf>
    <xf numFmtId="164" fontId="12" fillId="7" borderId="3" xfId="0" applyFont="1" applyFill="1" applyBorder="1" applyAlignment="1">
      <alignment horizontal="center" vertical="center"/>
    </xf>
    <xf numFmtId="164" fontId="0" fillId="0" borderId="0" xfId="0" applyFill="1"/>
    <xf numFmtId="164" fontId="3" fillId="7" borderId="7" xfId="0" applyFont="1" applyFill="1" applyBorder="1" applyAlignment="1">
      <alignment vertical="center"/>
    </xf>
    <xf numFmtId="164" fontId="3" fillId="7" borderId="12" xfId="0" applyFont="1" applyFill="1" applyBorder="1" applyAlignment="1">
      <alignment vertical="center"/>
    </xf>
    <xf numFmtId="164" fontId="3" fillId="7" borderId="9" xfId="0" applyFont="1" applyFill="1" applyBorder="1" applyAlignment="1">
      <alignment vertical="center"/>
    </xf>
    <xf numFmtId="164" fontId="3" fillId="7" borderId="10" xfId="0" applyFont="1" applyFill="1" applyBorder="1" applyAlignment="1">
      <alignment vertical="center"/>
    </xf>
    <xf numFmtId="164" fontId="12" fillId="7" borderId="2" xfId="0" applyFont="1" applyFill="1" applyBorder="1" applyAlignment="1">
      <alignment horizontal="center" vertical="center" wrapText="1"/>
    </xf>
    <xf numFmtId="164" fontId="12" fillId="7" borderId="4" xfId="0" applyFont="1" applyFill="1" applyBorder="1" applyAlignment="1">
      <alignment horizontal="center" vertical="center" wrapText="1"/>
    </xf>
    <xf numFmtId="164" fontId="12" fillId="7" borderId="3" xfId="0" applyFont="1" applyFill="1" applyBorder="1" applyAlignment="1">
      <alignment horizontal="center" vertical="center" wrapText="1"/>
    </xf>
    <xf numFmtId="9" fontId="0" fillId="11" borderId="13" xfId="0" applyNumberFormat="1" applyFill="1" applyBorder="1" applyAlignment="1">
      <alignment horizontal="center"/>
    </xf>
    <xf numFmtId="9" fontId="0" fillId="11" borderId="14" xfId="0" applyNumberFormat="1" applyFill="1" applyBorder="1" applyAlignment="1">
      <alignment horizontal="center"/>
    </xf>
    <xf numFmtId="164" fontId="0" fillId="11" borderId="14" xfId="0" applyFill="1" applyBorder="1" applyAlignment="1">
      <alignment horizontal="center"/>
    </xf>
    <xf numFmtId="164" fontId="0" fillId="11" borderId="15" xfId="0" applyFill="1" applyBorder="1" applyAlignment="1">
      <alignment horizontal="center"/>
    </xf>
    <xf numFmtId="164" fontId="0" fillId="2" borderId="0" xfId="0" applyFill="1" applyBorder="1"/>
    <xf numFmtId="164" fontId="0" fillId="2" borderId="9" xfId="0" applyFill="1" applyBorder="1"/>
    <xf numFmtId="9" fontId="5" fillId="2" borderId="4" xfId="4" applyFont="1" applyFill="1" applyBorder="1" applyAlignment="1">
      <alignment vertical="center"/>
    </xf>
    <xf numFmtId="164" fontId="12" fillId="7" borderId="3" xfId="0" applyFont="1" applyFill="1" applyBorder="1" applyAlignment="1">
      <alignment horizontal="center"/>
    </xf>
    <xf numFmtId="164" fontId="12" fillId="7" borderId="4" xfId="0" applyFont="1" applyFill="1" applyBorder="1" applyAlignment="1">
      <alignment horizontal="center"/>
    </xf>
    <xf numFmtId="164" fontId="4" fillId="14" borderId="2" xfId="6" applyBorder="1"/>
    <xf numFmtId="164" fontId="4" fillId="14" borderId="4" xfId="6" applyBorder="1"/>
    <xf numFmtId="164" fontId="4" fillId="14" borderId="3" xfId="6" applyBorder="1"/>
    <xf numFmtId="164" fontId="13" fillId="13" borderId="3" xfId="5" applyBorder="1" applyAlignment="1">
      <alignment horizontal="centerContinuous"/>
    </xf>
    <xf numFmtId="164" fontId="13" fillId="13" borderId="2" xfId="5" applyBorder="1" applyAlignment="1">
      <alignment horizontal="centerContinuous"/>
    </xf>
    <xf numFmtId="164" fontId="13" fillId="13" borderId="4" xfId="5" applyBorder="1" applyAlignment="1">
      <alignment horizontal="centerContinuous"/>
    </xf>
    <xf numFmtId="164" fontId="13" fillId="13" borderId="1" xfId="5" applyBorder="1" applyAlignment="1">
      <alignment horizontal="centerContinuous"/>
    </xf>
    <xf numFmtId="43" fontId="4" fillId="15" borderId="1" xfId="3" applyFill="1" applyBorder="1" applyAlignment="1">
      <alignment horizontal="center"/>
    </xf>
    <xf numFmtId="43" fontId="13" fillId="13" borderId="1" xfId="3" applyFont="1" applyFill="1" applyBorder="1" applyAlignment="1">
      <alignment horizontal="centerContinuous"/>
    </xf>
    <xf numFmtId="14" fontId="0" fillId="2" borderId="0" xfId="0" applyNumberFormat="1" applyFill="1" applyAlignment="1">
      <alignment horizontal="center"/>
    </xf>
    <xf numFmtId="4" fontId="4" fillId="15" borderId="1" xfId="3" applyNumberFormat="1" applyFill="1" applyBorder="1" applyAlignment="1">
      <alignment horizontal="center"/>
    </xf>
    <xf numFmtId="4" fontId="13" fillId="13" borderId="1" xfId="3" applyNumberFormat="1" applyFont="1" applyFill="1" applyBorder="1" applyAlignment="1">
      <alignment horizontal="center"/>
    </xf>
    <xf numFmtId="164" fontId="13" fillId="17" borderId="1" xfId="7" applyBorder="1" applyAlignment="1">
      <alignment horizontal="centerContinuous"/>
    </xf>
    <xf numFmtId="43" fontId="4" fillId="18" borderId="1" xfId="8" applyNumberFormat="1" applyBorder="1" applyAlignment="1">
      <alignment horizontal="center"/>
    </xf>
    <xf numFmtId="4" fontId="0" fillId="5" borderId="0" xfId="0" applyNumberFormat="1" applyFont="1" applyFill="1" applyAlignment="1">
      <alignment horizontal="left" vertical="center"/>
    </xf>
    <xf numFmtId="164" fontId="2" fillId="2" borderId="11" xfId="0" applyFont="1" applyFill="1" applyBorder="1" applyAlignment="1">
      <alignment horizontal="center" vertical="center" wrapText="1"/>
    </xf>
    <xf numFmtId="164" fontId="2" fillId="2" borderId="7" xfId="0" applyFont="1" applyFill="1" applyBorder="1" applyAlignment="1">
      <alignment horizontal="center" vertical="center" wrapText="1"/>
    </xf>
    <xf numFmtId="164" fontId="2" fillId="2" borderId="12" xfId="0" applyFont="1" applyFill="1" applyBorder="1" applyAlignment="1">
      <alignment horizontal="center" vertical="center" wrapText="1"/>
    </xf>
    <xf numFmtId="164" fontId="2" fillId="2" borderId="8" xfId="0" applyFont="1" applyFill="1" applyBorder="1" applyAlignment="1">
      <alignment horizontal="center" vertical="center" wrapText="1"/>
    </xf>
    <xf numFmtId="164" fontId="2" fillId="2" borderId="9" xfId="0" applyFont="1" applyFill="1" applyBorder="1" applyAlignment="1">
      <alignment horizontal="center" vertical="center" wrapText="1"/>
    </xf>
    <xf numFmtId="164" fontId="2" fillId="2" borderId="10" xfId="0" applyFont="1" applyFill="1" applyBorder="1" applyAlignment="1">
      <alignment horizontal="center" vertical="center" wrapText="1"/>
    </xf>
    <xf numFmtId="164" fontId="3" fillId="12" borderId="11" xfId="0" applyFont="1" applyFill="1" applyBorder="1" applyAlignment="1" applyProtection="1">
      <alignment horizontal="left" vertical="top"/>
      <protection locked="0"/>
    </xf>
    <xf numFmtId="164" fontId="3" fillId="12" borderId="7" xfId="0" applyFont="1" applyFill="1" applyBorder="1" applyAlignment="1" applyProtection="1">
      <alignment horizontal="left" vertical="top"/>
      <protection locked="0"/>
    </xf>
    <xf numFmtId="164" fontId="3" fillId="12" borderId="12" xfId="0" applyFont="1" applyFill="1" applyBorder="1" applyAlignment="1" applyProtection="1">
      <alignment horizontal="left" vertical="top"/>
      <protection locked="0"/>
    </xf>
    <xf numFmtId="164" fontId="3" fillId="12" borderId="8" xfId="0" applyFont="1" applyFill="1" applyBorder="1" applyAlignment="1" applyProtection="1">
      <alignment horizontal="left" vertical="top"/>
      <protection locked="0"/>
    </xf>
    <xf numFmtId="164" fontId="3" fillId="12" borderId="9" xfId="0" applyFont="1" applyFill="1" applyBorder="1" applyAlignment="1" applyProtection="1">
      <alignment horizontal="left" vertical="top"/>
      <protection locked="0"/>
    </xf>
    <xf numFmtId="164" fontId="3" fillId="12" borderId="10" xfId="0" applyFont="1" applyFill="1" applyBorder="1" applyAlignment="1" applyProtection="1">
      <alignment horizontal="left" vertical="top"/>
      <protection locked="0"/>
    </xf>
    <xf numFmtId="164" fontId="2" fillId="2" borderId="11" xfId="0" applyFont="1" applyFill="1" applyBorder="1" applyAlignment="1">
      <alignment horizontal="center" vertical="center"/>
    </xf>
    <xf numFmtId="164" fontId="2" fillId="2" borderId="7" xfId="0" applyFont="1" applyFill="1" applyBorder="1" applyAlignment="1">
      <alignment horizontal="center" vertical="center"/>
    </xf>
    <xf numFmtId="164" fontId="2" fillId="2" borderId="12" xfId="0" applyFont="1" applyFill="1" applyBorder="1" applyAlignment="1">
      <alignment horizontal="center" vertical="center"/>
    </xf>
    <xf numFmtId="164" fontId="2" fillId="2" borderId="8" xfId="0" applyFont="1" applyFill="1" applyBorder="1" applyAlignment="1">
      <alignment horizontal="center" vertical="center"/>
    </xf>
    <xf numFmtId="164" fontId="2" fillId="2" borderId="9" xfId="0" applyFont="1" applyFill="1" applyBorder="1" applyAlignment="1">
      <alignment horizontal="center" vertical="center"/>
    </xf>
    <xf numFmtId="164" fontId="2" fillId="2" borderId="10" xfId="0" applyFont="1" applyFill="1" applyBorder="1" applyAlignment="1">
      <alignment horizontal="center" vertical="center"/>
    </xf>
    <xf numFmtId="164" fontId="3" fillId="12" borderId="11" xfId="0" applyFont="1" applyFill="1" applyBorder="1" applyAlignment="1" applyProtection="1">
      <alignment horizontal="left" vertical="top" wrapText="1"/>
      <protection locked="0"/>
    </xf>
    <xf numFmtId="164" fontId="3" fillId="12" borderId="7" xfId="0" applyFont="1" applyFill="1" applyBorder="1" applyAlignment="1" applyProtection="1">
      <alignment horizontal="left" vertical="top" wrapText="1"/>
      <protection locked="0"/>
    </xf>
    <xf numFmtId="164" fontId="3" fillId="12" borderId="12" xfId="0" applyFont="1" applyFill="1" applyBorder="1" applyAlignment="1" applyProtection="1">
      <alignment horizontal="left" vertical="top" wrapText="1"/>
      <protection locked="0"/>
    </xf>
    <xf numFmtId="164" fontId="3" fillId="12" borderId="5" xfId="0" applyFont="1" applyFill="1" applyBorder="1" applyAlignment="1" applyProtection="1">
      <alignment horizontal="left" vertical="top" wrapText="1"/>
      <protection locked="0"/>
    </xf>
    <xf numFmtId="164" fontId="3" fillId="12" borderId="0" xfId="0" applyFont="1" applyFill="1" applyBorder="1" applyAlignment="1" applyProtection="1">
      <alignment horizontal="left" vertical="top" wrapText="1"/>
      <protection locked="0"/>
    </xf>
    <xf numFmtId="164" fontId="3" fillId="12" borderId="6" xfId="0" applyFont="1" applyFill="1" applyBorder="1" applyAlignment="1" applyProtection="1">
      <alignment horizontal="left" vertical="top" wrapText="1"/>
      <protection locked="0"/>
    </xf>
    <xf numFmtId="164" fontId="3" fillId="12" borderId="8" xfId="0" applyFont="1" applyFill="1" applyBorder="1" applyAlignment="1" applyProtection="1">
      <alignment horizontal="left" vertical="top" wrapText="1"/>
      <protection locked="0"/>
    </xf>
    <xf numFmtId="164" fontId="3" fillId="12" borderId="9" xfId="0" applyFont="1" applyFill="1" applyBorder="1" applyAlignment="1" applyProtection="1">
      <alignment horizontal="left" vertical="top" wrapText="1"/>
      <protection locked="0"/>
    </xf>
    <xf numFmtId="164" fontId="3" fillId="12" borderId="10" xfId="0" applyFont="1" applyFill="1" applyBorder="1" applyAlignment="1" applyProtection="1">
      <alignment horizontal="left" vertical="top" wrapText="1"/>
      <protection locked="0"/>
    </xf>
    <xf numFmtId="164" fontId="2" fillId="2" borderId="5" xfId="0" applyFont="1" applyFill="1" applyBorder="1" applyAlignment="1">
      <alignment horizontal="center" vertical="center"/>
    </xf>
    <xf numFmtId="164" fontId="2" fillId="2" borderId="0" xfId="0" applyFont="1" applyFill="1" applyBorder="1" applyAlignment="1">
      <alignment horizontal="center" vertical="center"/>
    </xf>
    <xf numFmtId="164" fontId="2" fillId="2" borderId="6" xfId="0" applyFont="1" applyFill="1" applyBorder="1" applyAlignment="1">
      <alignment horizontal="center" vertical="center"/>
    </xf>
    <xf numFmtId="164" fontId="3" fillId="12" borderId="7" xfId="0" applyFont="1" applyFill="1" applyBorder="1" applyAlignment="1" applyProtection="1">
      <alignment horizontal="center" vertical="center"/>
      <protection locked="0"/>
    </xf>
    <xf numFmtId="164" fontId="3" fillId="12" borderId="12" xfId="0" applyFont="1" applyFill="1" applyBorder="1" applyAlignment="1" applyProtection="1">
      <alignment horizontal="center" vertical="center"/>
      <protection locked="0"/>
    </xf>
    <xf numFmtId="164" fontId="3" fillId="12" borderId="1" xfId="0" applyFont="1" applyFill="1" applyBorder="1" applyAlignment="1" applyProtection="1">
      <alignment horizontal="center" vertical="center"/>
      <protection locked="0"/>
    </xf>
    <xf numFmtId="164" fontId="9" fillId="5" borderId="0" xfId="0" applyFont="1" applyFill="1" applyAlignment="1">
      <alignment horizontal="center" vertical="center"/>
    </xf>
    <xf numFmtId="164" fontId="3" fillId="12" borderId="2" xfId="0" applyFont="1" applyFill="1" applyBorder="1" applyAlignment="1" applyProtection="1">
      <alignment horizontal="center" vertical="center"/>
      <protection locked="0"/>
    </xf>
    <xf numFmtId="164" fontId="3" fillId="12" borderId="4" xfId="0" applyFont="1" applyFill="1" applyBorder="1" applyAlignment="1" applyProtection="1">
      <alignment horizontal="center" vertical="center"/>
      <protection locked="0"/>
    </xf>
    <xf numFmtId="164" fontId="3" fillId="12" borderId="3" xfId="0" applyFont="1" applyFill="1" applyBorder="1" applyAlignment="1" applyProtection="1">
      <alignment horizontal="center" vertical="center"/>
      <protection locked="0"/>
    </xf>
    <xf numFmtId="164" fontId="3" fillId="2" borderId="1" xfId="1" applyNumberFormat="1" applyFont="1" applyFill="1" applyBorder="1" applyAlignment="1">
      <alignment horizontal="left" vertical="center"/>
    </xf>
    <xf numFmtId="164" fontId="2" fillId="2" borderId="2" xfId="0" applyFont="1" applyFill="1" applyBorder="1" applyAlignment="1">
      <alignment horizontal="center" vertical="center"/>
    </xf>
    <xf numFmtId="164" fontId="2" fillId="2" borderId="4" xfId="0" applyFont="1" applyFill="1" applyBorder="1" applyAlignment="1">
      <alignment horizontal="center" vertical="center"/>
    </xf>
    <xf numFmtId="164" fontId="2" fillId="2" borderId="3" xfId="0" applyFont="1" applyFill="1" applyBorder="1" applyAlignment="1">
      <alignment horizontal="center" vertical="center"/>
    </xf>
    <xf numFmtId="164" fontId="2" fillId="2" borderId="1" xfId="0" applyFont="1" applyFill="1" applyBorder="1" applyAlignment="1">
      <alignment horizontal="center" vertical="center" wrapText="1"/>
    </xf>
    <xf numFmtId="164" fontId="2" fillId="2" borderId="1" xfId="0" applyFont="1" applyFill="1" applyBorder="1" applyAlignment="1">
      <alignment horizontal="right" vertical="center"/>
    </xf>
    <xf numFmtId="2" fontId="3" fillId="12" borderId="1" xfId="0" applyNumberFormat="1" applyFont="1" applyFill="1" applyBorder="1" applyAlignment="1" applyProtection="1">
      <alignment horizontal="center" vertical="center"/>
      <protection locked="0"/>
    </xf>
    <xf numFmtId="164" fontId="7" fillId="6" borderId="2" xfId="0" applyFont="1" applyFill="1" applyBorder="1" applyAlignment="1">
      <alignment horizontal="center" vertical="center"/>
    </xf>
    <xf numFmtId="164" fontId="7" fillId="6" borderId="4" xfId="0" applyFont="1" applyFill="1" applyBorder="1" applyAlignment="1">
      <alignment horizontal="center" vertical="center"/>
    </xf>
    <xf numFmtId="164" fontId="7" fillId="6" borderId="3" xfId="0" applyFont="1" applyFill="1" applyBorder="1" applyAlignment="1">
      <alignment horizontal="center" vertical="center"/>
    </xf>
    <xf numFmtId="164" fontId="3" fillId="4" borderId="2" xfId="0" applyFont="1" applyFill="1" applyBorder="1" applyAlignment="1" applyProtection="1">
      <alignment horizontal="center" vertical="center"/>
      <protection locked="0"/>
    </xf>
    <xf numFmtId="164" fontId="3" fillId="4" borderId="4" xfId="0" applyFont="1" applyFill="1" applyBorder="1" applyAlignment="1" applyProtection="1">
      <alignment horizontal="center" vertical="center"/>
      <protection locked="0"/>
    </xf>
    <xf numFmtId="164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67" fontId="3" fillId="2" borderId="1" xfId="0" applyNumberFormat="1" applyFont="1" applyFill="1" applyBorder="1" applyAlignment="1">
      <alignment horizontal="center" vertical="center"/>
    </xf>
    <xf numFmtId="1" fontId="3" fillId="2" borderId="1" xfId="3" applyNumberFormat="1" applyFont="1" applyFill="1" applyBorder="1" applyAlignment="1">
      <alignment horizontal="center" vertical="center"/>
    </xf>
    <xf numFmtId="164" fontId="3" fillId="3" borderId="2" xfId="0" applyFont="1" applyFill="1" applyBorder="1" applyAlignment="1">
      <alignment horizontal="center" vertical="center"/>
    </xf>
    <xf numFmtId="164" fontId="3" fillId="3" borderId="4" xfId="0" applyFont="1" applyFill="1" applyBorder="1" applyAlignment="1">
      <alignment horizontal="center" vertical="center"/>
    </xf>
    <xf numFmtId="164" fontId="3" fillId="3" borderId="3" xfId="0" applyFont="1" applyFill="1" applyBorder="1" applyAlignment="1">
      <alignment horizontal="center" vertical="center"/>
    </xf>
    <xf numFmtId="164" fontId="2" fillId="2" borderId="2" xfId="0" applyFont="1" applyFill="1" applyBorder="1" applyAlignment="1">
      <alignment horizontal="right" vertical="center"/>
    </xf>
    <xf numFmtId="164" fontId="2" fillId="2" borderId="4" xfId="0" applyFont="1" applyFill="1" applyBorder="1" applyAlignment="1">
      <alignment horizontal="right" vertical="center"/>
    </xf>
    <xf numFmtId="164" fontId="3" fillId="4" borderId="1" xfId="0" applyFont="1" applyFill="1" applyBorder="1" applyAlignment="1" applyProtection="1">
      <alignment horizontal="center" vertical="center"/>
      <protection locked="0"/>
    </xf>
    <xf numFmtId="165" fontId="3" fillId="2" borderId="1" xfId="0" applyNumberFormat="1" applyFont="1" applyFill="1" applyBorder="1" applyAlignment="1" applyProtection="1">
      <alignment horizontal="center" vertical="center"/>
      <protection locked="0"/>
    </xf>
    <xf numFmtId="164" fontId="6" fillId="2" borderId="1" xfId="0" applyFont="1" applyFill="1" applyBorder="1" applyAlignment="1">
      <alignment horizontal="center" vertical="center" wrapText="1"/>
    </xf>
    <xf numFmtId="164" fontId="6" fillId="2" borderId="1" xfId="0" applyFont="1" applyFill="1" applyBorder="1" applyAlignment="1">
      <alignment horizontal="center" vertical="center"/>
    </xf>
    <xf numFmtId="164" fontId="3" fillId="2" borderId="1" xfId="0" applyFont="1" applyFill="1" applyBorder="1" applyAlignment="1">
      <alignment horizontal="center" vertical="center"/>
    </xf>
    <xf numFmtId="2" fontId="3" fillId="2" borderId="2" xfId="0" applyNumberFormat="1" applyFont="1" applyFill="1" applyBorder="1" applyAlignment="1">
      <alignment horizontal="center" vertical="center"/>
    </xf>
    <xf numFmtId="2" fontId="3" fillId="2" borderId="4" xfId="0" applyNumberFormat="1" applyFont="1" applyFill="1" applyBorder="1" applyAlignment="1">
      <alignment horizontal="center" vertical="center"/>
    </xf>
    <xf numFmtId="2" fontId="3" fillId="2" borderId="3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>
      <alignment horizontal="center" vertical="center"/>
    </xf>
    <xf numFmtId="165" fontId="3" fillId="2" borderId="1" xfId="1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 applyProtection="1">
      <alignment horizontal="center" vertical="center"/>
      <protection locked="0"/>
    </xf>
    <xf numFmtId="164" fontId="3" fillId="4" borderId="4" xfId="0" applyNumberFormat="1" applyFont="1" applyFill="1" applyBorder="1" applyAlignment="1" applyProtection="1">
      <alignment horizontal="center" vertical="center"/>
      <protection locked="0"/>
    </xf>
    <xf numFmtId="164" fontId="3" fillId="4" borderId="3" xfId="0" applyNumberFormat="1" applyFont="1" applyFill="1" applyBorder="1" applyAlignment="1" applyProtection="1">
      <alignment horizontal="center" vertical="center"/>
      <protection locked="0"/>
    </xf>
    <xf numFmtId="165" fontId="3" fillId="2" borderId="1" xfId="0" applyNumberFormat="1" applyFont="1" applyFill="1" applyBorder="1" applyAlignment="1">
      <alignment horizontal="center" vertical="center"/>
    </xf>
    <xf numFmtId="165" fontId="3" fillId="2" borderId="2" xfId="0" applyNumberFormat="1" applyFont="1" applyFill="1" applyBorder="1" applyAlignment="1">
      <alignment horizontal="center" vertical="center"/>
    </xf>
    <xf numFmtId="165" fontId="3" fillId="2" borderId="4" xfId="0" applyNumberFormat="1" applyFont="1" applyFill="1" applyBorder="1" applyAlignment="1">
      <alignment horizontal="center" vertical="center"/>
    </xf>
    <xf numFmtId="165" fontId="3" fillId="2" borderId="3" xfId="0" applyNumberFormat="1" applyFont="1" applyFill="1" applyBorder="1" applyAlignment="1">
      <alignment horizontal="center" vertical="center"/>
    </xf>
    <xf numFmtId="164" fontId="2" fillId="2" borderId="3" xfId="0" applyFont="1" applyFill="1" applyBorder="1" applyAlignment="1">
      <alignment horizontal="right" vertical="center"/>
    </xf>
    <xf numFmtId="164" fontId="1" fillId="2" borderId="1" xfId="0" applyFont="1" applyFill="1" applyBorder="1" applyAlignment="1">
      <alignment horizontal="right" vertical="center"/>
    </xf>
    <xf numFmtId="164" fontId="3" fillId="2" borderId="1" xfId="0" applyFont="1" applyFill="1" applyBorder="1" applyAlignment="1" applyProtection="1">
      <alignment horizontal="center" vertical="center"/>
    </xf>
    <xf numFmtId="164" fontId="7" fillId="7" borderId="1" xfId="0" applyFont="1" applyFill="1" applyBorder="1" applyAlignment="1">
      <alignment horizontal="center" vertical="center"/>
    </xf>
    <xf numFmtId="164" fontId="3" fillId="4" borderId="3" xfId="0" applyFont="1" applyFill="1" applyBorder="1" applyAlignment="1" applyProtection="1">
      <alignment horizontal="center" vertical="center"/>
      <protection locked="0"/>
    </xf>
    <xf numFmtId="14" fontId="3" fillId="12" borderId="1" xfId="0" applyNumberFormat="1" applyFont="1" applyFill="1" applyBorder="1" applyAlignment="1" applyProtection="1">
      <alignment horizontal="center" vertical="center"/>
      <protection locked="0"/>
    </xf>
    <xf numFmtId="164" fontId="7" fillId="6" borderId="1" xfId="0" applyFont="1" applyFill="1" applyBorder="1" applyAlignment="1">
      <alignment horizontal="center" vertical="center"/>
    </xf>
    <xf numFmtId="164" fontId="2" fillId="0" borderId="8" xfId="0" applyFont="1" applyFill="1" applyBorder="1" applyAlignment="1">
      <alignment horizontal="right" vertical="center"/>
    </xf>
    <xf numFmtId="164" fontId="2" fillId="0" borderId="9" xfId="0" applyFont="1" applyFill="1" applyBorder="1" applyAlignment="1">
      <alignment horizontal="right" vertical="center"/>
    </xf>
    <xf numFmtId="164" fontId="2" fillId="0" borderId="1" xfId="0" applyFont="1" applyFill="1" applyBorder="1" applyAlignment="1">
      <alignment horizontal="right" vertical="center"/>
    </xf>
    <xf numFmtId="164" fontId="11" fillId="0" borderId="0" xfId="0" applyFont="1" applyFill="1" applyBorder="1" applyAlignment="1" applyProtection="1">
      <alignment horizontal="center"/>
      <protection locked="0"/>
    </xf>
    <xf numFmtId="164" fontId="10" fillId="2" borderId="11" xfId="0" applyFont="1" applyFill="1" applyBorder="1" applyAlignment="1">
      <alignment horizontal="center" vertical="center"/>
    </xf>
    <xf numFmtId="164" fontId="10" fillId="2" borderId="7" xfId="0" applyFont="1" applyFill="1" applyBorder="1" applyAlignment="1">
      <alignment horizontal="center" vertical="center"/>
    </xf>
    <xf numFmtId="164" fontId="10" fillId="2" borderId="12" xfId="0" applyFont="1" applyFill="1" applyBorder="1" applyAlignment="1">
      <alignment horizontal="center" vertical="center"/>
    </xf>
    <xf numFmtId="164" fontId="10" fillId="2" borderId="8" xfId="0" applyFont="1" applyFill="1" applyBorder="1" applyAlignment="1">
      <alignment horizontal="center" vertical="center"/>
    </xf>
    <xf numFmtId="164" fontId="10" fillId="2" borderId="9" xfId="0" applyFont="1" applyFill="1" applyBorder="1" applyAlignment="1">
      <alignment horizontal="center" vertical="center"/>
    </xf>
    <xf numFmtId="164" fontId="10" fillId="2" borderId="10" xfId="0" applyFont="1" applyFill="1" applyBorder="1" applyAlignment="1">
      <alignment horizontal="center" vertical="center"/>
    </xf>
    <xf numFmtId="164" fontId="4" fillId="14" borderId="2" xfId="6" applyNumberFormat="1" applyBorder="1" applyAlignment="1" applyProtection="1">
      <alignment horizontal="center" vertical="center"/>
      <protection locked="0"/>
    </xf>
    <xf numFmtId="164" fontId="4" fillId="14" borderId="4" xfId="6" applyNumberFormat="1" applyBorder="1" applyAlignment="1" applyProtection="1">
      <alignment horizontal="center" vertical="center"/>
      <protection locked="0"/>
    </xf>
    <xf numFmtId="164" fontId="4" fillId="14" borderId="3" xfId="6" applyNumberFormat="1" applyBorder="1" applyAlignment="1" applyProtection="1">
      <alignment horizontal="center" vertical="center"/>
      <protection locked="0"/>
    </xf>
    <xf numFmtId="168" fontId="3" fillId="16" borderId="2" xfId="0" applyNumberFormat="1" applyFont="1" applyFill="1" applyBorder="1" applyAlignment="1" applyProtection="1">
      <alignment horizontal="center" vertical="center"/>
      <protection locked="0"/>
    </xf>
    <xf numFmtId="168" fontId="3" fillId="16" borderId="4" xfId="0" applyNumberFormat="1" applyFont="1" applyFill="1" applyBorder="1" applyAlignment="1" applyProtection="1">
      <alignment horizontal="center" vertical="center"/>
      <protection locked="0"/>
    </xf>
    <xf numFmtId="168" fontId="3" fillId="16" borderId="3" xfId="0" applyNumberFormat="1" applyFont="1" applyFill="1" applyBorder="1" applyAlignment="1" applyProtection="1">
      <alignment horizontal="center" vertical="center"/>
      <protection locked="0"/>
    </xf>
    <xf numFmtId="164" fontId="3" fillId="16" borderId="2" xfId="0" applyNumberFormat="1" applyFont="1" applyFill="1" applyBorder="1" applyAlignment="1" applyProtection="1">
      <alignment horizontal="center" vertical="center"/>
      <protection locked="0"/>
    </xf>
    <xf numFmtId="164" fontId="3" fillId="16" borderId="4" xfId="0" applyNumberFormat="1" applyFont="1" applyFill="1" applyBorder="1" applyAlignment="1" applyProtection="1">
      <alignment horizontal="center" vertical="center"/>
      <protection locked="0"/>
    </xf>
    <xf numFmtId="164" fontId="3" fillId="16" borderId="3" xfId="0" applyNumberFormat="1" applyFont="1" applyFill="1" applyBorder="1" applyAlignment="1" applyProtection="1">
      <alignment horizontal="center" vertical="center"/>
      <protection locked="0"/>
    </xf>
    <xf numFmtId="164" fontId="12" fillId="7" borderId="4" xfId="0" applyFont="1" applyFill="1" applyBorder="1" applyAlignment="1">
      <alignment horizontal="center"/>
    </xf>
  </cellXfs>
  <cellStyles count="9">
    <cellStyle name="20% - Accent3" xfId="6" builtinId="38"/>
    <cellStyle name="20% - Accent6" xfId="8" builtinId="50"/>
    <cellStyle name="Accent3" xfId="5" builtinId="37"/>
    <cellStyle name="Accent6" xfId="7" builtinId="49"/>
    <cellStyle name="Comma" xfId="3" builtinId="3"/>
    <cellStyle name="Currency" xfId="1" builtinId="4"/>
    <cellStyle name="Normal" xfId="0" builtinId="0"/>
    <cellStyle name="Normal 2" xfId="2"/>
    <cellStyle name="Percent" xfId="4" builtinId="5"/>
  </cellStyles>
  <dxfs count="9"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24994659260841701"/>
      </font>
      <fill>
        <patternFill>
          <bgColor theme="1" tint="0.24994659260841701"/>
        </patternFill>
      </fill>
      <border>
        <left/>
        <right/>
        <top/>
        <bottom/>
      </border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theme="3" tint="0.39994506668294322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theme="0"/>
      </font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3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E7"/>
      <color rgb="FFFFFFCC"/>
      <color rgb="FFE1F0FF"/>
      <color rgb="FF99CC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19043</xdr:rowOff>
    </xdr:from>
    <xdr:to>
      <xdr:col>12</xdr:col>
      <xdr:colOff>173355</xdr:colOff>
      <xdr:row>3</xdr:row>
      <xdr:rowOff>174910</xdr:rowOff>
    </xdr:to>
    <xdr:pic>
      <xdr:nvPicPr>
        <xdr:cNvPr id="2" name="Picture 113" descr="Encore 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9043"/>
          <a:ext cx="2468880" cy="8416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48</xdr:col>
      <xdr:colOff>314325</xdr:colOff>
      <xdr:row>1</xdr:row>
      <xdr:rowOff>190500</xdr:rowOff>
    </xdr:from>
    <xdr:to>
      <xdr:col>48</xdr:col>
      <xdr:colOff>1045845</xdr:colOff>
      <xdr:row>5</xdr:row>
      <xdr:rowOff>7620</xdr:rowOff>
    </xdr:to>
    <xdr:sp macro="[0]!ClearContent" textlink="">
      <xdr:nvSpPr>
        <xdr:cNvPr id="3" name="Rounded Rectangle 2"/>
        <xdr:cNvSpPr/>
      </xdr:nvSpPr>
      <xdr:spPr>
        <a:xfrm>
          <a:off x="10182225" y="419100"/>
          <a:ext cx="731520" cy="731520"/>
        </a:xfrm>
        <a:prstGeom prst="roundRect">
          <a:avLst/>
        </a:prstGeom>
        <a:gradFill>
          <a:gsLst>
            <a:gs pos="100000">
              <a:schemeClr val="accent6">
                <a:lumMod val="75000"/>
              </a:schemeClr>
            </a:gs>
            <a:gs pos="100000">
              <a:schemeClr val="accent2">
                <a:shade val="93000"/>
                <a:satMod val="130000"/>
              </a:schemeClr>
            </a:gs>
            <a:gs pos="100000">
              <a:schemeClr val="accent2">
                <a:shade val="94000"/>
                <a:satMod val="135000"/>
              </a:schemeClr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Clear Contents</a:t>
          </a:r>
        </a:p>
      </xdr:txBody>
    </xdr:sp>
    <xdr:clientData/>
  </xdr:twoCellAnchor>
  <xdr:twoCellAnchor>
    <xdr:from>
      <xdr:col>48</xdr:col>
      <xdr:colOff>1104900</xdr:colOff>
      <xdr:row>1</xdr:row>
      <xdr:rowOff>180975</xdr:rowOff>
    </xdr:from>
    <xdr:to>
      <xdr:col>49</xdr:col>
      <xdr:colOff>207645</xdr:colOff>
      <xdr:row>4</xdr:row>
      <xdr:rowOff>226695</xdr:rowOff>
    </xdr:to>
    <xdr:sp macro="[0]!DontRunUtil" textlink="">
      <xdr:nvSpPr>
        <xdr:cNvPr id="4" name="Rounded Rectangle 3"/>
        <xdr:cNvSpPr/>
      </xdr:nvSpPr>
      <xdr:spPr>
        <a:xfrm>
          <a:off x="10972800" y="409575"/>
          <a:ext cx="731520" cy="73152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Save As</a:t>
          </a:r>
        </a:p>
      </xdr:txBody>
    </xdr:sp>
    <xdr:clientData/>
  </xdr:twoCellAnchor>
  <xdr:twoCellAnchor>
    <xdr:from>
      <xdr:col>49</xdr:col>
      <xdr:colOff>276225</xdr:colOff>
      <xdr:row>1</xdr:row>
      <xdr:rowOff>180975</xdr:rowOff>
    </xdr:from>
    <xdr:to>
      <xdr:col>49</xdr:col>
      <xdr:colOff>1007745</xdr:colOff>
      <xdr:row>4</xdr:row>
      <xdr:rowOff>226695</xdr:rowOff>
    </xdr:to>
    <xdr:sp macro="[0]!AttachActiveSheetPDF" textlink="">
      <xdr:nvSpPr>
        <xdr:cNvPr id="5" name="Rounded Rectangle 4"/>
        <xdr:cNvSpPr/>
      </xdr:nvSpPr>
      <xdr:spPr>
        <a:xfrm>
          <a:off x="11772900" y="409575"/>
          <a:ext cx="731520" cy="73152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Email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X116"/>
  <sheetViews>
    <sheetView tabSelected="1" zoomScale="86" zoomScaleNormal="86" workbookViewId="0">
      <selection activeCell="H7" sqref="H7:T7"/>
    </sheetView>
  </sheetViews>
  <sheetFormatPr defaultColWidth="0" defaultRowHeight="15" zeroHeight="1" x14ac:dyDescent="0.25"/>
  <cols>
    <col min="1" max="19" width="3.140625" style="12" customWidth="1"/>
    <col min="20" max="20" width="1.7109375" style="12" customWidth="1"/>
    <col min="21" max="29" width="3.140625" style="12" customWidth="1"/>
    <col min="30" max="30" width="1.7109375" style="12" customWidth="1"/>
    <col min="31" max="48" width="3.140625" style="12" customWidth="1"/>
    <col min="49" max="49" width="24.42578125" style="13" bestFit="1" customWidth="1"/>
    <col min="50" max="50" width="17.5703125" style="13" bestFit="1" customWidth="1"/>
    <col min="51" max="16384" width="9.140625" style="13" hidden="1"/>
  </cols>
  <sheetData>
    <row r="1" spans="1:50" ht="18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103" t="s">
        <v>183</v>
      </c>
      <c r="AX1" s="103"/>
    </row>
    <row r="2" spans="1:50" ht="18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156" t="str">
        <f>IF(B11="","Report Template",VLOOKUP($B$11,'Pick Sheet'!$AE$2:$AF$22,2,FALSE))</f>
        <v>Report Template</v>
      </c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8"/>
      <c r="AN2" s="2"/>
      <c r="AO2" s="2"/>
      <c r="AP2" s="2"/>
      <c r="AQ2" s="2"/>
      <c r="AR2" s="2"/>
      <c r="AS2" s="2"/>
      <c r="AT2" s="2"/>
      <c r="AU2" s="2"/>
      <c r="AV2" s="2"/>
      <c r="AW2" s="8"/>
      <c r="AX2" s="8"/>
    </row>
    <row r="3" spans="1:50" ht="18" customHeight="1" x14ac:dyDescent="0.2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159"/>
      <c r="P3" s="160"/>
      <c r="Q3" s="160"/>
      <c r="R3" s="160"/>
      <c r="S3" s="160"/>
      <c r="T3" s="160"/>
      <c r="U3" s="160"/>
      <c r="V3" s="160"/>
      <c r="W3" s="160"/>
      <c r="X3" s="160"/>
      <c r="Y3" s="160"/>
      <c r="Z3" s="160"/>
      <c r="AA3" s="160"/>
      <c r="AB3" s="160"/>
      <c r="AC3" s="160"/>
      <c r="AD3" s="160"/>
      <c r="AE3" s="160"/>
      <c r="AF3" s="160"/>
      <c r="AG3" s="160"/>
      <c r="AH3" s="160"/>
      <c r="AI3" s="160"/>
      <c r="AJ3" s="160"/>
      <c r="AK3" s="160"/>
      <c r="AL3" s="160"/>
      <c r="AM3" s="161"/>
      <c r="AN3" s="2"/>
      <c r="AO3" s="155" t="str">
        <f ca="1">CONCATENATE(YEAR($AP$7)," ",MONTH(AP$7)," ",DAY($AP$7)," ",$AX$11," ",$AX$18," ","0",$AX$40," ",$AX$20,)</f>
        <v>2016 5 12 0 0 00 0</v>
      </c>
      <c r="AP3" s="155"/>
      <c r="AQ3" s="155"/>
      <c r="AR3" s="155"/>
      <c r="AS3" s="155"/>
      <c r="AT3" s="155"/>
      <c r="AU3" s="155"/>
      <c r="AV3" s="2"/>
      <c r="AW3" s="8"/>
      <c r="AX3" s="8"/>
    </row>
    <row r="4" spans="1:50" ht="18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52"/>
      <c r="V4" s="52"/>
      <c r="W4" s="52"/>
      <c r="X4" s="52"/>
      <c r="Y4" s="5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8"/>
      <c r="AX4" s="8"/>
    </row>
    <row r="5" spans="1:50" ht="18" customHeight="1" x14ac:dyDescent="0.25">
      <c r="A5" s="3"/>
      <c r="B5" s="151" t="s">
        <v>0</v>
      </c>
      <c r="C5" s="151"/>
      <c r="D5" s="151"/>
      <c r="E5" s="151"/>
      <c r="F5" s="151"/>
      <c r="G5" s="151"/>
      <c r="H5" s="114" t="s">
        <v>1</v>
      </c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6"/>
      <c r="U5" s="114" t="s">
        <v>2</v>
      </c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6"/>
      <c r="AK5" s="114" t="s">
        <v>3</v>
      </c>
      <c r="AL5" s="115"/>
      <c r="AM5" s="115"/>
      <c r="AN5" s="115"/>
      <c r="AO5" s="116"/>
      <c r="AP5" s="114" t="s">
        <v>4</v>
      </c>
      <c r="AQ5" s="115"/>
      <c r="AR5" s="115"/>
      <c r="AS5" s="115"/>
      <c r="AT5" s="115"/>
      <c r="AU5" s="116"/>
      <c r="AV5" s="3"/>
      <c r="AW5" s="8"/>
      <c r="AX5" s="8"/>
    </row>
    <row r="6" spans="1:50" ht="5.0999999999999996" customHeight="1" x14ac:dyDescent="0.25">
      <c r="A6" s="3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3"/>
      <c r="AW6" s="8"/>
      <c r="AX6" s="8"/>
    </row>
    <row r="7" spans="1:50" ht="18" customHeight="1" x14ac:dyDescent="0.25">
      <c r="A7" s="3"/>
      <c r="B7" s="102"/>
      <c r="C7" s="102"/>
      <c r="D7" s="102"/>
      <c r="E7" s="102"/>
      <c r="F7" s="102"/>
      <c r="G7" s="102"/>
      <c r="H7" s="128"/>
      <c r="I7" s="128"/>
      <c r="J7" s="128"/>
      <c r="K7" s="128"/>
      <c r="L7" s="128"/>
      <c r="M7" s="128"/>
      <c r="N7" s="128"/>
      <c r="O7" s="128"/>
      <c r="P7" s="128"/>
      <c r="Q7" s="128"/>
      <c r="R7" s="128"/>
      <c r="S7" s="128"/>
      <c r="T7" s="128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50">
        <f ca="1">TODAY()</f>
        <v>42502</v>
      </c>
      <c r="AQ7" s="102"/>
      <c r="AR7" s="102"/>
      <c r="AS7" s="102"/>
      <c r="AT7" s="102"/>
      <c r="AU7" s="102"/>
      <c r="AV7" s="3"/>
      <c r="AW7" s="8"/>
      <c r="AX7" s="8"/>
    </row>
    <row r="8" spans="1:50" ht="5.0999999999999996" customHeight="1" x14ac:dyDescent="0.25">
      <c r="A8" s="3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3"/>
      <c r="AW8" s="8"/>
      <c r="AX8" s="8"/>
    </row>
    <row r="9" spans="1:50" ht="18" customHeight="1" x14ac:dyDescent="0.25">
      <c r="A9" s="3"/>
      <c r="B9" s="151" t="s">
        <v>43</v>
      </c>
      <c r="C9" s="151"/>
      <c r="D9" s="151"/>
      <c r="E9" s="151"/>
      <c r="F9" s="151"/>
      <c r="G9" s="151"/>
      <c r="H9" s="151" t="s">
        <v>170</v>
      </c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 t="s">
        <v>5</v>
      </c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 t="s">
        <v>6</v>
      </c>
      <c r="AL9" s="151"/>
      <c r="AM9" s="151"/>
      <c r="AN9" s="151"/>
      <c r="AO9" s="151"/>
      <c r="AP9" s="151" t="s">
        <v>7</v>
      </c>
      <c r="AQ9" s="151"/>
      <c r="AR9" s="151"/>
      <c r="AS9" s="151"/>
      <c r="AT9" s="151"/>
      <c r="AU9" s="151"/>
      <c r="AV9" s="3"/>
      <c r="AW9" s="8"/>
      <c r="AX9" s="8"/>
    </row>
    <row r="10" spans="1:50" ht="5.0999999999999996" customHeight="1" x14ac:dyDescent="0.25">
      <c r="A10" s="3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3"/>
      <c r="AW10" s="8"/>
      <c r="AX10" s="8"/>
    </row>
    <row r="11" spans="1:50" ht="18" customHeight="1" x14ac:dyDescent="0.25">
      <c r="A11" s="3"/>
      <c r="B11" s="128"/>
      <c r="C11" s="128"/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128"/>
      <c r="T11" s="128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28"/>
      <c r="AL11" s="128"/>
      <c r="AM11" s="128"/>
      <c r="AN11" s="128"/>
      <c r="AO11" s="128"/>
      <c r="AP11" s="117"/>
      <c r="AQ11" s="118"/>
      <c r="AR11" s="118"/>
      <c r="AS11" s="118"/>
      <c r="AT11" s="118"/>
      <c r="AU11" s="149"/>
      <c r="AV11" s="3"/>
      <c r="AW11" s="8" t="s">
        <v>44</v>
      </c>
      <c r="AX11" s="8">
        <f ca="1">IF($B$15="",0,$B$15)</f>
        <v>0</v>
      </c>
    </row>
    <row r="12" spans="1:50" ht="5.0999999999999996" customHeight="1" x14ac:dyDescent="0.25">
      <c r="A12" s="3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3"/>
      <c r="AW12" s="8"/>
      <c r="AX12" s="8"/>
    </row>
    <row r="13" spans="1:50" ht="18" customHeight="1" x14ac:dyDescent="0.25">
      <c r="A13" s="3"/>
      <c r="B13" s="151" t="s">
        <v>44</v>
      </c>
      <c r="C13" s="151"/>
      <c r="D13" s="151"/>
      <c r="E13" s="151"/>
      <c r="F13" s="151"/>
      <c r="G13" s="151"/>
      <c r="H13" s="151" t="s">
        <v>38</v>
      </c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14" t="s">
        <v>8</v>
      </c>
      <c r="V13" s="115"/>
      <c r="W13" s="115"/>
      <c r="X13" s="115"/>
      <c r="Y13" s="115"/>
      <c r="Z13" s="115"/>
      <c r="AA13" s="115"/>
      <c r="AB13" s="116"/>
      <c r="AC13" s="148"/>
      <c r="AD13" s="148"/>
      <c r="AE13" s="148"/>
      <c r="AF13" s="148"/>
      <c r="AG13" s="148"/>
      <c r="AH13" s="148"/>
      <c r="AI13" s="148"/>
      <c r="AJ13" s="148"/>
      <c r="AK13" s="151" t="s">
        <v>45</v>
      </c>
      <c r="AL13" s="151"/>
      <c r="AM13" s="151"/>
      <c r="AN13" s="151"/>
      <c r="AO13" s="151"/>
      <c r="AP13" s="151" t="s">
        <v>46</v>
      </c>
      <c r="AQ13" s="151"/>
      <c r="AR13" s="151"/>
      <c r="AS13" s="151"/>
      <c r="AT13" s="151"/>
      <c r="AU13" s="151"/>
      <c r="AV13" s="3"/>
      <c r="AW13" s="8" t="s">
        <v>188</v>
      </c>
      <c r="AX13" s="8"/>
    </row>
    <row r="14" spans="1:50" ht="5.0999999999999996" customHeight="1" x14ac:dyDescent="0.25">
      <c r="A14" s="3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3"/>
      <c r="AW14" s="8"/>
      <c r="AX14" s="8"/>
    </row>
    <row r="15" spans="1:50" ht="18" customHeight="1" x14ac:dyDescent="0.25">
      <c r="A15" s="3"/>
      <c r="B15" s="147" t="str">
        <f ca="1">IFERROR(VLOOKUP(ServiceMan,EmpLookup,2,FALSE),"")</f>
        <v/>
      </c>
      <c r="C15" s="147"/>
      <c r="D15" s="147"/>
      <c r="E15" s="147"/>
      <c r="F15" s="147"/>
      <c r="G15" s="147"/>
      <c r="H15" s="138"/>
      <c r="I15" s="139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40"/>
      <c r="U15" s="117"/>
      <c r="V15" s="118"/>
      <c r="W15" s="118"/>
      <c r="X15" s="118"/>
      <c r="Y15" s="118"/>
      <c r="Z15" s="118"/>
      <c r="AA15" s="118"/>
      <c r="AB15" s="149"/>
      <c r="AC15" s="148"/>
      <c r="AD15" s="148"/>
      <c r="AE15" s="148"/>
      <c r="AF15" s="148"/>
      <c r="AG15" s="148"/>
      <c r="AH15" s="148"/>
      <c r="AI15" s="148"/>
      <c r="AJ15" s="148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3"/>
      <c r="AW15" s="8" t="s">
        <v>38</v>
      </c>
      <c r="AX15" s="10">
        <f>IF($H$15="",0,$H$15)</f>
        <v>0</v>
      </c>
    </row>
    <row r="16" spans="1:50" ht="5.0999999999999996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8"/>
      <c r="AX16" s="8"/>
    </row>
    <row r="17" spans="1:50" ht="18" customHeight="1" x14ac:dyDescent="0.25">
      <c r="A17" s="2"/>
      <c r="B17" s="114" t="s">
        <v>48</v>
      </c>
      <c r="C17" s="115"/>
      <c r="D17" s="115"/>
      <c r="E17" s="115"/>
      <c r="F17" s="115"/>
      <c r="G17" s="115"/>
      <c r="H17" s="115"/>
      <c r="I17" s="115"/>
      <c r="J17" s="115"/>
      <c r="K17" s="115"/>
      <c r="L17" s="115"/>
      <c r="M17" s="115"/>
      <c r="N17" s="115"/>
      <c r="O17" s="115"/>
      <c r="P17" s="115"/>
      <c r="Q17" s="115"/>
      <c r="R17" s="115"/>
      <c r="S17" s="116"/>
      <c r="T17" s="3"/>
      <c r="U17" s="114" t="s">
        <v>49</v>
      </c>
      <c r="V17" s="115"/>
      <c r="W17" s="115"/>
      <c r="X17" s="115"/>
      <c r="Y17" s="115"/>
      <c r="Z17" s="115"/>
      <c r="AA17" s="115"/>
      <c r="AB17" s="115"/>
      <c r="AC17" s="116"/>
      <c r="AD17" s="2"/>
      <c r="AE17" s="114" t="s">
        <v>37</v>
      </c>
      <c r="AF17" s="115"/>
      <c r="AG17" s="115"/>
      <c r="AH17" s="115"/>
      <c r="AI17" s="115"/>
      <c r="AJ17" s="115"/>
      <c r="AK17" s="115"/>
      <c r="AL17" s="115"/>
      <c r="AM17" s="115"/>
      <c r="AN17" s="115"/>
      <c r="AO17" s="115"/>
      <c r="AP17" s="115"/>
      <c r="AQ17" s="115"/>
      <c r="AR17" s="115"/>
      <c r="AS17" s="115"/>
      <c r="AT17" s="115"/>
      <c r="AU17" s="116"/>
      <c r="AV17" s="2"/>
      <c r="AW17" s="8" t="s">
        <v>4</v>
      </c>
      <c r="AX17" s="11">
        <f ca="1">AP7</f>
        <v>42502</v>
      </c>
    </row>
    <row r="18" spans="1:50" ht="18" customHeight="1" x14ac:dyDescent="0.25">
      <c r="A18" s="2"/>
      <c r="B18" s="146" t="s">
        <v>172</v>
      </c>
      <c r="C18" s="146"/>
      <c r="D18" s="146"/>
      <c r="E18" s="146"/>
      <c r="F18" s="146"/>
      <c r="G18" s="146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4"/>
      <c r="U18" s="112" t="s">
        <v>16</v>
      </c>
      <c r="V18" s="112"/>
      <c r="W18" s="112"/>
      <c r="X18" s="112"/>
      <c r="Y18" s="112"/>
      <c r="Z18" s="112"/>
      <c r="AA18" s="133">
        <f>IFERROR(INDEX('Rate Matrix'!$C$2:$V$70,MATCH(Mandatory1,'Rate Matrix'!$B$2:$B$70,0),MATCH("Rate Per Mile",'Rate Matrix'!$C$1:$V$1,0)),0)</f>
        <v>0</v>
      </c>
      <c r="AB18" s="134"/>
      <c r="AC18" s="135"/>
      <c r="AD18" s="2"/>
      <c r="AE18" s="108" t="s">
        <v>23</v>
      </c>
      <c r="AF18" s="109"/>
      <c r="AG18" s="109"/>
      <c r="AH18" s="109"/>
      <c r="AI18" s="109"/>
      <c r="AJ18" s="109"/>
      <c r="AK18" s="109"/>
      <c r="AL18" s="109"/>
      <c r="AM18" s="110"/>
      <c r="AN18" s="108" t="s">
        <v>24</v>
      </c>
      <c r="AO18" s="110"/>
      <c r="AP18" s="108" t="s">
        <v>25</v>
      </c>
      <c r="AQ18" s="109"/>
      <c r="AR18" s="109"/>
      <c r="AS18" s="109"/>
      <c r="AT18" s="109"/>
      <c r="AU18" s="110"/>
      <c r="AV18" s="2"/>
      <c r="AW18" s="8" t="s">
        <v>0</v>
      </c>
      <c r="AX18" s="10">
        <f>IF($B$7="",0,$B$7)</f>
        <v>0</v>
      </c>
    </row>
    <row r="19" spans="1:50" ht="18" customHeight="1" x14ac:dyDescent="0.25">
      <c r="A19" s="2"/>
      <c r="B19" s="119" t="s">
        <v>9</v>
      </c>
      <c r="C19" s="119"/>
      <c r="D19" s="119"/>
      <c r="E19" s="119"/>
      <c r="F19" s="119"/>
      <c r="G19" s="119"/>
      <c r="H19" s="119" t="s">
        <v>10</v>
      </c>
      <c r="I19" s="119"/>
      <c r="J19" s="119"/>
      <c r="K19" s="119"/>
      <c r="L19" s="119"/>
      <c r="M19" s="119"/>
      <c r="N19" s="119" t="s">
        <v>15</v>
      </c>
      <c r="O19" s="119"/>
      <c r="P19" s="119"/>
      <c r="Q19" s="119"/>
      <c r="R19" s="119"/>
      <c r="S19" s="119"/>
      <c r="T19" s="5"/>
      <c r="U19" s="112" t="s">
        <v>50</v>
      </c>
      <c r="V19" s="112"/>
      <c r="W19" s="112"/>
      <c r="X19" s="112"/>
      <c r="Y19" s="112"/>
      <c r="Z19" s="112"/>
      <c r="AA19" s="136"/>
      <c r="AB19" s="136"/>
      <c r="AC19" s="136"/>
      <c r="AD19" s="2"/>
      <c r="AE19" s="104"/>
      <c r="AF19" s="105"/>
      <c r="AG19" s="105"/>
      <c r="AH19" s="105"/>
      <c r="AI19" s="105"/>
      <c r="AJ19" s="105"/>
      <c r="AK19" s="105"/>
      <c r="AL19" s="105"/>
      <c r="AM19" s="106"/>
      <c r="AN19" s="104"/>
      <c r="AO19" s="106"/>
      <c r="AP19" s="104"/>
      <c r="AQ19" s="105"/>
      <c r="AR19" s="105"/>
      <c r="AS19" s="105"/>
      <c r="AT19" s="105"/>
      <c r="AU19" s="106"/>
      <c r="AV19" s="2"/>
      <c r="AW19" s="8" t="s">
        <v>43</v>
      </c>
      <c r="AX19" s="10">
        <f>IF($B$11="",0,$B$11)</f>
        <v>0</v>
      </c>
    </row>
    <row r="20" spans="1:50" ht="18" customHeight="1" x14ac:dyDescent="0.25">
      <c r="A20" s="2"/>
      <c r="B20" s="119" t="s">
        <v>13</v>
      </c>
      <c r="C20" s="119"/>
      <c r="D20" s="119"/>
      <c r="E20" s="119" t="s">
        <v>14</v>
      </c>
      <c r="F20" s="119"/>
      <c r="G20" s="119"/>
      <c r="H20" s="119" t="s">
        <v>11</v>
      </c>
      <c r="I20" s="119"/>
      <c r="J20" s="119"/>
      <c r="K20" s="119" t="s">
        <v>12</v>
      </c>
      <c r="L20" s="119"/>
      <c r="M20" s="119"/>
      <c r="N20" s="119" t="s">
        <v>11</v>
      </c>
      <c r="O20" s="119"/>
      <c r="P20" s="119"/>
      <c r="Q20" s="119" t="s">
        <v>12</v>
      </c>
      <c r="R20" s="119"/>
      <c r="S20" s="119"/>
      <c r="T20" s="3"/>
      <c r="U20" s="112" t="s">
        <v>51</v>
      </c>
      <c r="V20" s="112"/>
      <c r="W20" s="112"/>
      <c r="X20" s="112"/>
      <c r="Y20" s="112"/>
      <c r="Z20" s="112"/>
      <c r="AA20" s="136"/>
      <c r="AB20" s="136"/>
      <c r="AC20" s="136"/>
      <c r="AD20" s="2"/>
      <c r="AE20" s="119" t="s">
        <v>26</v>
      </c>
      <c r="AF20" s="119"/>
      <c r="AG20" s="108" t="s">
        <v>53</v>
      </c>
      <c r="AH20" s="109"/>
      <c r="AI20" s="110"/>
      <c r="AJ20" s="119" t="s">
        <v>54</v>
      </c>
      <c r="AK20" s="119"/>
      <c r="AL20" s="119"/>
      <c r="AM20" s="119"/>
      <c r="AN20" s="119"/>
      <c r="AO20" s="119"/>
      <c r="AP20" s="131" t="s">
        <v>27</v>
      </c>
      <c r="AQ20" s="131"/>
      <c r="AR20" s="130" t="s">
        <v>55</v>
      </c>
      <c r="AS20" s="130"/>
      <c r="AT20" s="130"/>
      <c r="AU20" s="130"/>
      <c r="AV20" s="2"/>
      <c r="AW20" s="8" t="s">
        <v>170</v>
      </c>
      <c r="AX20" s="10">
        <f>IF($H$11="",0,VLOOKUP($H$11,ChargeToLookup,2))</f>
        <v>0</v>
      </c>
    </row>
    <row r="21" spans="1:50" ht="18" customHeight="1" x14ac:dyDescent="0.25">
      <c r="A21" s="3"/>
      <c r="B21" s="138"/>
      <c r="C21" s="139"/>
      <c r="D21" s="140"/>
      <c r="E21" s="138"/>
      <c r="F21" s="139"/>
      <c r="G21" s="140"/>
      <c r="H21" s="133" t="str">
        <f ca="1">IF(Overtime!$E$12,Overtime!$E$12,"")</f>
        <v/>
      </c>
      <c r="I21" s="134"/>
      <c r="J21" s="135"/>
      <c r="K21" s="133" t="str">
        <f ca="1">IF(Overtime!$E$11,Overtime!$E$11,"")</f>
        <v/>
      </c>
      <c r="L21" s="134"/>
      <c r="M21" s="135"/>
      <c r="N21" s="141" t="str">
        <f>IFERROR(IF($B21="","",INDEX(ServiceRates,MATCH(Output!$H$7,CustomerNames,0),MATCH(Output!$H$18,ServiceRate,0))*$H21),"")</f>
        <v/>
      </c>
      <c r="O21" s="141"/>
      <c r="P21" s="141"/>
      <c r="Q21" s="142" t="str">
        <f>IFERROR(IF($B21="","",INDEX(ServiceRates,MATCH(Output!$H$7,CustomerNames,0),MATCH(Output!$H$18,ServiceRate,0))*INDEX(OTCalc,MATCH($H$7,CustomerNames,0))*$K21),"")</f>
        <v/>
      </c>
      <c r="R21" s="143"/>
      <c r="S21" s="144"/>
      <c r="T21" s="3"/>
      <c r="U21" s="112" t="s">
        <v>17</v>
      </c>
      <c r="V21" s="112"/>
      <c r="W21" s="112"/>
      <c r="X21" s="112"/>
      <c r="Y21" s="112"/>
      <c r="Z21" s="112"/>
      <c r="AA21" s="136">
        <f>SUM(AA19:AC20)</f>
        <v>0</v>
      </c>
      <c r="AB21" s="136"/>
      <c r="AC21" s="136"/>
      <c r="AD21" s="3"/>
      <c r="AE21" s="132" t="s">
        <v>28</v>
      </c>
      <c r="AF21" s="13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3"/>
      <c r="AW21" s="8" t="s">
        <v>217</v>
      </c>
      <c r="AX21" s="10">
        <f>IF(Clear15="",0,Clear15)</f>
        <v>0</v>
      </c>
    </row>
    <row r="22" spans="1:50" ht="18" customHeight="1" x14ac:dyDescent="0.25">
      <c r="A22" s="3"/>
      <c r="B22" s="138"/>
      <c r="C22" s="139"/>
      <c r="D22" s="140"/>
      <c r="E22" s="138"/>
      <c r="F22" s="139"/>
      <c r="G22" s="140"/>
      <c r="H22" s="133" t="str">
        <f ca="1">IF(Overtime!$F$12,Overtime!$F$12,"")</f>
        <v/>
      </c>
      <c r="I22" s="134"/>
      <c r="J22" s="135"/>
      <c r="K22" s="133" t="str">
        <f ca="1">IF(Overtime!$F$11,Overtime!$F$11,"")</f>
        <v/>
      </c>
      <c r="L22" s="134"/>
      <c r="M22" s="135"/>
      <c r="N22" s="141" t="str">
        <f>IFERROR(IF($B22="","",INDEX(ServiceRates,MATCH(Output!$H$7,CustomerNames,0),MATCH(Output!$H$18,ServiceRate,0))*$H22),"")</f>
        <v/>
      </c>
      <c r="O22" s="141"/>
      <c r="P22" s="141"/>
      <c r="Q22" s="142" t="str">
        <f>IFERROR(IF($B22="","",INDEX(ServiceRates,MATCH(Output!$H$7,CustomerNames,0),MATCH(Output!$H$18,ServiceRate,0))*INDEX(OTCalc,MATCH($H$7,CustomerNames,0))*$K22),"")</f>
        <v/>
      </c>
      <c r="R22" s="143"/>
      <c r="S22" s="144"/>
      <c r="T22" s="3"/>
      <c r="U22" s="112" t="s">
        <v>18</v>
      </c>
      <c r="V22" s="112"/>
      <c r="W22" s="112"/>
      <c r="X22" s="112"/>
      <c r="Y22" s="112"/>
      <c r="Z22" s="112"/>
      <c r="AA22" s="137">
        <f>IF($AA$18="","",AA21*AA18)</f>
        <v>0</v>
      </c>
      <c r="AB22" s="137"/>
      <c r="AC22" s="137"/>
      <c r="AD22" s="3"/>
      <c r="AE22" s="132" t="s">
        <v>29</v>
      </c>
      <c r="AF22" s="132"/>
      <c r="AG22" s="102"/>
      <c r="AH22" s="102"/>
      <c r="AI22" s="102"/>
      <c r="AJ22" s="102"/>
      <c r="AK22" s="102"/>
      <c r="AL22" s="102"/>
      <c r="AM22" s="102"/>
      <c r="AN22" s="102"/>
      <c r="AO22" s="102"/>
      <c r="AP22" s="130" t="s">
        <v>181</v>
      </c>
      <c r="AQ22" s="130"/>
      <c r="AR22" s="130" t="s">
        <v>182</v>
      </c>
      <c r="AS22" s="130"/>
      <c r="AT22" s="130"/>
      <c r="AU22" s="130"/>
      <c r="AV22" s="3"/>
      <c r="AW22" s="8" t="s">
        <v>218</v>
      </c>
      <c r="AX22" s="8">
        <f ca="1">SUM(AX23:AX24)</f>
        <v>0</v>
      </c>
    </row>
    <row r="23" spans="1:50" ht="18" customHeight="1" x14ac:dyDescent="0.25">
      <c r="A23" s="3"/>
      <c r="B23" s="138"/>
      <c r="C23" s="139"/>
      <c r="D23" s="140"/>
      <c r="E23" s="138"/>
      <c r="F23" s="139"/>
      <c r="G23" s="140"/>
      <c r="H23" s="133" t="str">
        <f ca="1">IF(Overtime!$G$12,Overtime!$G$12,"")</f>
        <v/>
      </c>
      <c r="I23" s="134"/>
      <c r="J23" s="135"/>
      <c r="K23" s="133" t="str">
        <f ca="1">IF(Overtime!$G$11,Overtime!$G$11,"")</f>
        <v/>
      </c>
      <c r="L23" s="134"/>
      <c r="M23" s="135"/>
      <c r="N23" s="141" t="str">
        <f>IFERROR(IF($B23="","",INDEX(ServiceRates,MATCH(Output!$H$7,CustomerNames,0),MATCH(Output!$H$18,ServiceRate,0))*$H23),"")</f>
        <v/>
      </c>
      <c r="O23" s="141"/>
      <c r="P23" s="141"/>
      <c r="Q23" s="142" t="str">
        <f>IFERROR(IF($B23="","",INDEX(ServiceRates,MATCH(Output!$H$7,CustomerNames,0),MATCH(Output!$H$18,ServiceRate,0))*INDEX(OTCalc,MATCH($H$7,CustomerNames,0))*$K23),"")</f>
        <v/>
      </c>
      <c r="R23" s="143"/>
      <c r="S23" s="144"/>
      <c r="T23" s="3"/>
      <c r="U23" s="123"/>
      <c r="V23" s="124"/>
      <c r="W23" s="124"/>
      <c r="X23" s="124"/>
      <c r="Y23" s="124"/>
      <c r="Z23" s="124"/>
      <c r="AA23" s="124"/>
      <c r="AB23" s="124"/>
      <c r="AC23" s="125"/>
      <c r="AD23" s="3"/>
      <c r="AE23" s="132" t="s">
        <v>56</v>
      </c>
      <c r="AF23" s="13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22" t="str">
        <f>IF(AG23="","",((AG23+15)*((AP23/2)^2)*PI())-((AG22+15)*(((AP23/2)^2)*PI()-(($AP$21/2)^2)*PI())))</f>
        <v/>
      </c>
      <c r="AS23" s="122"/>
      <c r="AT23" s="122"/>
      <c r="AU23" s="122"/>
      <c r="AV23" s="3"/>
      <c r="AW23" s="8" t="s">
        <v>11</v>
      </c>
      <c r="AX23" s="8">
        <f ca="1">IF($H$24="",0,$H$24)</f>
        <v>0</v>
      </c>
    </row>
    <row r="24" spans="1:50" ht="18" customHeight="1" x14ac:dyDescent="0.25">
      <c r="A24" s="3"/>
      <c r="B24" s="126" t="s">
        <v>20</v>
      </c>
      <c r="C24" s="127"/>
      <c r="D24" s="127"/>
      <c r="E24" s="127"/>
      <c r="F24" s="127"/>
      <c r="G24" s="145"/>
      <c r="H24" s="136">
        <f ca="1">SUM(H$21:J$23)</f>
        <v>0</v>
      </c>
      <c r="I24" s="132"/>
      <c r="J24" s="132"/>
      <c r="K24" s="136">
        <f ca="1">SUM(K$21:M$23)</f>
        <v>0</v>
      </c>
      <c r="L24" s="132"/>
      <c r="M24" s="132"/>
      <c r="N24" s="119" t="s">
        <v>47</v>
      </c>
      <c r="O24" s="119"/>
      <c r="P24" s="119"/>
      <c r="Q24" s="141">
        <f>SUM(N21:S23)</f>
        <v>0</v>
      </c>
      <c r="R24" s="132"/>
      <c r="S24" s="132"/>
      <c r="T24" s="3"/>
      <c r="U24" s="126" t="s">
        <v>19</v>
      </c>
      <c r="V24" s="127"/>
      <c r="W24" s="127"/>
      <c r="X24" s="127"/>
      <c r="Y24" s="127"/>
      <c r="Z24" s="128"/>
      <c r="AA24" s="128"/>
      <c r="AB24" s="128"/>
      <c r="AC24" s="128"/>
      <c r="AD24" s="3"/>
      <c r="AE24" s="132" t="s">
        <v>30</v>
      </c>
      <c r="AF24" s="13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22" t="str">
        <f t="shared" ref="AR24:AR25" si="0">IF(AG24="","",((AG24+15)*((AP24/2)^2)*PI())-((AG23+15)*(((AP24/2)^2)*PI()-(($AP$21/2)^2)*PI())))</f>
        <v/>
      </c>
      <c r="AS24" s="122"/>
      <c r="AT24" s="122"/>
      <c r="AU24" s="122"/>
      <c r="AV24" s="3"/>
      <c r="AW24" s="8" t="s">
        <v>12</v>
      </c>
      <c r="AX24" s="8">
        <f ca="1">IF($K$24="",0,$K$24)</f>
        <v>0</v>
      </c>
    </row>
    <row r="25" spans="1:50" ht="18" customHeight="1" x14ac:dyDescent="0.25">
      <c r="A25" s="3"/>
      <c r="B25" s="112" t="s">
        <v>22</v>
      </c>
      <c r="C25" s="112"/>
      <c r="D25" s="112"/>
      <c r="E25" s="112"/>
      <c r="F25" s="112"/>
      <c r="G25" s="112"/>
      <c r="H25" s="112"/>
      <c r="I25" s="112"/>
      <c r="J25" s="128"/>
      <c r="K25" s="128"/>
      <c r="L25" s="128"/>
      <c r="M25" s="128"/>
      <c r="N25" s="128"/>
      <c r="O25" s="128"/>
      <c r="P25" s="128"/>
      <c r="Q25" s="128"/>
      <c r="R25" s="128"/>
      <c r="S25" s="128"/>
      <c r="T25" s="3"/>
      <c r="U25" s="126" t="s">
        <v>52</v>
      </c>
      <c r="V25" s="127"/>
      <c r="W25" s="127"/>
      <c r="X25" s="127"/>
      <c r="Y25" s="127"/>
      <c r="Z25" s="128"/>
      <c r="AA25" s="128"/>
      <c r="AB25" s="128"/>
      <c r="AC25" s="128"/>
      <c r="AD25" s="3"/>
      <c r="AE25" s="132" t="s">
        <v>31</v>
      </c>
      <c r="AF25" s="13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22" t="str">
        <f t="shared" si="0"/>
        <v/>
      </c>
      <c r="AS25" s="122"/>
      <c r="AT25" s="122"/>
      <c r="AU25" s="122"/>
      <c r="AV25" s="3"/>
      <c r="AW25" s="8" t="s">
        <v>189</v>
      </c>
      <c r="AX25" s="8"/>
    </row>
    <row r="26" spans="1:50" ht="18" customHeight="1" x14ac:dyDescent="0.25">
      <c r="A26" s="3"/>
      <c r="B26" s="112" t="s">
        <v>21</v>
      </c>
      <c r="C26" s="112"/>
      <c r="D26" s="112"/>
      <c r="E26" s="112"/>
      <c r="F26" s="112"/>
      <c r="G26" s="112"/>
      <c r="H26" s="112"/>
      <c r="I26" s="112"/>
      <c r="J26" s="128"/>
      <c r="K26" s="128"/>
      <c r="L26" s="128"/>
      <c r="M26" s="128"/>
      <c r="N26" s="128"/>
      <c r="O26" s="128"/>
      <c r="P26" s="128"/>
      <c r="Q26" s="128"/>
      <c r="R26" s="128"/>
      <c r="S26" s="128"/>
      <c r="T26" s="3"/>
      <c r="U26" s="126" t="s">
        <v>171</v>
      </c>
      <c r="V26" s="127"/>
      <c r="W26" s="127"/>
      <c r="X26" s="127"/>
      <c r="Y26" s="127"/>
      <c r="Z26" s="129"/>
      <c r="AA26" s="129"/>
      <c r="AB26" s="129"/>
      <c r="AC26" s="129"/>
      <c r="AD26" s="3"/>
      <c r="AE26" s="123"/>
      <c r="AF26" s="124"/>
      <c r="AG26" s="124"/>
      <c r="AH26" s="124"/>
      <c r="AI26" s="124"/>
      <c r="AJ26" s="124"/>
      <c r="AK26" s="124"/>
      <c r="AL26" s="124"/>
      <c r="AM26" s="124"/>
      <c r="AN26" s="124"/>
      <c r="AO26" s="124"/>
      <c r="AP26" s="124"/>
      <c r="AQ26" s="124"/>
      <c r="AR26" s="124"/>
      <c r="AS26" s="124"/>
      <c r="AT26" s="124"/>
      <c r="AU26" s="125"/>
      <c r="AV26" s="3"/>
      <c r="AW26" s="8" t="s">
        <v>94</v>
      </c>
      <c r="AX26" s="8">
        <f>IF($AX$19=$AW26,$AX$22,0)</f>
        <v>0</v>
      </c>
    </row>
    <row r="27" spans="1:50" ht="5.0999999999999996" customHeigh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8"/>
      <c r="AX27" s="8"/>
    </row>
    <row r="28" spans="1:50" ht="18" customHeight="1" x14ac:dyDescent="0.25">
      <c r="A28" s="3"/>
      <c r="B28" s="114" t="s">
        <v>63</v>
      </c>
      <c r="C28" s="115"/>
      <c r="D28" s="115"/>
      <c r="E28" s="115"/>
      <c r="F28" s="115"/>
      <c r="G28" s="115"/>
      <c r="H28" s="115"/>
      <c r="I28" s="115"/>
      <c r="J28" s="115"/>
      <c r="K28" s="115"/>
      <c r="L28" s="115"/>
      <c r="M28" s="115"/>
      <c r="N28" s="115"/>
      <c r="O28" s="115"/>
      <c r="P28" s="115"/>
      <c r="Q28" s="115"/>
      <c r="R28" s="115"/>
      <c r="S28" s="115"/>
      <c r="T28" s="115"/>
      <c r="U28" s="115"/>
      <c r="V28" s="115"/>
      <c r="W28" s="115"/>
      <c r="X28" s="115"/>
      <c r="Y28" s="115"/>
      <c r="Z28" s="115"/>
      <c r="AA28" s="115"/>
      <c r="AB28" s="115"/>
      <c r="AC28" s="116"/>
      <c r="AD28" s="3"/>
      <c r="AE28" s="119" t="s">
        <v>61</v>
      </c>
      <c r="AF28" s="119"/>
      <c r="AG28" s="119"/>
      <c r="AH28" s="119"/>
      <c r="AI28" s="119" t="s">
        <v>57</v>
      </c>
      <c r="AJ28" s="119"/>
      <c r="AK28" s="119" t="s">
        <v>58</v>
      </c>
      <c r="AL28" s="119"/>
      <c r="AM28" s="119"/>
      <c r="AN28" s="119" t="s">
        <v>59</v>
      </c>
      <c r="AO28" s="119"/>
      <c r="AP28" s="119" t="s">
        <v>60</v>
      </c>
      <c r="AQ28" s="119"/>
      <c r="AR28" s="119" t="s">
        <v>32</v>
      </c>
      <c r="AS28" s="119"/>
      <c r="AT28" s="119"/>
      <c r="AU28" s="119"/>
      <c r="AV28" s="3"/>
      <c r="AW28" s="8" t="s">
        <v>190</v>
      </c>
      <c r="AX28" s="8"/>
    </row>
    <row r="29" spans="1:50" ht="18" customHeight="1" x14ac:dyDescent="0.25">
      <c r="A29" s="3"/>
      <c r="B29" s="119" t="s">
        <v>39</v>
      </c>
      <c r="C29" s="119"/>
      <c r="D29" s="119"/>
      <c r="E29" s="108" t="s">
        <v>72</v>
      </c>
      <c r="F29" s="109"/>
      <c r="G29" s="109"/>
      <c r="H29" s="109"/>
      <c r="I29" s="108" t="s">
        <v>73</v>
      </c>
      <c r="J29" s="109"/>
      <c r="K29" s="109"/>
      <c r="L29" s="109"/>
      <c r="M29" s="109"/>
      <c r="N29" s="108" t="s">
        <v>74</v>
      </c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10"/>
      <c r="Z29" s="109" t="s">
        <v>222</v>
      </c>
      <c r="AA29" s="109"/>
      <c r="AB29" s="109"/>
      <c r="AC29" s="110"/>
      <c r="AD29" s="3"/>
      <c r="AE29" s="119" t="s">
        <v>62</v>
      </c>
      <c r="AF29" s="119"/>
      <c r="AG29" s="102"/>
      <c r="AH29" s="102"/>
      <c r="AI29" s="102"/>
      <c r="AJ29" s="102"/>
      <c r="AK29" s="102"/>
      <c r="AL29" s="102"/>
      <c r="AM29" s="102"/>
      <c r="AN29" s="102"/>
      <c r="AO29" s="102"/>
      <c r="AP29" s="121" t="str">
        <f>IF(AG29="","",(CHOOSE(AG29,(AG$23+15)/(AG$22+15),(AG$24+15)/(AG$23+15),(AG$25+15)/(AG$24+15))))</f>
        <v/>
      </c>
      <c r="AQ29" s="121"/>
      <c r="AR29" s="120" t="str">
        <f>IF(AG29="","",((AI29+460)*(AP29^0.206))-460)</f>
        <v/>
      </c>
      <c r="AS29" s="120"/>
      <c r="AT29" s="120"/>
      <c r="AU29" s="120"/>
      <c r="AV29" s="3"/>
      <c r="AW29" s="8" t="s">
        <v>106</v>
      </c>
      <c r="AX29" s="8">
        <f>IF($AX$19=$AW29,$AX$22,0)</f>
        <v>0</v>
      </c>
    </row>
    <row r="30" spans="1:50" ht="18" customHeight="1" x14ac:dyDescent="0.25">
      <c r="A30" s="3"/>
      <c r="B30" s="113"/>
      <c r="C30" s="113"/>
      <c r="D30" s="113"/>
      <c r="E30" s="117"/>
      <c r="F30" s="118"/>
      <c r="G30" s="118"/>
      <c r="H30" s="118"/>
      <c r="I30" s="102"/>
      <c r="J30" s="102"/>
      <c r="K30" s="102"/>
      <c r="L30" s="102"/>
      <c r="M30" s="102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1"/>
      <c r="Z30" s="102"/>
      <c r="AA30" s="102"/>
      <c r="AB30" s="102"/>
      <c r="AC30" s="102"/>
      <c r="AD30" s="3"/>
      <c r="AE30" s="119" t="s">
        <v>62</v>
      </c>
      <c r="AF30" s="119"/>
      <c r="AG30" s="102"/>
      <c r="AH30" s="102"/>
      <c r="AI30" s="102"/>
      <c r="AJ30" s="102"/>
      <c r="AK30" s="102"/>
      <c r="AL30" s="102"/>
      <c r="AM30" s="102"/>
      <c r="AN30" s="102"/>
      <c r="AO30" s="102"/>
      <c r="AP30" s="121" t="str">
        <f t="shared" ref="AP30:AP32" si="1">IF(AG30="","",(CHOOSE(AG30,(AG$23+15)/(AG$22+15),(AG$24+15)/(AG$23+15),(AG$25+15)/(AG$24+15))))</f>
        <v/>
      </c>
      <c r="AQ30" s="121"/>
      <c r="AR30" s="120" t="str">
        <f t="shared" ref="AR30:AR32" si="2">IF(AG30="","",((AI30+460)*(AP30^0.206))-460)</f>
        <v/>
      </c>
      <c r="AS30" s="120"/>
      <c r="AT30" s="120"/>
      <c r="AU30" s="120"/>
      <c r="AV30" s="3"/>
      <c r="AW30" s="8" t="s">
        <v>191</v>
      </c>
      <c r="AX30" s="8"/>
    </row>
    <row r="31" spans="1:50" ht="18" customHeight="1" x14ac:dyDescent="0.25">
      <c r="A31" s="3"/>
      <c r="B31" s="113"/>
      <c r="C31" s="113"/>
      <c r="D31" s="113"/>
      <c r="E31" s="117"/>
      <c r="F31" s="118"/>
      <c r="G31" s="118"/>
      <c r="H31" s="118"/>
      <c r="I31" s="102"/>
      <c r="J31" s="102"/>
      <c r="K31" s="102"/>
      <c r="L31" s="102"/>
      <c r="M31" s="102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1"/>
      <c r="Z31" s="102"/>
      <c r="AA31" s="102"/>
      <c r="AB31" s="102"/>
      <c r="AC31" s="102"/>
      <c r="AD31" s="3"/>
      <c r="AE31" s="119" t="s">
        <v>62</v>
      </c>
      <c r="AF31" s="119"/>
      <c r="AG31" s="102"/>
      <c r="AH31" s="102"/>
      <c r="AI31" s="102"/>
      <c r="AJ31" s="102"/>
      <c r="AK31" s="102"/>
      <c r="AL31" s="102"/>
      <c r="AM31" s="102"/>
      <c r="AN31" s="102"/>
      <c r="AO31" s="102"/>
      <c r="AP31" s="121" t="str">
        <f t="shared" si="1"/>
        <v/>
      </c>
      <c r="AQ31" s="121"/>
      <c r="AR31" s="120" t="str">
        <f t="shared" si="2"/>
        <v/>
      </c>
      <c r="AS31" s="120"/>
      <c r="AT31" s="120"/>
      <c r="AU31" s="120"/>
      <c r="AV31" s="3"/>
      <c r="AW31" s="8" t="s">
        <v>219</v>
      </c>
      <c r="AX31" s="8">
        <f>IF($AX$19="Personal/Time Off",$AX$22,0)</f>
        <v>0</v>
      </c>
    </row>
    <row r="32" spans="1:50" ht="18" customHeight="1" x14ac:dyDescent="0.25">
      <c r="A32" s="3"/>
      <c r="B32" s="113"/>
      <c r="C32" s="113"/>
      <c r="D32" s="113"/>
      <c r="E32" s="117"/>
      <c r="F32" s="118"/>
      <c r="G32" s="118"/>
      <c r="H32" s="118"/>
      <c r="I32" s="102"/>
      <c r="J32" s="102"/>
      <c r="K32" s="102"/>
      <c r="L32" s="102"/>
      <c r="M32" s="102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1"/>
      <c r="Z32" s="102"/>
      <c r="AA32" s="102"/>
      <c r="AB32" s="102"/>
      <c r="AC32" s="102"/>
      <c r="AD32" s="3"/>
      <c r="AE32" s="119" t="s">
        <v>62</v>
      </c>
      <c r="AF32" s="119"/>
      <c r="AG32" s="102"/>
      <c r="AH32" s="102"/>
      <c r="AI32" s="102"/>
      <c r="AJ32" s="102"/>
      <c r="AK32" s="102"/>
      <c r="AL32" s="102"/>
      <c r="AM32" s="102"/>
      <c r="AN32" s="102"/>
      <c r="AO32" s="102"/>
      <c r="AP32" s="121" t="str">
        <f t="shared" si="1"/>
        <v/>
      </c>
      <c r="AQ32" s="121"/>
      <c r="AR32" s="120" t="str">
        <f t="shared" si="2"/>
        <v/>
      </c>
      <c r="AS32" s="120"/>
      <c r="AT32" s="120"/>
      <c r="AU32" s="120"/>
      <c r="AV32" s="3"/>
      <c r="AW32" s="8" t="s">
        <v>192</v>
      </c>
      <c r="AX32" s="8"/>
    </row>
    <row r="33" spans="1:50" ht="18" customHeight="1" x14ac:dyDescent="0.25">
      <c r="A33" s="3"/>
      <c r="B33" s="113"/>
      <c r="C33" s="113"/>
      <c r="D33" s="113"/>
      <c r="E33" s="117"/>
      <c r="F33" s="118"/>
      <c r="G33" s="118"/>
      <c r="H33" s="118"/>
      <c r="I33" s="102"/>
      <c r="J33" s="102"/>
      <c r="K33" s="102"/>
      <c r="L33" s="102"/>
      <c r="M33" s="102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1"/>
      <c r="Z33" s="102"/>
      <c r="AA33" s="102"/>
      <c r="AB33" s="102"/>
      <c r="AC33" s="102"/>
      <c r="AD33" s="3"/>
      <c r="AE33" s="119" t="s">
        <v>64</v>
      </c>
      <c r="AF33" s="119"/>
      <c r="AG33" s="119"/>
      <c r="AH33" s="119"/>
      <c r="AI33" s="119"/>
      <c r="AJ33" s="119" t="s">
        <v>65</v>
      </c>
      <c r="AK33" s="119"/>
      <c r="AL33" s="119"/>
      <c r="AM33" s="119" t="s">
        <v>59</v>
      </c>
      <c r="AN33" s="119"/>
      <c r="AO33" s="119"/>
      <c r="AP33" s="119" t="s">
        <v>66</v>
      </c>
      <c r="AQ33" s="119"/>
      <c r="AR33" s="119"/>
      <c r="AS33" s="119" t="s">
        <v>59</v>
      </c>
      <c r="AT33" s="119"/>
      <c r="AU33" s="119"/>
      <c r="AV33" s="3"/>
      <c r="AW33" s="8" t="s">
        <v>115</v>
      </c>
      <c r="AX33" s="8">
        <f>IF($AX$19=$AW33,$AX$22,0)</f>
        <v>0</v>
      </c>
    </row>
    <row r="34" spans="1:50" ht="18" customHeight="1" x14ac:dyDescent="0.25">
      <c r="A34" s="3"/>
      <c r="B34" s="113"/>
      <c r="C34" s="113"/>
      <c r="D34" s="113"/>
      <c r="E34" s="117"/>
      <c r="F34" s="118"/>
      <c r="G34" s="118"/>
      <c r="H34" s="118"/>
      <c r="I34" s="102"/>
      <c r="J34" s="102"/>
      <c r="K34" s="102"/>
      <c r="L34" s="102"/>
      <c r="M34" s="102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1"/>
      <c r="Z34" s="102"/>
      <c r="AA34" s="102"/>
      <c r="AB34" s="102"/>
      <c r="AC34" s="102"/>
      <c r="AD34" s="3"/>
      <c r="AE34" s="119" t="s">
        <v>67</v>
      </c>
      <c r="AF34" s="119"/>
      <c r="AG34" s="119"/>
      <c r="AH34" s="119"/>
      <c r="AI34" s="119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3"/>
      <c r="AW34" s="8" t="s">
        <v>193</v>
      </c>
      <c r="AX34" s="8"/>
    </row>
    <row r="35" spans="1:50" ht="18" customHeight="1" x14ac:dyDescent="0.25">
      <c r="A35" s="3"/>
      <c r="B35" s="113"/>
      <c r="C35" s="113"/>
      <c r="D35" s="113"/>
      <c r="E35" s="117"/>
      <c r="F35" s="118"/>
      <c r="G35" s="118"/>
      <c r="H35" s="118"/>
      <c r="I35" s="102"/>
      <c r="J35" s="102"/>
      <c r="K35" s="102"/>
      <c r="L35" s="102"/>
      <c r="M35" s="102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1"/>
      <c r="Z35" s="102"/>
      <c r="AA35" s="102"/>
      <c r="AB35" s="102"/>
      <c r="AC35" s="102"/>
      <c r="AD35" s="3"/>
      <c r="AE35" s="119" t="s">
        <v>68</v>
      </c>
      <c r="AF35" s="119" t="s">
        <v>33</v>
      </c>
      <c r="AG35" s="119"/>
      <c r="AH35" s="119"/>
      <c r="AI35" s="119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3"/>
      <c r="AW35" s="8" t="s">
        <v>194</v>
      </c>
      <c r="AX35" s="8">
        <f>IF($AX$19="Personal/Time Off",$AX$22,0)</f>
        <v>0</v>
      </c>
    </row>
    <row r="36" spans="1:50" ht="18" customHeight="1" x14ac:dyDescent="0.25">
      <c r="A36" s="3"/>
      <c r="B36" s="113"/>
      <c r="C36" s="113"/>
      <c r="D36" s="113"/>
      <c r="E36" s="117"/>
      <c r="F36" s="118"/>
      <c r="G36" s="118"/>
      <c r="H36" s="118"/>
      <c r="I36" s="102"/>
      <c r="J36" s="102"/>
      <c r="K36" s="102"/>
      <c r="L36" s="102"/>
      <c r="M36" s="102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1"/>
      <c r="Z36" s="102"/>
      <c r="AA36" s="102"/>
      <c r="AB36" s="102"/>
      <c r="AC36" s="102"/>
      <c r="AD36" s="3"/>
      <c r="AE36" s="119" t="s">
        <v>69</v>
      </c>
      <c r="AF36" s="119" t="s">
        <v>34</v>
      </c>
      <c r="AG36" s="119"/>
      <c r="AH36" s="119"/>
      <c r="AI36" s="119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3"/>
      <c r="AW36" s="8" t="s">
        <v>195</v>
      </c>
      <c r="AX36" s="8"/>
    </row>
    <row r="37" spans="1:50" ht="18" customHeight="1" x14ac:dyDescent="0.25">
      <c r="A37" s="3"/>
      <c r="B37" s="113"/>
      <c r="C37" s="113"/>
      <c r="D37" s="113"/>
      <c r="E37" s="117"/>
      <c r="F37" s="118"/>
      <c r="G37" s="118"/>
      <c r="H37" s="118"/>
      <c r="I37" s="102"/>
      <c r="J37" s="102"/>
      <c r="K37" s="102"/>
      <c r="L37" s="102"/>
      <c r="M37" s="102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1"/>
      <c r="Z37" s="102"/>
      <c r="AA37" s="102"/>
      <c r="AB37" s="102"/>
      <c r="AC37" s="102"/>
      <c r="AD37" s="3"/>
      <c r="AE37" s="119" t="s">
        <v>70</v>
      </c>
      <c r="AF37" s="119" t="s">
        <v>35</v>
      </c>
      <c r="AG37" s="119"/>
      <c r="AH37" s="119"/>
      <c r="AI37" s="119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3"/>
      <c r="AW37" s="8" t="s">
        <v>119</v>
      </c>
      <c r="AX37" s="8">
        <f>IF($AX$19=$AW37,$AX$22,0)</f>
        <v>0</v>
      </c>
    </row>
    <row r="38" spans="1:50" ht="18" customHeight="1" x14ac:dyDescent="0.25">
      <c r="A38" s="3"/>
      <c r="B38" s="113"/>
      <c r="C38" s="113"/>
      <c r="D38" s="113"/>
      <c r="E38" s="117"/>
      <c r="F38" s="118"/>
      <c r="G38" s="118"/>
      <c r="H38" s="118"/>
      <c r="I38" s="102"/>
      <c r="J38" s="102"/>
      <c r="K38" s="102"/>
      <c r="L38" s="102"/>
      <c r="M38" s="102"/>
      <c r="N38" s="105"/>
      <c r="O38" s="105"/>
      <c r="P38" s="105"/>
      <c r="Q38" s="105"/>
      <c r="R38" s="105"/>
      <c r="S38" s="105"/>
      <c r="T38" s="105"/>
      <c r="U38" s="105"/>
      <c r="V38" s="105"/>
      <c r="W38" s="105"/>
      <c r="X38" s="105"/>
      <c r="Y38" s="106"/>
      <c r="Z38" s="102"/>
      <c r="AA38" s="102"/>
      <c r="AB38" s="102"/>
      <c r="AC38" s="102"/>
      <c r="AD38" s="3"/>
      <c r="AE38" s="119" t="s">
        <v>71</v>
      </c>
      <c r="AF38" s="119" t="s">
        <v>36</v>
      </c>
      <c r="AG38" s="119"/>
      <c r="AH38" s="119"/>
      <c r="AI38" s="119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3"/>
      <c r="AW38" s="8" t="s">
        <v>220</v>
      </c>
      <c r="AX38" s="8">
        <f ca="1">AX22</f>
        <v>0</v>
      </c>
    </row>
    <row r="39" spans="1:50" ht="5.0999999999999996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8"/>
      <c r="AX39" s="8"/>
    </row>
    <row r="40" spans="1:50" ht="18" customHeight="1" x14ac:dyDescent="0.25">
      <c r="A40" s="3"/>
      <c r="B40" s="114" t="s">
        <v>75</v>
      </c>
      <c r="C40" s="115"/>
      <c r="D40" s="115"/>
      <c r="E40" s="115"/>
      <c r="F40" s="115"/>
      <c r="G40" s="115"/>
      <c r="H40" s="115"/>
      <c r="I40" s="115"/>
      <c r="J40" s="115"/>
      <c r="K40" s="115"/>
      <c r="L40" s="115"/>
      <c r="M40" s="115"/>
      <c r="N40" s="115"/>
      <c r="O40" s="115"/>
      <c r="P40" s="115"/>
      <c r="Q40" s="115"/>
      <c r="R40" s="115"/>
      <c r="S40" s="115"/>
      <c r="T40" s="115"/>
      <c r="U40" s="115"/>
      <c r="V40" s="115"/>
      <c r="W40" s="115"/>
      <c r="X40" s="115"/>
      <c r="Y40" s="115"/>
      <c r="Z40" s="115"/>
      <c r="AA40" s="115"/>
      <c r="AB40" s="115"/>
      <c r="AC40" s="115"/>
      <c r="AD40" s="115"/>
      <c r="AE40" s="115"/>
      <c r="AF40" s="115"/>
      <c r="AG40" s="115"/>
      <c r="AH40" s="115"/>
      <c r="AI40" s="115"/>
      <c r="AJ40" s="115"/>
      <c r="AK40" s="115"/>
      <c r="AL40" s="115"/>
      <c r="AM40" s="115"/>
      <c r="AN40" s="115"/>
      <c r="AO40" s="115"/>
      <c r="AP40" s="115"/>
      <c r="AQ40" s="115"/>
      <c r="AR40" s="115"/>
      <c r="AS40" s="115"/>
      <c r="AT40" s="115"/>
      <c r="AU40" s="116"/>
      <c r="AV40" s="3"/>
      <c r="AW40" s="8" t="s">
        <v>221</v>
      </c>
      <c r="AX40" s="15">
        <f>IF($AC$15="",0,VLOOKUP($AC$15,DistrictLookup,2))</f>
        <v>0</v>
      </c>
    </row>
    <row r="41" spans="1:50" ht="5.0999999999999996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8"/>
      <c r="AX41" s="15"/>
    </row>
    <row r="42" spans="1:50" ht="18" customHeight="1" x14ac:dyDescent="0.25">
      <c r="A42" s="3"/>
      <c r="B42" s="82" t="s">
        <v>76</v>
      </c>
      <c r="C42" s="83"/>
      <c r="D42" s="83"/>
      <c r="E42" s="83"/>
      <c r="F42" s="83"/>
      <c r="G42" s="83"/>
      <c r="H42" s="84"/>
      <c r="I42" s="76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8"/>
      <c r="AV42" s="3"/>
      <c r="AW42" s="8" t="s">
        <v>322</v>
      </c>
      <c r="AX42" s="69">
        <f ca="1">WEEKDAY($AX$17)</f>
        <v>5</v>
      </c>
    </row>
    <row r="43" spans="1:50" ht="18" customHeight="1" x14ac:dyDescent="0.25">
      <c r="A43" s="3"/>
      <c r="B43" s="85"/>
      <c r="C43" s="86"/>
      <c r="D43" s="86"/>
      <c r="E43" s="86"/>
      <c r="F43" s="86"/>
      <c r="G43" s="86"/>
      <c r="H43" s="87"/>
      <c r="I43" s="79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1"/>
      <c r="AV43" s="3"/>
      <c r="AW43" s="8" t="s">
        <v>323</v>
      </c>
      <c r="AX43" s="69">
        <f ca="1">IF(OR(IF(OR($AX$42=1,$AX$42=7),1,0),COUNTIF(rHolidays,$AX$17)),1,0)</f>
        <v>0</v>
      </c>
    </row>
    <row r="44" spans="1:50" ht="5.0999999999999996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8"/>
      <c r="AX44" s="8"/>
    </row>
    <row r="45" spans="1:50" ht="18" customHeight="1" x14ac:dyDescent="0.25">
      <c r="A45" s="3"/>
      <c r="B45" s="82" t="s">
        <v>77</v>
      </c>
      <c r="C45" s="83"/>
      <c r="D45" s="83"/>
      <c r="E45" s="83"/>
      <c r="F45" s="83"/>
      <c r="G45" s="83"/>
      <c r="H45" s="84"/>
      <c r="I45" s="76"/>
      <c r="J45" s="77"/>
      <c r="K45" s="77"/>
      <c r="L45" s="77"/>
      <c r="M45" s="77"/>
      <c r="N45" s="77"/>
      <c r="O45" s="77"/>
      <c r="P45" s="77"/>
      <c r="Q45" s="77"/>
      <c r="R45" s="77"/>
      <c r="S45" s="77"/>
      <c r="T45" s="77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  <c r="AO45" s="77"/>
      <c r="AP45" s="77"/>
      <c r="AQ45" s="77"/>
      <c r="AR45" s="77"/>
      <c r="AS45" s="77"/>
      <c r="AT45" s="77"/>
      <c r="AU45" s="78"/>
      <c r="AV45" s="3"/>
      <c r="AW45" s="8"/>
      <c r="AX45" s="8"/>
    </row>
    <row r="46" spans="1:50" ht="18" customHeight="1" x14ac:dyDescent="0.25">
      <c r="A46" s="3"/>
      <c r="B46" s="85"/>
      <c r="C46" s="86"/>
      <c r="D46" s="86"/>
      <c r="E46" s="86"/>
      <c r="F46" s="86"/>
      <c r="G46" s="86"/>
      <c r="H46" s="87"/>
      <c r="I46" s="79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1"/>
      <c r="AV46" s="3"/>
      <c r="AW46" s="8"/>
      <c r="AX46" s="8"/>
    </row>
    <row r="47" spans="1:50" ht="5.0999999999999996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8"/>
      <c r="AX47" s="8"/>
    </row>
    <row r="48" spans="1:50" ht="18" customHeight="1" x14ac:dyDescent="0.25">
      <c r="A48" s="3"/>
      <c r="B48" s="82" t="s">
        <v>78</v>
      </c>
      <c r="C48" s="83"/>
      <c r="D48" s="83"/>
      <c r="E48" s="83"/>
      <c r="F48" s="83"/>
      <c r="G48" s="83"/>
      <c r="H48" s="84"/>
      <c r="I48" s="88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  <c r="AL48" s="89"/>
      <c r="AM48" s="89"/>
      <c r="AN48" s="89"/>
      <c r="AO48" s="89"/>
      <c r="AP48" s="89"/>
      <c r="AQ48" s="89"/>
      <c r="AR48" s="89"/>
      <c r="AS48" s="89"/>
      <c r="AT48" s="89"/>
      <c r="AU48" s="90"/>
      <c r="AV48" s="3"/>
      <c r="AW48" s="8"/>
      <c r="AX48" s="8"/>
    </row>
    <row r="49" spans="1:50" ht="18" customHeight="1" x14ac:dyDescent="0.25">
      <c r="A49" s="3"/>
      <c r="B49" s="97"/>
      <c r="C49" s="98"/>
      <c r="D49" s="98"/>
      <c r="E49" s="98"/>
      <c r="F49" s="98"/>
      <c r="G49" s="98"/>
      <c r="H49" s="99"/>
      <c r="I49" s="91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3"/>
      <c r="AV49" s="3"/>
      <c r="AW49" s="8"/>
      <c r="AX49" s="8"/>
    </row>
    <row r="50" spans="1:50" ht="18" customHeight="1" x14ac:dyDescent="0.25">
      <c r="A50" s="3"/>
      <c r="B50" s="97"/>
      <c r="C50" s="98"/>
      <c r="D50" s="98"/>
      <c r="E50" s="98"/>
      <c r="F50" s="98"/>
      <c r="G50" s="98"/>
      <c r="H50" s="99"/>
      <c r="I50" s="91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3"/>
      <c r="AV50" s="3"/>
      <c r="AW50" s="8"/>
      <c r="AX50" s="8"/>
    </row>
    <row r="51" spans="1:50" ht="18" customHeight="1" x14ac:dyDescent="0.25">
      <c r="A51" s="3"/>
      <c r="B51" s="97"/>
      <c r="C51" s="98"/>
      <c r="D51" s="98"/>
      <c r="E51" s="98"/>
      <c r="F51" s="98"/>
      <c r="G51" s="98"/>
      <c r="H51" s="99"/>
      <c r="I51" s="91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3"/>
      <c r="AV51" s="3"/>
      <c r="AW51" s="8"/>
      <c r="AX51" s="8"/>
    </row>
    <row r="52" spans="1:50" ht="18" customHeight="1" x14ac:dyDescent="0.25">
      <c r="A52" s="3"/>
      <c r="B52" s="97"/>
      <c r="C52" s="98"/>
      <c r="D52" s="98"/>
      <c r="E52" s="98"/>
      <c r="F52" s="98"/>
      <c r="G52" s="98"/>
      <c r="H52" s="99"/>
      <c r="I52" s="91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3"/>
      <c r="AV52" s="3"/>
      <c r="AW52" s="8"/>
      <c r="AX52" s="8"/>
    </row>
    <row r="53" spans="1:50" ht="18" customHeight="1" x14ac:dyDescent="0.25">
      <c r="A53" s="3"/>
      <c r="B53" s="97"/>
      <c r="C53" s="98"/>
      <c r="D53" s="98"/>
      <c r="E53" s="98"/>
      <c r="F53" s="98"/>
      <c r="G53" s="98"/>
      <c r="H53" s="99"/>
      <c r="I53" s="91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3"/>
      <c r="AV53" s="3"/>
      <c r="AW53" s="8"/>
      <c r="AX53" s="8"/>
    </row>
    <row r="54" spans="1:50" ht="18" customHeight="1" x14ac:dyDescent="0.25">
      <c r="A54" s="3"/>
      <c r="B54" s="97"/>
      <c r="C54" s="98"/>
      <c r="D54" s="98"/>
      <c r="E54" s="98"/>
      <c r="F54" s="98"/>
      <c r="G54" s="98"/>
      <c r="H54" s="99"/>
      <c r="I54" s="91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3"/>
      <c r="AV54" s="3"/>
      <c r="AW54" s="8"/>
      <c r="AX54" s="8"/>
    </row>
    <row r="55" spans="1:50" ht="18" customHeight="1" x14ac:dyDescent="0.25">
      <c r="A55" s="3"/>
      <c r="B55" s="97"/>
      <c r="C55" s="98"/>
      <c r="D55" s="98"/>
      <c r="E55" s="98"/>
      <c r="F55" s="98"/>
      <c r="G55" s="98"/>
      <c r="H55" s="99"/>
      <c r="I55" s="91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3"/>
      <c r="AV55" s="3"/>
      <c r="AW55" s="8"/>
      <c r="AX55" s="8"/>
    </row>
    <row r="56" spans="1:50" ht="18" customHeight="1" x14ac:dyDescent="0.25">
      <c r="A56" s="3"/>
      <c r="B56" s="97"/>
      <c r="C56" s="98"/>
      <c r="D56" s="98"/>
      <c r="E56" s="98"/>
      <c r="F56" s="98"/>
      <c r="G56" s="98"/>
      <c r="H56" s="99"/>
      <c r="I56" s="91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3"/>
      <c r="AV56" s="3"/>
      <c r="AW56" s="8"/>
      <c r="AX56" s="8"/>
    </row>
    <row r="57" spans="1:50" ht="5.0999999999999996" customHeight="1" x14ac:dyDescent="0.25">
      <c r="A57" s="3"/>
      <c r="B57" s="97"/>
      <c r="C57" s="98"/>
      <c r="D57" s="98"/>
      <c r="E57" s="98"/>
      <c r="F57" s="98"/>
      <c r="G57" s="98"/>
      <c r="H57" s="99"/>
      <c r="I57" s="91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3"/>
      <c r="AV57" s="3"/>
      <c r="AW57" s="8"/>
      <c r="AX57" s="8"/>
    </row>
    <row r="58" spans="1:50" ht="18" customHeight="1" x14ac:dyDescent="0.25">
      <c r="A58" s="3"/>
      <c r="B58" s="97"/>
      <c r="C58" s="98"/>
      <c r="D58" s="98"/>
      <c r="E58" s="98"/>
      <c r="F58" s="98"/>
      <c r="G58" s="98"/>
      <c r="H58" s="99"/>
      <c r="I58" s="91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3"/>
      <c r="AV58" s="6"/>
      <c r="AW58" s="9"/>
      <c r="AX58" s="8"/>
    </row>
    <row r="59" spans="1:50" ht="18" customHeight="1" x14ac:dyDescent="0.25">
      <c r="A59" s="3"/>
      <c r="B59" s="85"/>
      <c r="C59" s="86"/>
      <c r="D59" s="86"/>
      <c r="E59" s="86"/>
      <c r="F59" s="86"/>
      <c r="G59" s="86"/>
      <c r="H59" s="87"/>
      <c r="I59" s="94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6"/>
      <c r="AV59" s="6"/>
      <c r="AW59" s="9"/>
      <c r="AX59" s="8"/>
    </row>
    <row r="60" spans="1:50" ht="5.0999999999999996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8"/>
      <c r="AX60" s="8"/>
    </row>
    <row r="61" spans="1:50" ht="18" customHeight="1" x14ac:dyDescent="0.25">
      <c r="A61" s="3"/>
      <c r="B61" s="70" t="s">
        <v>79</v>
      </c>
      <c r="C61" s="71"/>
      <c r="D61" s="71"/>
      <c r="E61" s="71"/>
      <c r="F61" s="71"/>
      <c r="G61" s="71"/>
      <c r="H61" s="72"/>
      <c r="I61" s="76"/>
      <c r="J61" s="77"/>
      <c r="K61" s="77"/>
      <c r="L61" s="77"/>
      <c r="M61" s="77"/>
      <c r="N61" s="77"/>
      <c r="O61" s="77"/>
      <c r="P61" s="77"/>
      <c r="Q61" s="77"/>
      <c r="R61" s="77"/>
      <c r="S61" s="77"/>
      <c r="T61" s="77"/>
      <c r="U61" s="77"/>
      <c r="V61" s="77"/>
      <c r="W61" s="77"/>
      <c r="X61" s="77"/>
      <c r="Y61" s="77"/>
      <c r="Z61" s="77"/>
      <c r="AA61" s="77"/>
      <c r="AB61" s="77"/>
      <c r="AC61" s="77"/>
      <c r="AD61" s="77"/>
      <c r="AE61" s="77"/>
      <c r="AF61" s="77"/>
      <c r="AG61" s="77"/>
      <c r="AH61" s="77"/>
      <c r="AI61" s="77"/>
      <c r="AJ61" s="77"/>
      <c r="AK61" s="77"/>
      <c r="AL61" s="77"/>
      <c r="AM61" s="77"/>
      <c r="AN61" s="77"/>
      <c r="AO61" s="77"/>
      <c r="AP61" s="77"/>
      <c r="AQ61" s="77"/>
      <c r="AR61" s="77"/>
      <c r="AS61" s="77"/>
      <c r="AT61" s="77"/>
      <c r="AU61" s="78"/>
      <c r="AV61" s="3"/>
      <c r="AW61" s="8"/>
      <c r="AX61" s="8"/>
    </row>
    <row r="62" spans="1:50" ht="18" customHeight="1" x14ac:dyDescent="0.25">
      <c r="A62" s="3"/>
      <c r="B62" s="73"/>
      <c r="C62" s="74"/>
      <c r="D62" s="74"/>
      <c r="E62" s="74"/>
      <c r="F62" s="74"/>
      <c r="G62" s="74"/>
      <c r="H62" s="75"/>
      <c r="I62" s="79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1"/>
      <c r="AV62" s="3"/>
      <c r="AW62" s="8"/>
      <c r="AX62" s="8"/>
    </row>
    <row r="63" spans="1:50" ht="5.0999999999999996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8"/>
      <c r="AX63" s="8"/>
    </row>
    <row r="64" spans="1:50" ht="18" customHeight="1" x14ac:dyDescent="0.25">
      <c r="A64" s="3"/>
      <c r="B64" s="154" t="s">
        <v>223</v>
      </c>
      <c r="C64" s="154"/>
      <c r="D64" s="154"/>
      <c r="E64" s="154"/>
      <c r="F64" s="154"/>
      <c r="G64" s="154"/>
      <c r="H64" s="154"/>
      <c r="I64" s="154"/>
      <c r="J64" s="154"/>
      <c r="K64" s="154"/>
      <c r="L64" s="154"/>
      <c r="M64" s="128"/>
      <c r="N64" s="128"/>
      <c r="O64" s="128"/>
      <c r="P64" s="128"/>
      <c r="Q64" s="128"/>
      <c r="R64" s="128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40"/>
      <c r="AF64" s="111" t="s">
        <v>180</v>
      </c>
      <c r="AG64" s="111"/>
      <c r="AH64" s="111"/>
      <c r="AI64" s="111"/>
      <c r="AJ64" s="111"/>
      <c r="AK64" s="111"/>
      <c r="AL64" s="112" t="s">
        <v>40</v>
      </c>
      <c r="AM64" s="112"/>
      <c r="AN64" s="112"/>
      <c r="AO64" s="112"/>
      <c r="AP64" s="113"/>
      <c r="AQ64" s="113"/>
      <c r="AR64" s="113"/>
      <c r="AS64" s="107" t="s">
        <v>41</v>
      </c>
      <c r="AT64" s="107"/>
      <c r="AU64" s="107"/>
      <c r="AV64" s="3"/>
      <c r="AW64" s="8"/>
      <c r="AX64" s="8"/>
    </row>
    <row r="65" spans="1:50" ht="18" customHeight="1" x14ac:dyDescent="0.25">
      <c r="A65" s="3"/>
      <c r="B65" s="152" t="s">
        <v>224</v>
      </c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28"/>
      <c r="N65" s="128"/>
      <c r="O65" s="128"/>
      <c r="P65" s="128"/>
      <c r="Q65" s="128"/>
      <c r="R65" s="128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2"/>
      <c r="AF65" s="111"/>
      <c r="AG65" s="111"/>
      <c r="AH65" s="111"/>
      <c r="AI65" s="111"/>
      <c r="AJ65" s="111"/>
      <c r="AK65" s="111"/>
      <c r="AL65" s="112" t="s">
        <v>42</v>
      </c>
      <c r="AM65" s="112"/>
      <c r="AN65" s="112"/>
      <c r="AO65" s="112"/>
      <c r="AP65" s="113"/>
      <c r="AQ65" s="113"/>
      <c r="AR65" s="113"/>
      <c r="AS65" s="107" t="s">
        <v>41</v>
      </c>
      <c r="AT65" s="107"/>
      <c r="AU65" s="107"/>
      <c r="AV65" s="3"/>
      <c r="AW65" s="8"/>
      <c r="AX65" s="8"/>
    </row>
    <row r="66" spans="1:50" ht="18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8"/>
      <c r="AX66" s="8"/>
    </row>
    <row r="67" spans="1:50" ht="24" customHeight="1" x14ac:dyDescent="0.25">
      <c r="A67" s="3"/>
      <c r="B67" s="126" t="s">
        <v>80</v>
      </c>
      <c r="C67" s="127"/>
      <c r="D67" s="127"/>
      <c r="E67" s="127"/>
      <c r="F67" s="127"/>
      <c r="G67" s="145"/>
      <c r="H67" s="117"/>
      <c r="I67" s="118"/>
      <c r="J67" s="118"/>
      <c r="K67" s="118"/>
      <c r="L67" s="118"/>
      <c r="M67" s="118"/>
      <c r="N67" s="118"/>
      <c r="O67" s="118"/>
      <c r="P67" s="118"/>
      <c r="Q67" s="118"/>
      <c r="R67" s="118"/>
      <c r="S67" s="118"/>
      <c r="T67" s="118"/>
      <c r="U67" s="118"/>
      <c r="V67" s="118"/>
      <c r="W67" s="149"/>
      <c r="X67" s="3"/>
      <c r="Y67" s="108" t="s">
        <v>225</v>
      </c>
      <c r="Z67" s="109"/>
      <c r="AA67" s="109"/>
      <c r="AB67" s="109"/>
      <c r="AC67" s="109"/>
      <c r="AD67" s="109"/>
      <c r="AE67" s="110"/>
      <c r="AF67" s="104"/>
      <c r="AG67" s="105"/>
      <c r="AH67" s="105"/>
      <c r="AI67" s="105"/>
      <c r="AJ67" s="105"/>
      <c r="AK67" s="105"/>
      <c r="AL67" s="105"/>
      <c r="AM67" s="105"/>
      <c r="AN67" s="105"/>
      <c r="AO67" s="105"/>
      <c r="AP67" s="105"/>
      <c r="AQ67" s="105"/>
      <c r="AR67" s="105"/>
      <c r="AS67" s="105"/>
      <c r="AT67" s="105"/>
      <c r="AU67" s="106"/>
      <c r="AV67" s="3"/>
      <c r="AW67" s="8"/>
      <c r="AX67" s="8"/>
    </row>
    <row r="68" spans="1:50" ht="5.0999999999999996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8"/>
      <c r="AX68" s="8"/>
    </row>
    <row r="69" spans="1:50" ht="24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108" t="s">
        <v>226</v>
      </c>
      <c r="Z69" s="109"/>
      <c r="AA69" s="109"/>
      <c r="AB69" s="109"/>
      <c r="AC69" s="109"/>
      <c r="AD69" s="109"/>
      <c r="AE69" s="110"/>
      <c r="AF69" s="104"/>
      <c r="AG69" s="105"/>
      <c r="AH69" s="105"/>
      <c r="AI69" s="105"/>
      <c r="AJ69" s="105"/>
      <c r="AK69" s="105"/>
      <c r="AL69" s="105"/>
      <c r="AM69" s="105"/>
      <c r="AN69" s="105"/>
      <c r="AO69" s="105"/>
      <c r="AP69" s="105"/>
      <c r="AQ69" s="105"/>
      <c r="AR69" s="105"/>
      <c r="AS69" s="105"/>
      <c r="AT69" s="105"/>
      <c r="AU69" s="106"/>
      <c r="AV69" s="3"/>
      <c r="AW69" s="8"/>
      <c r="AX69" s="8"/>
    </row>
    <row r="70" spans="1:50" ht="18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8"/>
      <c r="AX70" s="8"/>
    </row>
    <row r="71" spans="1:50" hidden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8"/>
      <c r="AX71" s="7"/>
    </row>
    <row r="72" spans="1:50" hidden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8"/>
      <c r="AX72" s="7"/>
    </row>
    <row r="73" spans="1:50" hidden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8"/>
      <c r="AX73" s="7"/>
    </row>
    <row r="74" spans="1:50" hidden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8"/>
      <c r="AX74" s="7"/>
    </row>
    <row r="75" spans="1:50" hidden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8"/>
      <c r="AX75" s="7"/>
    </row>
    <row r="76" spans="1:50" hidden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8"/>
      <c r="AX76" s="7"/>
    </row>
    <row r="77" spans="1:50" hidden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8"/>
      <c r="AX77" s="7"/>
    </row>
    <row r="78" spans="1:50" hidden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8"/>
      <c r="AX78" s="7"/>
    </row>
    <row r="79" spans="1:50" hidden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8"/>
      <c r="AX79" s="7"/>
    </row>
    <row r="80" spans="1:50" hidden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8"/>
      <c r="AX80" s="7"/>
    </row>
    <row r="81" spans="1:50" hidden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8"/>
      <c r="AX81" s="7"/>
    </row>
    <row r="82" spans="1:50" hidden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8"/>
      <c r="AX82" s="7"/>
    </row>
    <row r="83" spans="1:50" hidden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8"/>
      <c r="AX83" s="7"/>
    </row>
    <row r="84" spans="1:50" hidden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8"/>
      <c r="AX84" s="7"/>
    </row>
    <row r="85" spans="1:50" hidden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8"/>
      <c r="AX85" s="7"/>
    </row>
    <row r="86" spans="1:50" hidden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8"/>
      <c r="AX86" s="7"/>
    </row>
    <row r="87" spans="1:50" hidden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8"/>
      <c r="AX87" s="7"/>
    </row>
    <row r="88" spans="1:50" hidden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8"/>
      <c r="AX88" s="7"/>
    </row>
    <row r="89" spans="1:50" hidden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8"/>
      <c r="AX89" s="7"/>
    </row>
    <row r="90" spans="1:50" hidden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8"/>
      <c r="AX90" s="7"/>
    </row>
    <row r="91" spans="1:50" hidden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8"/>
      <c r="AX91" s="7"/>
    </row>
    <row r="92" spans="1:50" hidden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8"/>
      <c r="AX92" s="7"/>
    </row>
    <row r="93" spans="1:50" hidden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8"/>
      <c r="AX93" s="7"/>
    </row>
    <row r="94" spans="1:50" hidden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8"/>
      <c r="AX94" s="7"/>
    </row>
    <row r="95" spans="1:50" hidden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8"/>
      <c r="AX95" s="7"/>
    </row>
    <row r="96" spans="1:50" hidden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8"/>
      <c r="AX96" s="7"/>
    </row>
    <row r="97" spans="1:50" hidden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8"/>
      <c r="AX97" s="7"/>
    </row>
    <row r="98" spans="1:50" hidden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8"/>
      <c r="AX98" s="7"/>
    </row>
    <row r="99" spans="1:50" hidden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8"/>
      <c r="AX99" s="7"/>
    </row>
    <row r="100" spans="1:50" hidden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8"/>
      <c r="AX100" s="7"/>
    </row>
    <row r="101" spans="1:50" hidden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8"/>
      <c r="AX101" s="7"/>
    </row>
    <row r="102" spans="1:50" hidden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8"/>
      <c r="AX102" s="7"/>
    </row>
    <row r="103" spans="1:50" hidden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8"/>
      <c r="AX103" s="7"/>
    </row>
    <row r="104" spans="1:50" hidden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8"/>
      <c r="AX104" s="7"/>
    </row>
    <row r="105" spans="1:50" hidden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8"/>
      <c r="AX105" s="7"/>
    </row>
    <row r="106" spans="1:50" hidden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8"/>
      <c r="AX106" s="7"/>
    </row>
    <row r="107" spans="1:50" hidden="1" x14ac:dyDescent="0.25"/>
    <row r="108" spans="1:50" hidden="1" x14ac:dyDescent="0.25"/>
    <row r="109" spans="1:50" hidden="1" x14ac:dyDescent="0.25"/>
    <row r="110" spans="1:50" hidden="1" x14ac:dyDescent="0.25"/>
    <row r="111" spans="1:50" hidden="1" x14ac:dyDescent="0.25"/>
    <row r="112" spans="1:50" hidden="1" x14ac:dyDescent="0.25"/>
    <row r="113" hidden="1" x14ac:dyDescent="0.25"/>
    <row r="114" hidden="1" x14ac:dyDescent="0.25"/>
    <row r="115" hidden="1" x14ac:dyDescent="0.25"/>
    <row r="116" hidden="1" x14ac:dyDescent="0.25"/>
  </sheetData>
  <mergeCells count="276">
    <mergeCell ref="AF67:AU67"/>
    <mergeCell ref="B65:L65"/>
    <mergeCell ref="B64:L64"/>
    <mergeCell ref="M64:R64"/>
    <mergeCell ref="M65:R65"/>
    <mergeCell ref="B67:G67"/>
    <mergeCell ref="H67:W67"/>
    <mergeCell ref="Y67:AE67"/>
    <mergeCell ref="AO3:AU3"/>
    <mergeCell ref="B5:G5"/>
    <mergeCell ref="H5:T5"/>
    <mergeCell ref="U5:AJ5"/>
    <mergeCell ref="AK5:AO5"/>
    <mergeCell ref="AP5:AU5"/>
    <mergeCell ref="B9:G9"/>
    <mergeCell ref="H9:T9"/>
    <mergeCell ref="U9:AJ9"/>
    <mergeCell ref="AK9:AO9"/>
    <mergeCell ref="AP9:AU9"/>
    <mergeCell ref="O2:AM3"/>
    <mergeCell ref="B11:G11"/>
    <mergeCell ref="H11:T11"/>
    <mergeCell ref="U11:AJ11"/>
    <mergeCell ref="AK11:AO11"/>
    <mergeCell ref="AP11:AU11"/>
    <mergeCell ref="AC13:AJ13"/>
    <mergeCell ref="B7:G7"/>
    <mergeCell ref="H7:T7"/>
    <mergeCell ref="U7:AJ7"/>
    <mergeCell ref="AK7:AO7"/>
    <mergeCell ref="AP7:AU7"/>
    <mergeCell ref="B13:G13"/>
    <mergeCell ref="H13:T13"/>
    <mergeCell ref="AK13:AO13"/>
    <mergeCell ref="AP13:AU13"/>
    <mergeCell ref="U13:AB13"/>
    <mergeCell ref="B18:G18"/>
    <mergeCell ref="H18:S18"/>
    <mergeCell ref="B19:G19"/>
    <mergeCell ref="H19:M19"/>
    <mergeCell ref="N19:S19"/>
    <mergeCell ref="B15:G15"/>
    <mergeCell ref="H15:T15"/>
    <mergeCell ref="AK15:AO15"/>
    <mergeCell ref="AP15:AU15"/>
    <mergeCell ref="AC15:AJ15"/>
    <mergeCell ref="U15:AB15"/>
    <mergeCell ref="U17:AC17"/>
    <mergeCell ref="U18:Z18"/>
    <mergeCell ref="U19:Z19"/>
    <mergeCell ref="AN19:AO19"/>
    <mergeCell ref="AP19:AU19"/>
    <mergeCell ref="AE17:AU17"/>
    <mergeCell ref="AE18:AM18"/>
    <mergeCell ref="AN18:AO18"/>
    <mergeCell ref="AP18:AU18"/>
    <mergeCell ref="AE19:AM19"/>
    <mergeCell ref="B17:S17"/>
    <mergeCell ref="B24:G24"/>
    <mergeCell ref="H24:J24"/>
    <mergeCell ref="K24:M24"/>
    <mergeCell ref="N24:P24"/>
    <mergeCell ref="Q24:S24"/>
    <mergeCell ref="B25:I25"/>
    <mergeCell ref="B23:D23"/>
    <mergeCell ref="E23:G23"/>
    <mergeCell ref="H23:J23"/>
    <mergeCell ref="K23:M23"/>
    <mergeCell ref="N23:P23"/>
    <mergeCell ref="Q23:S23"/>
    <mergeCell ref="B22:D22"/>
    <mergeCell ref="E22:G22"/>
    <mergeCell ref="H22:J22"/>
    <mergeCell ref="K22:M22"/>
    <mergeCell ref="N22:P22"/>
    <mergeCell ref="Q22:S22"/>
    <mergeCell ref="N20:P20"/>
    <mergeCell ref="Q20:S20"/>
    <mergeCell ref="B21:D21"/>
    <mergeCell ref="E21:G21"/>
    <mergeCell ref="H21:J21"/>
    <mergeCell ref="K21:M21"/>
    <mergeCell ref="N21:P21"/>
    <mergeCell ref="Q21:S21"/>
    <mergeCell ref="B20:D20"/>
    <mergeCell ref="E20:G20"/>
    <mergeCell ref="H20:J20"/>
    <mergeCell ref="K20:M20"/>
    <mergeCell ref="AE24:AF24"/>
    <mergeCell ref="AE25:AF25"/>
    <mergeCell ref="U23:AC23"/>
    <mergeCell ref="U22:Z22"/>
    <mergeCell ref="AA18:AC18"/>
    <mergeCell ref="AA19:AC19"/>
    <mergeCell ref="AA20:AC20"/>
    <mergeCell ref="AA21:AC21"/>
    <mergeCell ref="AA22:AC22"/>
    <mergeCell ref="U24:Y24"/>
    <mergeCell ref="Z24:AC24"/>
    <mergeCell ref="U20:Z20"/>
    <mergeCell ref="U21:Z21"/>
    <mergeCell ref="AP20:AQ20"/>
    <mergeCell ref="AR20:AU20"/>
    <mergeCell ref="AJ20:AO20"/>
    <mergeCell ref="AE20:AF20"/>
    <mergeCell ref="AM21:AO21"/>
    <mergeCell ref="AJ22:AL22"/>
    <mergeCell ref="AM22:AO22"/>
    <mergeCell ref="AJ23:AL23"/>
    <mergeCell ref="AM23:AO23"/>
    <mergeCell ref="AE21:AF21"/>
    <mergeCell ref="AE22:AF22"/>
    <mergeCell ref="AE23:AF23"/>
    <mergeCell ref="AJ24:AL24"/>
    <mergeCell ref="AM24:AO24"/>
    <mergeCell ref="AJ21:AL21"/>
    <mergeCell ref="AJ25:AL25"/>
    <mergeCell ref="AP21:AQ21"/>
    <mergeCell ref="AR21:AU21"/>
    <mergeCell ref="AP22:AQ22"/>
    <mergeCell ref="AR22:AU22"/>
    <mergeCell ref="AP23:AQ23"/>
    <mergeCell ref="AR23:AU23"/>
    <mergeCell ref="AP24:AQ24"/>
    <mergeCell ref="AR24:AU24"/>
    <mergeCell ref="AP25:AQ25"/>
    <mergeCell ref="AK28:AM28"/>
    <mergeCell ref="AN28:AO28"/>
    <mergeCell ref="AP28:AQ28"/>
    <mergeCell ref="AR28:AU28"/>
    <mergeCell ref="AE29:AF29"/>
    <mergeCell ref="AN29:AO29"/>
    <mergeCell ref="AR25:AU25"/>
    <mergeCell ref="AE26:AU26"/>
    <mergeCell ref="B28:AC28"/>
    <mergeCell ref="AE28:AH28"/>
    <mergeCell ref="AI28:AJ28"/>
    <mergeCell ref="AM25:AO25"/>
    <mergeCell ref="Z29:AC29"/>
    <mergeCell ref="B29:D29"/>
    <mergeCell ref="E29:H29"/>
    <mergeCell ref="N29:Y29"/>
    <mergeCell ref="I29:M29"/>
    <mergeCell ref="U25:Y25"/>
    <mergeCell ref="U26:Y26"/>
    <mergeCell ref="Z25:AC25"/>
    <mergeCell ref="Z26:AC26"/>
    <mergeCell ref="B26:I26"/>
    <mergeCell ref="J25:S25"/>
    <mergeCell ref="J26:S26"/>
    <mergeCell ref="AN30:AO30"/>
    <mergeCell ref="AN31:AO31"/>
    <mergeCell ref="AN32:AO32"/>
    <mergeCell ref="AP29:AQ29"/>
    <mergeCell ref="AP30:AQ30"/>
    <mergeCell ref="AP31:AQ31"/>
    <mergeCell ref="AP32:AQ32"/>
    <mergeCell ref="AE30:AF30"/>
    <mergeCell ref="AE31:AF31"/>
    <mergeCell ref="AE32:AF32"/>
    <mergeCell ref="AI29:AJ29"/>
    <mergeCell ref="AI30:AJ30"/>
    <mergeCell ref="AI31:AJ31"/>
    <mergeCell ref="AI32:AJ32"/>
    <mergeCell ref="AG32:AH32"/>
    <mergeCell ref="AM33:AO33"/>
    <mergeCell ref="AP33:AR33"/>
    <mergeCell ref="AS33:AU33"/>
    <mergeCell ref="AJ33:AL33"/>
    <mergeCell ref="AE33:AI33"/>
    <mergeCell ref="AJ34:AL34"/>
    <mergeCell ref="AM34:AO34"/>
    <mergeCell ref="AR32:AU32"/>
    <mergeCell ref="AG20:AI20"/>
    <mergeCell ref="AG21:AI21"/>
    <mergeCell ref="AG22:AI22"/>
    <mergeCell ref="AG23:AI23"/>
    <mergeCell ref="AG24:AI24"/>
    <mergeCell ref="AG25:AI25"/>
    <mergeCell ref="AG29:AH29"/>
    <mergeCell ref="AG30:AH30"/>
    <mergeCell ref="AG31:AH31"/>
    <mergeCell ref="AK32:AM32"/>
    <mergeCell ref="AK31:AM31"/>
    <mergeCell ref="AK30:AM30"/>
    <mergeCell ref="AK29:AM29"/>
    <mergeCell ref="AR29:AU29"/>
    <mergeCell ref="AR30:AU30"/>
    <mergeCell ref="AR31:AU31"/>
    <mergeCell ref="AE34:AI34"/>
    <mergeCell ref="AE35:AI35"/>
    <mergeCell ref="AE36:AI36"/>
    <mergeCell ref="AE37:AI37"/>
    <mergeCell ref="AE38:AI38"/>
    <mergeCell ref="AJ36:AL36"/>
    <mergeCell ref="AM36:AO36"/>
    <mergeCell ref="AP36:AR36"/>
    <mergeCell ref="AS36:AU36"/>
    <mergeCell ref="AJ37:AL37"/>
    <mergeCell ref="AM37:AO37"/>
    <mergeCell ref="AP37:AR37"/>
    <mergeCell ref="AS37:AU37"/>
    <mergeCell ref="AP34:AR34"/>
    <mergeCell ref="AS34:AU34"/>
    <mergeCell ref="AJ35:AL35"/>
    <mergeCell ref="AM35:AO35"/>
    <mergeCell ref="AP35:AR35"/>
    <mergeCell ref="E30:H30"/>
    <mergeCell ref="E31:H31"/>
    <mergeCell ref="E32:H32"/>
    <mergeCell ref="E33:H33"/>
    <mergeCell ref="E34:H34"/>
    <mergeCell ref="B37:D37"/>
    <mergeCell ref="Z37:AC37"/>
    <mergeCell ref="B38:D38"/>
    <mergeCell ref="Z38:AC38"/>
    <mergeCell ref="B35:D35"/>
    <mergeCell ref="Z35:AC35"/>
    <mergeCell ref="B36:D36"/>
    <mergeCell ref="Z36:AC36"/>
    <mergeCell ref="B33:D33"/>
    <mergeCell ref="Z33:AC33"/>
    <mergeCell ref="B34:D34"/>
    <mergeCell ref="Z34:AC34"/>
    <mergeCell ref="B31:D31"/>
    <mergeCell ref="Z31:AC31"/>
    <mergeCell ref="B32:D32"/>
    <mergeCell ref="Z32:AC32"/>
    <mergeCell ref="B30:D30"/>
    <mergeCell ref="Z30:AC30"/>
    <mergeCell ref="N30:Y30"/>
    <mergeCell ref="N31:Y31"/>
    <mergeCell ref="N32:Y32"/>
    <mergeCell ref="N33:Y33"/>
    <mergeCell ref="N34:Y34"/>
    <mergeCell ref="I33:M33"/>
    <mergeCell ref="I34:M34"/>
    <mergeCell ref="I31:M31"/>
    <mergeCell ref="I32:M32"/>
    <mergeCell ref="I30:M30"/>
    <mergeCell ref="AW1:AX1"/>
    <mergeCell ref="AF69:AU69"/>
    <mergeCell ref="AS64:AU64"/>
    <mergeCell ref="AS65:AU65"/>
    <mergeCell ref="Y69:AE69"/>
    <mergeCell ref="AF64:AK65"/>
    <mergeCell ref="AL64:AO64"/>
    <mergeCell ref="AL65:AO65"/>
    <mergeCell ref="AP64:AR64"/>
    <mergeCell ref="AP65:AR65"/>
    <mergeCell ref="N38:Y38"/>
    <mergeCell ref="B40:AU40"/>
    <mergeCell ref="E35:H35"/>
    <mergeCell ref="E36:H36"/>
    <mergeCell ref="E37:H37"/>
    <mergeCell ref="E38:H38"/>
    <mergeCell ref="I37:M37"/>
    <mergeCell ref="I38:M38"/>
    <mergeCell ref="I35:M35"/>
    <mergeCell ref="I36:M36"/>
    <mergeCell ref="AS35:AU35"/>
    <mergeCell ref="AJ38:AL38"/>
    <mergeCell ref="AM38:AO38"/>
    <mergeCell ref="AP38:AR38"/>
    <mergeCell ref="B61:H62"/>
    <mergeCell ref="I61:AU62"/>
    <mergeCell ref="B42:H43"/>
    <mergeCell ref="I42:AU43"/>
    <mergeCell ref="B45:H46"/>
    <mergeCell ref="I45:AU46"/>
    <mergeCell ref="I48:AU59"/>
    <mergeCell ref="B48:H59"/>
    <mergeCell ref="N35:Y35"/>
    <mergeCell ref="N36:Y36"/>
    <mergeCell ref="N37:Y37"/>
    <mergeCell ref="AS38:AU38"/>
  </mergeCells>
  <conditionalFormatting sqref="O2:AM3">
    <cfRule type="cellIs" dxfId="8" priority="9" operator="equal">
      <formula>"Third Party Service"</formula>
    </cfRule>
    <cfRule type="cellIs" dxfId="7" priority="10" operator="equal">
      <formula>"Unit Service Report"</formula>
    </cfRule>
  </conditionalFormatting>
  <conditionalFormatting sqref="B5:AU5 B9:AU9 B13:AU13 AE17:AU17 U17:AC17 B17:S17 B28:AC28 B40:AU40">
    <cfRule type="expression" dxfId="6" priority="7">
      <formula>O2="Unit Service Report"</formula>
    </cfRule>
    <cfRule type="expression" dxfId="5" priority="8">
      <formula>$O$2="Third Party Service"</formula>
    </cfRule>
  </conditionalFormatting>
  <conditionalFormatting sqref="B5:AU5 B9:AU9 B13:AU13 B17:S17 U17:AC17 AE17:AU17 B28:AC28 B40:AU40">
    <cfRule type="expression" dxfId="4" priority="5">
      <formula>$O$2="Unit Service Report"</formula>
    </cfRule>
  </conditionalFormatting>
  <conditionalFormatting sqref="AE17:AU38">
    <cfRule type="expression" dxfId="3" priority="4">
      <formula>$O$2="Lost Time Report"</formula>
    </cfRule>
  </conditionalFormatting>
  <conditionalFormatting sqref="AC15:AJ15">
    <cfRule type="expression" dxfId="2" priority="2">
      <formula>AP12="Unit Service Report"</formula>
    </cfRule>
    <cfRule type="expression" dxfId="1" priority="3">
      <formula>$O$2="Third Party Service"</formula>
    </cfRule>
  </conditionalFormatting>
  <conditionalFormatting sqref="AC15:AJ15">
    <cfRule type="expression" dxfId="0" priority="1">
      <formula>$O$2="Unit Service Report"</formula>
    </cfRule>
  </conditionalFormatting>
  <dataValidations count="16">
    <dataValidation type="list" allowBlank="1" showInputMessage="1" showErrorMessage="1" sqref="H67:W67">
      <formula1>ApprovalList</formula1>
    </dataValidation>
    <dataValidation type="list" allowBlank="1" showInputMessage="1" showErrorMessage="1" sqref="M64:R65">
      <formula1>"Yes, No"</formula1>
    </dataValidation>
    <dataValidation type="list" allowBlank="1" showInputMessage="1" showErrorMessage="1" sqref="B21:G23">
      <formula1>Time</formula1>
    </dataValidation>
    <dataValidation type="list" allowBlank="1" showInputMessage="1" showErrorMessage="1" sqref="H15:T15">
      <formula1>EmpName</formula1>
    </dataValidation>
    <dataValidation type="list" allowBlank="1" showInputMessage="1" showErrorMessage="1" sqref="B11:G11">
      <formula1>JobName</formula1>
    </dataValidation>
    <dataValidation type="list" allowBlank="1" showInputMessage="1" showErrorMessage="1" sqref="H11:T11">
      <formula1>ChargeTo</formula1>
    </dataValidation>
    <dataValidation type="list" allowBlank="1" showInputMessage="1" showErrorMessage="1" sqref="Z24">
      <formula1>RoadConditions</formula1>
    </dataValidation>
    <dataValidation type="list" allowBlank="1" showInputMessage="1" showErrorMessage="1" sqref="Z25:AC25">
      <formula1>MealsLodging</formula1>
    </dataValidation>
    <dataValidation type="list" allowBlank="1" showInputMessage="1" showErrorMessage="1" sqref="U15:AB15">
      <formula1>VehicleNo</formula1>
    </dataValidation>
    <dataValidation type="list" allowBlank="1" showInputMessage="1" showErrorMessage="1" sqref="H18:S18">
      <formula1>ServiceRate</formula1>
    </dataValidation>
    <dataValidation type="list" allowBlank="1" showInputMessage="1" showErrorMessage="1" sqref="J25:S25">
      <formula1>OtherExp</formula1>
    </dataValidation>
    <dataValidation type="list" allowBlank="1" showInputMessage="1" showErrorMessage="1" sqref="J26:S26">
      <formula1>ExcessTime</formula1>
    </dataValidation>
    <dataValidation type="list" allowBlank="1" showInputMessage="1" showErrorMessage="1" sqref="E30:H38">
      <formula1>Warehouse</formula1>
    </dataValidation>
    <dataValidation type="list" allowBlank="1" showInputMessage="1" showErrorMessage="1" sqref="H7:T7">
      <formula1>CustomerNames</formula1>
    </dataValidation>
    <dataValidation type="list" allowBlank="1" showInputMessage="1" showErrorMessage="1" sqref="AK11:AO11">
      <formula1>DriverName</formula1>
    </dataValidation>
    <dataValidation type="list" allowBlank="1" showInputMessage="1" showErrorMessage="1" sqref="AP11:AU11">
      <formula1>CompressorName</formula1>
    </dataValidation>
  </dataValidations>
  <printOptions horizontalCentered="1" verticalCentered="1"/>
  <pageMargins left="0.25" right="0.25" top="0.75" bottom="0.75" header="0.3" footer="0.3"/>
  <pageSetup scale="6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13"/>
  <sheetViews>
    <sheetView showGridLines="0" workbookViewId="0">
      <selection activeCell="E10" sqref="E10"/>
    </sheetView>
  </sheetViews>
  <sheetFormatPr defaultRowHeight="15" x14ac:dyDescent="0.25"/>
  <cols>
    <col min="1" max="1" width="2.85546875" customWidth="1"/>
    <col min="5" max="5" width="12" bestFit="1" customWidth="1"/>
    <col min="8" max="8" width="9.140625" style="14"/>
    <col min="9" max="9" width="15.7109375" style="14" bestFit="1" customWidth="1"/>
    <col min="11" max="11" width="16.7109375" bestFit="1" customWidth="1"/>
  </cols>
  <sheetData>
    <row r="2" spans="2:19" x14ac:dyDescent="0.25">
      <c r="B2" s="59" t="s">
        <v>13</v>
      </c>
      <c r="C2" s="59"/>
      <c r="D2" s="59"/>
      <c r="E2" s="59" t="s">
        <v>14</v>
      </c>
      <c r="F2" s="59"/>
      <c r="G2" s="61"/>
      <c r="I2" s="61" t="s">
        <v>334</v>
      </c>
      <c r="K2" s="119" t="s">
        <v>326</v>
      </c>
      <c r="L2" s="119"/>
      <c r="M2" s="119"/>
      <c r="N2" s="119" t="s">
        <v>327</v>
      </c>
      <c r="O2" s="119"/>
      <c r="P2" s="119"/>
      <c r="Q2" s="119" t="s">
        <v>336</v>
      </c>
      <c r="R2" s="119"/>
      <c r="S2" s="119"/>
    </row>
    <row r="3" spans="2:19" x14ac:dyDescent="0.25">
      <c r="B3" s="162" t="str">
        <f>IF(Output!$B21,Output!$B21,"")</f>
        <v/>
      </c>
      <c r="C3" s="163"/>
      <c r="D3" s="164"/>
      <c r="E3" s="162" t="str">
        <f>IF(Output!$E21,Output!$E21,"")</f>
        <v/>
      </c>
      <c r="F3" s="163"/>
      <c r="G3" s="164"/>
      <c r="I3" s="65">
        <f t="shared" ref="I3:I4" si="0">IFERROR((E3-B3)*24,0)</f>
        <v>0</v>
      </c>
      <c r="K3" s="168">
        <v>42370.208333333285</v>
      </c>
      <c r="L3" s="169"/>
      <c r="M3" s="170"/>
      <c r="N3" s="168">
        <v>42370.708333333168</v>
      </c>
      <c r="O3" s="169"/>
      <c r="P3" s="170"/>
      <c r="Q3" s="165">
        <v>8</v>
      </c>
      <c r="R3" s="166"/>
      <c r="S3" s="167"/>
    </row>
    <row r="4" spans="2:19" x14ac:dyDescent="0.25">
      <c r="B4" s="162" t="str">
        <f>IF(Output!$B22,Output!$B22,"")</f>
        <v/>
      </c>
      <c r="C4" s="163"/>
      <c r="D4" s="164"/>
      <c r="E4" s="162" t="str">
        <f>IF(Output!$E22,Output!$E22,"")</f>
        <v/>
      </c>
      <c r="F4" s="163"/>
      <c r="G4" s="164"/>
      <c r="I4" s="65">
        <f t="shared" si="0"/>
        <v>0</v>
      </c>
    </row>
    <row r="5" spans="2:19" x14ac:dyDescent="0.25">
      <c r="B5" s="162" t="str">
        <f>IF(Output!$B23,Output!$B23,"")</f>
        <v/>
      </c>
      <c r="C5" s="163"/>
      <c r="D5" s="164"/>
      <c r="E5" s="162" t="str">
        <f>IF(Output!$E23,Output!$E23,"")</f>
        <v/>
      </c>
      <c r="F5" s="163"/>
      <c r="G5" s="164"/>
      <c r="I5" s="65">
        <f>IFERROR((E5-B5)*24,0)</f>
        <v>0</v>
      </c>
    </row>
    <row r="6" spans="2:19" x14ac:dyDescent="0.25">
      <c r="I6" s="66">
        <f>SUM(I3:I5)</f>
        <v>0</v>
      </c>
    </row>
    <row r="7" spans="2:19" x14ac:dyDescent="0.25">
      <c r="B7" s="59" t="s">
        <v>12</v>
      </c>
      <c r="C7" s="60"/>
      <c r="D7" s="58"/>
      <c r="E7" s="61" t="s">
        <v>329</v>
      </c>
      <c r="F7" s="61" t="s">
        <v>329</v>
      </c>
      <c r="G7" s="61" t="s">
        <v>329</v>
      </c>
    </row>
    <row r="8" spans="2:19" x14ac:dyDescent="0.25">
      <c r="B8" s="55" t="s">
        <v>328</v>
      </c>
      <c r="C8" s="56"/>
      <c r="D8" s="57"/>
      <c r="E8" s="62">
        <f>IFERROR((IF($B$3&lt;$K$3,$K$3-$B$3,0) + IF($E$3&gt;$N$3,$E$3-$N$3,0))*24,0)</f>
        <v>0</v>
      </c>
      <c r="F8" s="62">
        <f>IFERROR((IF($B$4&lt;$K$3,$K$3-$B$4,0) + IF($E$4&gt;$N$3,$E$4-$N$3,0))*24,0)</f>
        <v>0</v>
      </c>
      <c r="G8" s="62">
        <f>IFERROR((IF($B$5&lt;$K$3,$K$3-$B$5,0) + IF($E$5&gt;$N$3,$E$5-$N$3,0))*24,0)</f>
        <v>0</v>
      </c>
      <c r="I8" s="61" t="s">
        <v>335</v>
      </c>
      <c r="K8" s="67" t="s">
        <v>337</v>
      </c>
      <c r="L8" s="67" t="s">
        <v>338</v>
      </c>
      <c r="M8" s="67" t="s">
        <v>339</v>
      </c>
    </row>
    <row r="9" spans="2:19" x14ac:dyDescent="0.25">
      <c r="B9" s="55" t="s">
        <v>325</v>
      </c>
      <c r="C9" s="56"/>
      <c r="D9" s="57"/>
      <c r="E9" s="62">
        <f>M9</f>
        <v>0</v>
      </c>
      <c r="F9" s="62">
        <f>M10</f>
        <v>0</v>
      </c>
      <c r="G9" s="62">
        <f>M11</f>
        <v>0</v>
      </c>
      <c r="I9" s="66">
        <f>MAX(0,(I6-$Q$3)-SUM($E$8:$G$8))</f>
        <v>0</v>
      </c>
      <c r="K9" s="68">
        <f>MAX(0,$Q$3-SUM($I3:$I$3))</f>
        <v>8</v>
      </c>
      <c r="L9" s="68">
        <f>I9</f>
        <v>0</v>
      </c>
      <c r="M9" s="68">
        <f>IF($K9&gt;0,0,$L$9)</f>
        <v>0</v>
      </c>
    </row>
    <row r="10" spans="2:19" x14ac:dyDescent="0.25">
      <c r="B10" s="55" t="s">
        <v>324</v>
      </c>
      <c r="C10" s="56"/>
      <c r="D10" s="57"/>
      <c r="E10" s="62">
        <f ca="1">IF(Output!$AX$43,IFERROR(($E$3-$B$3)*24-SUM($E$8:$E$9),0),0)</f>
        <v>0</v>
      </c>
      <c r="F10" s="62">
        <f ca="1">IF(Output!$AX$43,IFERROR(($E$4-$B$4)*24-SUM($F$8:$F$9),0),0)</f>
        <v>0</v>
      </c>
      <c r="G10" s="62">
        <f ca="1">IF(Output!$AX$43,IFERROR(($E$5-$B$5)*24-SUM($G$8:$G$9),0),0)</f>
        <v>0</v>
      </c>
      <c r="K10" s="68">
        <f>MAX(0,$Q$3-SUM($I$3:$I4))</f>
        <v>8</v>
      </c>
      <c r="L10" s="68">
        <f>L9-M9</f>
        <v>0</v>
      </c>
      <c r="M10" s="68">
        <f>IF($K10&gt;0,0,$L$10)</f>
        <v>0</v>
      </c>
    </row>
    <row r="11" spans="2:19" x14ac:dyDescent="0.25">
      <c r="B11" s="59" t="s">
        <v>330</v>
      </c>
      <c r="C11" s="60"/>
      <c r="D11" s="58"/>
      <c r="E11" s="63">
        <f ca="1">SUM(E8:E10)</f>
        <v>0</v>
      </c>
      <c r="F11" s="63">
        <f ca="1">SUM(F8:F10)</f>
        <v>0</v>
      </c>
      <c r="G11" s="63">
        <f ca="1">SUM(G8:G10)</f>
        <v>0</v>
      </c>
      <c r="K11" s="68">
        <f>MAX(0,$Q$3-SUM($I$3:$I5))</f>
        <v>8</v>
      </c>
      <c r="L11" s="68">
        <f>L10-M10</f>
        <v>0</v>
      </c>
      <c r="M11" s="68">
        <f>IF($K11&gt;0,0,$L$11)</f>
        <v>0</v>
      </c>
    </row>
    <row r="12" spans="2:19" x14ac:dyDescent="0.25">
      <c r="B12" s="59" t="s">
        <v>331</v>
      </c>
      <c r="C12" s="60"/>
      <c r="D12" s="58"/>
      <c r="E12" s="63">
        <f ca="1">E13-E11</f>
        <v>0</v>
      </c>
      <c r="F12" s="63">
        <f ca="1">F13-F11</f>
        <v>0</v>
      </c>
      <c r="G12" s="63">
        <f ca="1">G13-G11</f>
        <v>0</v>
      </c>
    </row>
    <row r="13" spans="2:19" x14ac:dyDescent="0.25">
      <c r="B13" s="59" t="s">
        <v>332</v>
      </c>
      <c r="C13" s="60"/>
      <c r="D13" s="58"/>
      <c r="E13" s="63">
        <f>IFERROR(($E$3-$B$3)*24,0)</f>
        <v>0</v>
      </c>
      <c r="F13" s="63">
        <f>IFERROR(($E$4-$B$4)*24,0)</f>
        <v>0</v>
      </c>
      <c r="G13" s="63">
        <f>IFERROR(($E$5-$B$5)*24,0)</f>
        <v>0</v>
      </c>
    </row>
  </sheetData>
  <mergeCells count="12">
    <mergeCell ref="B5:D5"/>
    <mergeCell ref="E5:G5"/>
    <mergeCell ref="B3:D3"/>
    <mergeCell ref="E3:G3"/>
    <mergeCell ref="Q2:S2"/>
    <mergeCell ref="Q3:S3"/>
    <mergeCell ref="K2:M2"/>
    <mergeCell ref="N2:P2"/>
    <mergeCell ref="K3:M3"/>
    <mergeCell ref="N3:P3"/>
    <mergeCell ref="B4:D4"/>
    <mergeCell ref="E4:G4"/>
  </mergeCells>
  <dataValidations disablePrompts="1" count="1">
    <dataValidation type="list" allowBlank="1" showInputMessage="1" showErrorMessage="1" sqref="K3:P3 B3:G5">
      <formula1>Time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116"/>
  <sheetViews>
    <sheetView workbookViewId="0">
      <selection activeCell="H8" sqref="H8"/>
    </sheetView>
  </sheetViews>
  <sheetFormatPr defaultColWidth="0" defaultRowHeight="15" zeroHeight="1" x14ac:dyDescent="0.25"/>
  <cols>
    <col min="1" max="1" width="12" style="16" customWidth="1"/>
    <col min="2" max="2" width="34.42578125" style="16" bestFit="1" customWidth="1"/>
    <col min="3" max="28" width="15.7109375" style="16" customWidth="1"/>
    <col min="29" max="31" width="0" style="38" hidden="1" customWidth="1"/>
    <col min="32" max="16384" width="9.140625" style="38" hidden="1"/>
  </cols>
  <sheetData>
    <row r="1" spans="1:28" ht="30" x14ac:dyDescent="0.25">
      <c r="A1" s="43" t="s">
        <v>240</v>
      </c>
      <c r="B1" s="43" t="s">
        <v>241</v>
      </c>
      <c r="C1" s="44" t="s">
        <v>86</v>
      </c>
      <c r="D1" s="44" t="s">
        <v>200</v>
      </c>
      <c r="E1" s="44" t="s">
        <v>201</v>
      </c>
      <c r="F1" s="44" t="s">
        <v>202</v>
      </c>
      <c r="G1" s="44" t="s">
        <v>203</v>
      </c>
      <c r="H1" s="44" t="s">
        <v>340</v>
      </c>
      <c r="I1" s="44" t="s">
        <v>204</v>
      </c>
      <c r="J1" s="44" t="s">
        <v>205</v>
      </c>
      <c r="K1" s="44" t="s">
        <v>206</v>
      </c>
      <c r="L1" s="44" t="s">
        <v>207</v>
      </c>
      <c r="M1" s="44" t="s">
        <v>208</v>
      </c>
      <c r="N1" s="44" t="s">
        <v>209</v>
      </c>
      <c r="O1" s="44" t="s">
        <v>210</v>
      </c>
      <c r="P1" s="44" t="s">
        <v>211</v>
      </c>
      <c r="Q1" s="44" t="s">
        <v>212</v>
      </c>
      <c r="R1" s="44" t="s">
        <v>213</v>
      </c>
      <c r="S1" s="44" t="s">
        <v>214</v>
      </c>
      <c r="T1" s="45" t="s">
        <v>215</v>
      </c>
      <c r="U1" s="44" t="s">
        <v>216</v>
      </c>
      <c r="V1" s="44" t="s">
        <v>199</v>
      </c>
      <c r="W1" s="36"/>
      <c r="X1" s="36"/>
      <c r="Y1" s="36"/>
      <c r="Z1" s="36"/>
      <c r="AA1" s="36"/>
      <c r="AB1" s="37"/>
    </row>
    <row r="2" spans="1:28" x14ac:dyDescent="0.25">
      <c r="A2" s="46">
        <v>1.5</v>
      </c>
      <c r="B2" s="50" t="s">
        <v>253</v>
      </c>
      <c r="C2" s="19">
        <v>0</v>
      </c>
      <c r="D2" s="33">
        <v>90</v>
      </c>
      <c r="E2" s="17">
        <v>70</v>
      </c>
      <c r="F2" s="33">
        <v>90</v>
      </c>
      <c r="G2" s="17">
        <v>73</v>
      </c>
      <c r="H2" s="17">
        <v>115</v>
      </c>
      <c r="I2" s="33">
        <v>125</v>
      </c>
      <c r="J2" s="17">
        <v>125</v>
      </c>
      <c r="K2" s="17">
        <v>125</v>
      </c>
      <c r="L2" s="17">
        <v>85</v>
      </c>
      <c r="M2" s="33">
        <v>65</v>
      </c>
      <c r="N2" s="17">
        <v>110</v>
      </c>
      <c r="O2" s="33">
        <v>120</v>
      </c>
      <c r="P2" s="17">
        <v>115</v>
      </c>
      <c r="Q2" s="17">
        <v>115</v>
      </c>
      <c r="R2" s="17">
        <v>0</v>
      </c>
      <c r="S2" s="33">
        <v>140</v>
      </c>
      <c r="T2" s="17">
        <v>0</v>
      </c>
      <c r="U2" s="33">
        <v>90</v>
      </c>
      <c r="V2" s="17">
        <v>2.25</v>
      </c>
      <c r="W2" s="33"/>
      <c r="X2" s="17"/>
      <c r="Y2" s="33"/>
      <c r="Z2" s="17"/>
      <c r="AA2" s="33"/>
      <c r="AB2" s="17"/>
    </row>
    <row r="3" spans="1:28" x14ac:dyDescent="0.25">
      <c r="A3" s="47">
        <v>1.5</v>
      </c>
      <c r="B3" s="50" t="s">
        <v>254</v>
      </c>
      <c r="C3" s="19">
        <v>0</v>
      </c>
      <c r="D3" s="33">
        <v>90</v>
      </c>
      <c r="E3" s="17">
        <v>70</v>
      </c>
      <c r="F3" s="33">
        <v>90</v>
      </c>
      <c r="G3" s="17">
        <v>73</v>
      </c>
      <c r="H3" s="17">
        <v>115</v>
      </c>
      <c r="I3" s="33">
        <v>125</v>
      </c>
      <c r="J3" s="17">
        <v>125</v>
      </c>
      <c r="K3" s="17">
        <v>125</v>
      </c>
      <c r="L3" s="17">
        <v>85</v>
      </c>
      <c r="M3" s="33">
        <v>65</v>
      </c>
      <c r="N3" s="17">
        <v>110</v>
      </c>
      <c r="O3" s="33">
        <v>120</v>
      </c>
      <c r="P3" s="17">
        <v>115</v>
      </c>
      <c r="Q3" s="17">
        <v>115</v>
      </c>
      <c r="R3" s="17">
        <v>0</v>
      </c>
      <c r="S3" s="33">
        <v>140</v>
      </c>
      <c r="T3" s="17">
        <v>0</v>
      </c>
      <c r="U3" s="33">
        <v>90</v>
      </c>
      <c r="V3" s="17">
        <v>2.25</v>
      </c>
      <c r="W3" s="33"/>
      <c r="X3" s="17"/>
      <c r="Y3" s="33"/>
      <c r="Z3" s="17"/>
      <c r="AA3" s="33"/>
      <c r="AB3" s="17"/>
    </row>
    <row r="4" spans="1:28" x14ac:dyDescent="0.25">
      <c r="A4" s="47">
        <v>1.5</v>
      </c>
      <c r="B4" s="50" t="s">
        <v>255</v>
      </c>
      <c r="C4" s="19">
        <v>0</v>
      </c>
      <c r="D4" s="33">
        <v>90</v>
      </c>
      <c r="E4" s="17">
        <v>70</v>
      </c>
      <c r="F4" s="33">
        <v>90</v>
      </c>
      <c r="G4" s="17">
        <v>73</v>
      </c>
      <c r="H4" s="17">
        <v>115</v>
      </c>
      <c r="I4" s="33">
        <v>125</v>
      </c>
      <c r="J4" s="17">
        <v>125</v>
      </c>
      <c r="K4" s="17">
        <v>125</v>
      </c>
      <c r="L4" s="17">
        <v>85</v>
      </c>
      <c r="M4" s="33">
        <v>65</v>
      </c>
      <c r="N4" s="17">
        <v>110</v>
      </c>
      <c r="O4" s="33">
        <v>120</v>
      </c>
      <c r="P4" s="17">
        <v>115</v>
      </c>
      <c r="Q4" s="17">
        <v>115</v>
      </c>
      <c r="R4" s="17">
        <v>0</v>
      </c>
      <c r="S4" s="33">
        <v>140</v>
      </c>
      <c r="T4" s="17">
        <v>0</v>
      </c>
      <c r="U4" s="33">
        <v>90</v>
      </c>
      <c r="V4" s="17">
        <v>2.25</v>
      </c>
      <c r="W4" s="33"/>
      <c r="X4" s="17"/>
      <c r="Y4" s="33"/>
      <c r="Z4" s="17"/>
      <c r="AA4" s="33"/>
      <c r="AB4" s="17"/>
    </row>
    <row r="5" spans="1:28" x14ac:dyDescent="0.25">
      <c r="A5" s="47">
        <v>1.5</v>
      </c>
      <c r="B5" s="50" t="s">
        <v>256</v>
      </c>
      <c r="C5" s="19">
        <v>0</v>
      </c>
      <c r="D5" s="33">
        <v>90</v>
      </c>
      <c r="E5" s="17">
        <v>70</v>
      </c>
      <c r="F5" s="33">
        <v>90</v>
      </c>
      <c r="G5" s="17">
        <v>73</v>
      </c>
      <c r="H5" s="17">
        <v>115</v>
      </c>
      <c r="I5" s="33">
        <v>125</v>
      </c>
      <c r="J5" s="17">
        <v>125</v>
      </c>
      <c r="K5" s="17">
        <v>125</v>
      </c>
      <c r="L5" s="17">
        <v>85</v>
      </c>
      <c r="M5" s="33">
        <v>65</v>
      </c>
      <c r="N5" s="17">
        <v>110</v>
      </c>
      <c r="O5" s="33">
        <v>120</v>
      </c>
      <c r="P5" s="17">
        <v>115</v>
      </c>
      <c r="Q5" s="17">
        <v>115</v>
      </c>
      <c r="R5" s="17">
        <v>0</v>
      </c>
      <c r="S5" s="33">
        <v>140</v>
      </c>
      <c r="T5" s="17">
        <v>0</v>
      </c>
      <c r="U5" s="33">
        <v>90</v>
      </c>
      <c r="V5" s="17">
        <v>2.25</v>
      </c>
      <c r="W5" s="33"/>
      <c r="X5" s="17"/>
      <c r="Y5" s="33"/>
      <c r="Z5" s="17"/>
      <c r="AA5" s="33"/>
      <c r="AB5" s="17"/>
    </row>
    <row r="6" spans="1:28" x14ac:dyDescent="0.25">
      <c r="A6" s="47">
        <v>1.5</v>
      </c>
      <c r="B6" s="50" t="s">
        <v>257</v>
      </c>
      <c r="C6" s="19">
        <v>0</v>
      </c>
      <c r="D6" s="33">
        <v>95</v>
      </c>
      <c r="E6" s="17">
        <v>70</v>
      </c>
      <c r="F6" s="33">
        <v>90</v>
      </c>
      <c r="G6" s="17">
        <v>73</v>
      </c>
      <c r="H6" s="17">
        <v>115</v>
      </c>
      <c r="I6" s="33">
        <v>125</v>
      </c>
      <c r="J6" s="17">
        <v>125</v>
      </c>
      <c r="K6" s="17">
        <v>125</v>
      </c>
      <c r="L6" s="17">
        <v>85</v>
      </c>
      <c r="M6" s="33">
        <v>65</v>
      </c>
      <c r="N6" s="17">
        <v>110</v>
      </c>
      <c r="O6" s="33">
        <v>120</v>
      </c>
      <c r="P6" s="17">
        <v>115</v>
      </c>
      <c r="Q6" s="17">
        <v>115</v>
      </c>
      <c r="R6" s="17">
        <v>0</v>
      </c>
      <c r="S6" s="33">
        <v>140</v>
      </c>
      <c r="T6" s="17">
        <v>0</v>
      </c>
      <c r="U6" s="33">
        <v>90</v>
      </c>
      <c r="V6" s="17">
        <v>2.75</v>
      </c>
      <c r="W6" s="33"/>
      <c r="X6" s="17"/>
      <c r="Y6" s="33"/>
      <c r="Z6" s="17"/>
      <c r="AA6" s="33"/>
      <c r="AB6" s="17"/>
    </row>
    <row r="7" spans="1:28" x14ac:dyDescent="0.25">
      <c r="A7" s="47">
        <v>1.5</v>
      </c>
      <c r="B7" s="50" t="s">
        <v>311</v>
      </c>
      <c r="C7" s="19">
        <v>0</v>
      </c>
      <c r="D7" s="33">
        <v>90</v>
      </c>
      <c r="E7" s="17">
        <v>70</v>
      </c>
      <c r="F7" s="33">
        <v>90</v>
      </c>
      <c r="G7" s="17">
        <v>73</v>
      </c>
      <c r="H7" s="17">
        <v>115</v>
      </c>
      <c r="I7" s="33">
        <v>125</v>
      </c>
      <c r="J7" s="17">
        <v>125</v>
      </c>
      <c r="K7" s="17">
        <v>125</v>
      </c>
      <c r="L7" s="17">
        <v>85</v>
      </c>
      <c r="M7" s="33">
        <v>65</v>
      </c>
      <c r="N7" s="17">
        <v>110</v>
      </c>
      <c r="O7" s="33">
        <v>120</v>
      </c>
      <c r="P7" s="17">
        <v>115</v>
      </c>
      <c r="Q7" s="17">
        <v>115</v>
      </c>
      <c r="R7" s="17">
        <v>0</v>
      </c>
      <c r="S7" s="33">
        <v>140</v>
      </c>
      <c r="T7" s="17">
        <v>0</v>
      </c>
      <c r="U7" s="33">
        <v>90</v>
      </c>
      <c r="V7" s="17">
        <v>2.25</v>
      </c>
      <c r="W7" s="33"/>
      <c r="X7" s="17"/>
      <c r="Y7" s="33"/>
      <c r="Z7" s="17"/>
      <c r="AA7" s="33"/>
      <c r="AB7" s="17"/>
    </row>
    <row r="8" spans="1:28" x14ac:dyDescent="0.25">
      <c r="A8" s="47">
        <v>1.5</v>
      </c>
      <c r="B8" s="50" t="s">
        <v>258</v>
      </c>
      <c r="C8" s="19">
        <v>0</v>
      </c>
      <c r="D8" s="33">
        <v>90</v>
      </c>
      <c r="E8" s="17">
        <v>70</v>
      </c>
      <c r="F8" s="33">
        <v>90</v>
      </c>
      <c r="G8" s="17">
        <v>73</v>
      </c>
      <c r="H8" s="17">
        <v>115</v>
      </c>
      <c r="I8" s="33">
        <v>125</v>
      </c>
      <c r="J8" s="17">
        <v>125</v>
      </c>
      <c r="K8" s="17">
        <v>125</v>
      </c>
      <c r="L8" s="17">
        <v>85</v>
      </c>
      <c r="M8" s="33">
        <v>65</v>
      </c>
      <c r="N8" s="17">
        <v>110</v>
      </c>
      <c r="O8" s="33">
        <v>120</v>
      </c>
      <c r="P8" s="17">
        <v>115</v>
      </c>
      <c r="Q8" s="17">
        <v>115</v>
      </c>
      <c r="R8" s="17">
        <v>0</v>
      </c>
      <c r="S8" s="33">
        <v>140</v>
      </c>
      <c r="T8" s="17">
        <v>0</v>
      </c>
      <c r="U8" s="33">
        <v>90</v>
      </c>
      <c r="V8" s="17">
        <v>2.35</v>
      </c>
      <c r="W8" s="33"/>
      <c r="X8" s="17"/>
      <c r="Y8" s="33"/>
      <c r="Z8" s="17"/>
      <c r="AA8" s="33"/>
      <c r="AB8" s="17"/>
    </row>
    <row r="9" spans="1:28" x14ac:dyDescent="0.25">
      <c r="A9" s="47">
        <v>1.5</v>
      </c>
      <c r="B9" s="50" t="s">
        <v>259</v>
      </c>
      <c r="C9" s="19">
        <v>0</v>
      </c>
      <c r="D9" s="33">
        <v>90</v>
      </c>
      <c r="E9" s="17">
        <v>70</v>
      </c>
      <c r="F9" s="33">
        <v>90</v>
      </c>
      <c r="G9" s="17">
        <v>73</v>
      </c>
      <c r="H9" s="17">
        <v>115</v>
      </c>
      <c r="I9" s="33">
        <v>125</v>
      </c>
      <c r="J9" s="17">
        <v>125</v>
      </c>
      <c r="K9" s="17">
        <v>125</v>
      </c>
      <c r="L9" s="17">
        <v>85</v>
      </c>
      <c r="M9" s="33">
        <v>65</v>
      </c>
      <c r="N9" s="17">
        <v>110</v>
      </c>
      <c r="O9" s="33">
        <v>120</v>
      </c>
      <c r="P9" s="17">
        <v>115</v>
      </c>
      <c r="Q9" s="17">
        <v>115</v>
      </c>
      <c r="R9" s="17">
        <v>0</v>
      </c>
      <c r="S9" s="33">
        <v>140</v>
      </c>
      <c r="T9" s="17">
        <v>0</v>
      </c>
      <c r="U9" s="33">
        <v>90</v>
      </c>
      <c r="V9" s="17">
        <v>2.25</v>
      </c>
      <c r="W9" s="33"/>
      <c r="X9" s="17"/>
      <c r="Y9" s="33"/>
      <c r="Z9" s="17"/>
      <c r="AA9" s="33"/>
      <c r="AB9" s="17"/>
    </row>
    <row r="10" spans="1:28" x14ac:dyDescent="0.25">
      <c r="A10" s="47">
        <v>1.5</v>
      </c>
      <c r="B10" s="50" t="s">
        <v>260</v>
      </c>
      <c r="C10" s="19">
        <v>0</v>
      </c>
      <c r="D10" s="33">
        <v>90</v>
      </c>
      <c r="E10" s="17">
        <v>70</v>
      </c>
      <c r="F10" s="33">
        <v>90</v>
      </c>
      <c r="G10" s="17">
        <v>73</v>
      </c>
      <c r="H10" s="17">
        <v>115</v>
      </c>
      <c r="I10" s="33">
        <v>125</v>
      </c>
      <c r="J10" s="17">
        <v>125</v>
      </c>
      <c r="K10" s="17">
        <v>125</v>
      </c>
      <c r="L10" s="17">
        <v>85</v>
      </c>
      <c r="M10" s="33">
        <v>65</v>
      </c>
      <c r="N10" s="17">
        <v>110</v>
      </c>
      <c r="O10" s="33">
        <v>120</v>
      </c>
      <c r="P10" s="17">
        <v>115</v>
      </c>
      <c r="Q10" s="17">
        <v>115</v>
      </c>
      <c r="R10" s="17">
        <v>0</v>
      </c>
      <c r="S10" s="33">
        <v>140</v>
      </c>
      <c r="T10" s="17">
        <v>0</v>
      </c>
      <c r="U10" s="33">
        <v>90</v>
      </c>
      <c r="V10" s="17">
        <v>2.25</v>
      </c>
      <c r="W10" s="34"/>
      <c r="X10" s="17"/>
      <c r="Y10" s="34"/>
      <c r="Z10" s="17"/>
      <c r="AA10" s="34"/>
      <c r="AB10" s="17"/>
    </row>
    <row r="11" spans="1:28" x14ac:dyDescent="0.25">
      <c r="A11" s="47">
        <v>1.5</v>
      </c>
      <c r="B11" s="50" t="s">
        <v>261</v>
      </c>
      <c r="C11" s="19">
        <v>0</v>
      </c>
      <c r="D11" s="33">
        <v>90</v>
      </c>
      <c r="E11" s="17">
        <v>70</v>
      </c>
      <c r="F11" s="33">
        <v>90</v>
      </c>
      <c r="G11" s="17">
        <v>73</v>
      </c>
      <c r="H11" s="17">
        <v>115</v>
      </c>
      <c r="I11" s="33">
        <v>125</v>
      </c>
      <c r="J11" s="17">
        <v>125</v>
      </c>
      <c r="K11" s="17">
        <v>125</v>
      </c>
      <c r="L11" s="17">
        <v>85</v>
      </c>
      <c r="M11" s="33">
        <v>65</v>
      </c>
      <c r="N11" s="17">
        <v>110</v>
      </c>
      <c r="O11" s="33">
        <v>120</v>
      </c>
      <c r="P11" s="17">
        <v>115</v>
      </c>
      <c r="Q11" s="17">
        <v>115</v>
      </c>
      <c r="R11" s="17">
        <v>0</v>
      </c>
      <c r="S11" s="33">
        <v>140</v>
      </c>
      <c r="T11" s="17">
        <v>0</v>
      </c>
      <c r="U11" s="33">
        <v>90</v>
      </c>
      <c r="V11" s="17">
        <v>2.25</v>
      </c>
      <c r="W11" s="34"/>
      <c r="X11" s="17"/>
      <c r="Y11" s="34"/>
      <c r="Z11" s="17"/>
      <c r="AA11" s="34"/>
      <c r="AB11" s="17"/>
    </row>
    <row r="12" spans="1:28" x14ac:dyDescent="0.25">
      <c r="A12" s="47">
        <v>1.5</v>
      </c>
      <c r="B12" s="50" t="s">
        <v>262</v>
      </c>
      <c r="C12" s="19">
        <v>0</v>
      </c>
      <c r="D12" s="33">
        <v>90</v>
      </c>
      <c r="E12" s="17">
        <v>70</v>
      </c>
      <c r="F12" s="33">
        <v>90</v>
      </c>
      <c r="G12" s="17">
        <v>73</v>
      </c>
      <c r="H12" s="17">
        <v>115</v>
      </c>
      <c r="I12" s="33">
        <v>125</v>
      </c>
      <c r="J12" s="17">
        <v>125</v>
      </c>
      <c r="K12" s="17">
        <v>125</v>
      </c>
      <c r="L12" s="17">
        <v>85</v>
      </c>
      <c r="M12" s="33">
        <v>65</v>
      </c>
      <c r="N12" s="17">
        <v>110</v>
      </c>
      <c r="O12" s="33">
        <v>120</v>
      </c>
      <c r="P12" s="17">
        <v>115</v>
      </c>
      <c r="Q12" s="17">
        <v>115</v>
      </c>
      <c r="R12" s="17">
        <v>0</v>
      </c>
      <c r="S12" s="33">
        <v>140</v>
      </c>
      <c r="T12" s="17">
        <v>0</v>
      </c>
      <c r="U12" s="33">
        <v>90</v>
      </c>
      <c r="V12" s="17">
        <v>2.25</v>
      </c>
      <c r="W12" s="34"/>
      <c r="X12" s="17"/>
      <c r="Y12" s="34"/>
      <c r="Z12" s="17"/>
      <c r="AA12" s="34"/>
      <c r="AB12" s="17"/>
    </row>
    <row r="13" spans="1:28" x14ac:dyDescent="0.25">
      <c r="A13" s="47">
        <v>1.5</v>
      </c>
      <c r="B13" s="50" t="s">
        <v>263</v>
      </c>
      <c r="C13" s="19">
        <v>0</v>
      </c>
      <c r="D13" s="33">
        <v>95</v>
      </c>
      <c r="E13" s="17">
        <v>70</v>
      </c>
      <c r="F13" s="33">
        <v>90</v>
      </c>
      <c r="G13" s="17">
        <v>73</v>
      </c>
      <c r="H13" s="17">
        <v>115</v>
      </c>
      <c r="I13" s="33">
        <v>125</v>
      </c>
      <c r="J13" s="17">
        <v>125</v>
      </c>
      <c r="K13" s="17">
        <v>125</v>
      </c>
      <c r="L13" s="17">
        <v>85</v>
      </c>
      <c r="M13" s="33">
        <v>65</v>
      </c>
      <c r="N13" s="17">
        <v>110</v>
      </c>
      <c r="O13" s="33">
        <v>120</v>
      </c>
      <c r="P13" s="17">
        <v>115</v>
      </c>
      <c r="Q13" s="17">
        <v>115</v>
      </c>
      <c r="R13" s="17">
        <v>0</v>
      </c>
      <c r="S13" s="33">
        <v>140</v>
      </c>
      <c r="T13" s="17">
        <v>0</v>
      </c>
      <c r="U13" s="33">
        <v>90</v>
      </c>
      <c r="V13" s="17">
        <v>2.75</v>
      </c>
      <c r="W13" s="34"/>
      <c r="X13" s="17"/>
      <c r="Y13" s="34"/>
      <c r="Z13" s="17"/>
      <c r="AA13" s="34"/>
      <c r="AB13" s="17"/>
    </row>
    <row r="14" spans="1:28" x14ac:dyDescent="0.25">
      <c r="A14" s="47">
        <v>1.5</v>
      </c>
      <c r="B14" s="50" t="s">
        <v>264</v>
      </c>
      <c r="C14" s="19">
        <v>0</v>
      </c>
      <c r="D14" s="33">
        <v>95</v>
      </c>
      <c r="E14" s="17">
        <v>70</v>
      </c>
      <c r="F14" s="33">
        <v>90</v>
      </c>
      <c r="G14" s="17">
        <v>73</v>
      </c>
      <c r="H14" s="17">
        <v>115</v>
      </c>
      <c r="I14" s="33">
        <v>125</v>
      </c>
      <c r="J14" s="17">
        <v>125</v>
      </c>
      <c r="K14" s="17">
        <v>125</v>
      </c>
      <c r="L14" s="17">
        <v>85</v>
      </c>
      <c r="M14" s="33">
        <v>65</v>
      </c>
      <c r="N14" s="17">
        <v>110</v>
      </c>
      <c r="O14" s="33">
        <v>120</v>
      </c>
      <c r="P14" s="17">
        <v>115</v>
      </c>
      <c r="Q14" s="17">
        <v>115</v>
      </c>
      <c r="R14" s="17">
        <v>0</v>
      </c>
      <c r="S14" s="33">
        <v>140</v>
      </c>
      <c r="T14" s="17">
        <v>0</v>
      </c>
      <c r="U14" s="33">
        <v>90</v>
      </c>
      <c r="V14" s="17">
        <v>2.75</v>
      </c>
      <c r="W14" s="34"/>
      <c r="X14" s="17"/>
      <c r="Y14" s="34"/>
      <c r="Z14" s="17"/>
      <c r="AA14" s="34"/>
      <c r="AB14" s="17"/>
    </row>
    <row r="15" spans="1:28" x14ac:dyDescent="0.25">
      <c r="A15" s="47">
        <v>1.5</v>
      </c>
      <c r="B15" s="50" t="s">
        <v>265</v>
      </c>
      <c r="C15" s="19">
        <v>0</v>
      </c>
      <c r="D15" s="33">
        <v>90</v>
      </c>
      <c r="E15" s="17">
        <v>70</v>
      </c>
      <c r="F15" s="33">
        <v>90</v>
      </c>
      <c r="G15" s="17">
        <v>73</v>
      </c>
      <c r="H15" s="17">
        <v>115</v>
      </c>
      <c r="I15" s="33">
        <v>125</v>
      </c>
      <c r="J15" s="17">
        <v>125</v>
      </c>
      <c r="K15" s="17">
        <v>125</v>
      </c>
      <c r="L15" s="17">
        <v>85</v>
      </c>
      <c r="M15" s="33">
        <v>65</v>
      </c>
      <c r="N15" s="17">
        <v>110</v>
      </c>
      <c r="O15" s="33">
        <v>120</v>
      </c>
      <c r="P15" s="17">
        <v>115</v>
      </c>
      <c r="Q15" s="17">
        <v>115</v>
      </c>
      <c r="R15" s="17">
        <v>0</v>
      </c>
      <c r="S15" s="33">
        <v>140</v>
      </c>
      <c r="T15" s="17">
        <v>0</v>
      </c>
      <c r="U15" s="33">
        <v>90</v>
      </c>
      <c r="V15" s="17">
        <v>2.25</v>
      </c>
      <c r="W15" s="34"/>
      <c r="X15" s="17"/>
      <c r="Y15" s="34"/>
      <c r="Z15" s="17"/>
      <c r="AA15" s="34"/>
      <c r="AB15" s="17"/>
    </row>
    <row r="16" spans="1:28" x14ac:dyDescent="0.25">
      <c r="A16" s="47">
        <v>1.5</v>
      </c>
      <c r="B16" s="50" t="s">
        <v>266</v>
      </c>
      <c r="C16" s="19">
        <v>0</v>
      </c>
      <c r="D16" s="33">
        <v>90</v>
      </c>
      <c r="E16" s="17">
        <v>70</v>
      </c>
      <c r="F16" s="33">
        <v>90</v>
      </c>
      <c r="G16" s="17">
        <v>73</v>
      </c>
      <c r="H16" s="17">
        <v>115</v>
      </c>
      <c r="I16" s="33">
        <v>125</v>
      </c>
      <c r="J16" s="17">
        <v>125</v>
      </c>
      <c r="K16" s="17">
        <v>125</v>
      </c>
      <c r="L16" s="17">
        <v>85</v>
      </c>
      <c r="M16" s="33">
        <v>65</v>
      </c>
      <c r="N16" s="17">
        <v>110</v>
      </c>
      <c r="O16" s="33">
        <v>120</v>
      </c>
      <c r="P16" s="17">
        <v>115</v>
      </c>
      <c r="Q16" s="17">
        <v>115</v>
      </c>
      <c r="R16" s="17">
        <v>0</v>
      </c>
      <c r="S16" s="33">
        <v>140</v>
      </c>
      <c r="T16" s="17">
        <v>0</v>
      </c>
      <c r="U16" s="33">
        <v>90</v>
      </c>
      <c r="V16" s="17">
        <v>2.25</v>
      </c>
      <c r="W16" s="34"/>
      <c r="X16" s="17"/>
      <c r="Y16" s="34"/>
      <c r="Z16" s="17"/>
      <c r="AA16" s="34"/>
      <c r="AB16" s="17"/>
    </row>
    <row r="17" spans="1:28" x14ac:dyDescent="0.25">
      <c r="A17" s="47">
        <v>1.5</v>
      </c>
      <c r="B17" s="50" t="s">
        <v>267</v>
      </c>
      <c r="C17" s="19">
        <v>0</v>
      </c>
      <c r="D17" s="33">
        <v>95</v>
      </c>
      <c r="E17" s="17">
        <v>70</v>
      </c>
      <c r="F17" s="33">
        <v>90</v>
      </c>
      <c r="G17" s="17">
        <v>73</v>
      </c>
      <c r="H17" s="17">
        <v>115</v>
      </c>
      <c r="I17" s="33">
        <v>125</v>
      </c>
      <c r="J17" s="17">
        <v>125</v>
      </c>
      <c r="K17" s="17">
        <v>125</v>
      </c>
      <c r="L17" s="17">
        <v>85</v>
      </c>
      <c r="M17" s="33">
        <v>65</v>
      </c>
      <c r="N17" s="17">
        <v>110</v>
      </c>
      <c r="O17" s="33">
        <v>120</v>
      </c>
      <c r="P17" s="17">
        <v>115</v>
      </c>
      <c r="Q17" s="17">
        <v>115</v>
      </c>
      <c r="R17" s="17">
        <v>0</v>
      </c>
      <c r="S17" s="33">
        <v>140</v>
      </c>
      <c r="T17" s="17">
        <v>0</v>
      </c>
      <c r="U17" s="33">
        <v>90</v>
      </c>
      <c r="V17" s="17">
        <v>2.75</v>
      </c>
      <c r="W17" s="34"/>
      <c r="X17" s="17"/>
      <c r="Y17" s="34"/>
      <c r="Z17" s="17"/>
      <c r="AA17" s="34"/>
      <c r="AB17" s="17"/>
    </row>
    <row r="18" spans="1:28" x14ac:dyDescent="0.25">
      <c r="A18" s="47">
        <v>1.5</v>
      </c>
      <c r="B18" s="50" t="s">
        <v>268</v>
      </c>
      <c r="C18" s="19">
        <v>0</v>
      </c>
      <c r="D18" s="33">
        <v>95</v>
      </c>
      <c r="E18" s="17">
        <v>70</v>
      </c>
      <c r="F18" s="33">
        <v>90</v>
      </c>
      <c r="G18" s="17">
        <v>73</v>
      </c>
      <c r="H18" s="17">
        <v>115</v>
      </c>
      <c r="I18" s="33">
        <v>125</v>
      </c>
      <c r="J18" s="17">
        <v>125</v>
      </c>
      <c r="K18" s="17">
        <v>125</v>
      </c>
      <c r="L18" s="17">
        <v>85</v>
      </c>
      <c r="M18" s="33">
        <v>65</v>
      </c>
      <c r="N18" s="17">
        <v>110</v>
      </c>
      <c r="O18" s="33">
        <v>120</v>
      </c>
      <c r="P18" s="17">
        <v>115</v>
      </c>
      <c r="Q18" s="17">
        <v>115</v>
      </c>
      <c r="R18" s="17">
        <v>0</v>
      </c>
      <c r="S18" s="33">
        <v>135</v>
      </c>
      <c r="T18" s="17">
        <v>135</v>
      </c>
      <c r="U18" s="33">
        <v>90</v>
      </c>
      <c r="V18" s="17">
        <v>2.75</v>
      </c>
      <c r="W18" s="34"/>
      <c r="X18" s="17"/>
      <c r="Y18" s="34"/>
      <c r="Z18" s="17"/>
      <c r="AA18" s="34"/>
      <c r="AB18" s="17"/>
    </row>
    <row r="19" spans="1:28" x14ac:dyDescent="0.25">
      <c r="A19" s="47">
        <v>1.5</v>
      </c>
      <c r="B19" s="50" t="s">
        <v>269</v>
      </c>
      <c r="C19" s="19">
        <v>0</v>
      </c>
      <c r="D19" s="33">
        <v>90</v>
      </c>
      <c r="E19" s="17">
        <v>70</v>
      </c>
      <c r="F19" s="33">
        <v>90</v>
      </c>
      <c r="G19" s="17">
        <v>73</v>
      </c>
      <c r="H19" s="17">
        <v>115</v>
      </c>
      <c r="I19" s="33">
        <v>125</v>
      </c>
      <c r="J19" s="17">
        <v>125</v>
      </c>
      <c r="K19" s="17">
        <v>125</v>
      </c>
      <c r="L19" s="17">
        <v>85</v>
      </c>
      <c r="M19" s="33">
        <v>65</v>
      </c>
      <c r="N19" s="17">
        <v>110</v>
      </c>
      <c r="O19" s="33">
        <v>120</v>
      </c>
      <c r="P19" s="17">
        <v>115</v>
      </c>
      <c r="Q19" s="17">
        <v>115</v>
      </c>
      <c r="R19" s="17">
        <v>0</v>
      </c>
      <c r="S19" s="33">
        <v>135</v>
      </c>
      <c r="T19" s="17">
        <v>135</v>
      </c>
      <c r="U19" s="33">
        <v>90</v>
      </c>
      <c r="V19" s="17">
        <v>2.25</v>
      </c>
      <c r="W19" s="34"/>
      <c r="X19" s="17"/>
      <c r="Y19" s="34"/>
      <c r="Z19" s="17"/>
      <c r="AA19" s="34"/>
      <c r="AB19" s="17"/>
    </row>
    <row r="20" spans="1:28" x14ac:dyDescent="0.25">
      <c r="A20" s="47">
        <v>1.5</v>
      </c>
      <c r="B20" s="50" t="s">
        <v>270</v>
      </c>
      <c r="C20" s="19">
        <v>0</v>
      </c>
      <c r="D20" s="33">
        <v>90</v>
      </c>
      <c r="E20" s="17">
        <v>70</v>
      </c>
      <c r="F20" s="33">
        <v>90</v>
      </c>
      <c r="G20" s="17">
        <v>73</v>
      </c>
      <c r="H20" s="17">
        <v>115</v>
      </c>
      <c r="I20" s="33">
        <v>125</v>
      </c>
      <c r="J20" s="17">
        <v>125</v>
      </c>
      <c r="K20" s="17">
        <v>125</v>
      </c>
      <c r="L20" s="17">
        <v>85</v>
      </c>
      <c r="M20" s="33">
        <v>65</v>
      </c>
      <c r="N20" s="17">
        <v>110</v>
      </c>
      <c r="O20" s="33">
        <v>120</v>
      </c>
      <c r="P20" s="17">
        <v>115</v>
      </c>
      <c r="Q20" s="17">
        <v>115</v>
      </c>
      <c r="R20" s="17">
        <v>0</v>
      </c>
      <c r="S20" s="33">
        <v>135</v>
      </c>
      <c r="T20" s="17">
        <v>135</v>
      </c>
      <c r="U20" s="33">
        <v>90</v>
      </c>
      <c r="V20" s="17">
        <v>2.25</v>
      </c>
      <c r="W20" s="34"/>
      <c r="X20" s="17"/>
      <c r="Y20" s="34"/>
      <c r="Z20" s="17"/>
      <c r="AA20" s="34"/>
      <c r="AB20" s="17"/>
    </row>
    <row r="21" spans="1:28" x14ac:dyDescent="0.25">
      <c r="A21" s="47">
        <v>1.5</v>
      </c>
      <c r="B21" s="50" t="s">
        <v>271</v>
      </c>
      <c r="C21" s="19">
        <v>0</v>
      </c>
      <c r="D21" s="33">
        <v>90</v>
      </c>
      <c r="E21" s="17">
        <v>70</v>
      </c>
      <c r="F21" s="33">
        <v>90</v>
      </c>
      <c r="G21" s="17">
        <v>73</v>
      </c>
      <c r="H21" s="17">
        <v>115</v>
      </c>
      <c r="I21" s="33">
        <v>125</v>
      </c>
      <c r="J21" s="17">
        <v>125</v>
      </c>
      <c r="K21" s="17">
        <v>125</v>
      </c>
      <c r="L21" s="17">
        <v>85</v>
      </c>
      <c r="M21" s="33">
        <v>65</v>
      </c>
      <c r="N21" s="17">
        <v>110</v>
      </c>
      <c r="O21" s="33">
        <v>120</v>
      </c>
      <c r="P21" s="17">
        <v>115</v>
      </c>
      <c r="Q21" s="17">
        <v>115</v>
      </c>
      <c r="R21" s="17">
        <v>0</v>
      </c>
      <c r="S21" s="33">
        <v>140</v>
      </c>
      <c r="T21" s="17">
        <v>0</v>
      </c>
      <c r="U21" s="33">
        <v>90</v>
      </c>
      <c r="V21" s="17">
        <v>2.25</v>
      </c>
      <c r="W21" s="34"/>
      <c r="X21" s="17"/>
      <c r="Y21" s="34"/>
      <c r="Z21" s="17"/>
      <c r="AA21" s="34"/>
      <c r="AB21" s="17"/>
    </row>
    <row r="22" spans="1:28" x14ac:dyDescent="0.25">
      <c r="A22" s="47">
        <v>1.5</v>
      </c>
      <c r="B22" s="50" t="s">
        <v>272</v>
      </c>
      <c r="C22" s="19">
        <v>0</v>
      </c>
      <c r="D22" s="33">
        <v>90</v>
      </c>
      <c r="E22" s="17">
        <v>70</v>
      </c>
      <c r="F22" s="33">
        <v>90</v>
      </c>
      <c r="G22" s="17">
        <v>73</v>
      </c>
      <c r="H22" s="17">
        <v>115</v>
      </c>
      <c r="I22" s="33">
        <v>125</v>
      </c>
      <c r="J22" s="17">
        <v>125</v>
      </c>
      <c r="K22" s="17">
        <v>125</v>
      </c>
      <c r="L22" s="17">
        <v>85</v>
      </c>
      <c r="M22" s="33">
        <v>65</v>
      </c>
      <c r="N22" s="17">
        <v>110</v>
      </c>
      <c r="O22" s="33">
        <v>120</v>
      </c>
      <c r="P22" s="17">
        <v>115</v>
      </c>
      <c r="Q22" s="17">
        <v>115</v>
      </c>
      <c r="R22" s="17">
        <v>0</v>
      </c>
      <c r="S22" s="33">
        <v>140</v>
      </c>
      <c r="T22" s="17">
        <v>0</v>
      </c>
      <c r="U22" s="33">
        <v>90</v>
      </c>
      <c r="V22" s="17">
        <v>2.25</v>
      </c>
      <c r="W22" s="34"/>
      <c r="X22" s="17"/>
      <c r="Y22" s="34"/>
      <c r="Z22" s="17"/>
      <c r="AA22" s="34"/>
      <c r="AB22" s="17"/>
    </row>
    <row r="23" spans="1:28" x14ac:dyDescent="0.25">
      <c r="A23" s="47">
        <v>1.5</v>
      </c>
      <c r="B23" s="50" t="s">
        <v>301</v>
      </c>
      <c r="C23" s="19">
        <v>0</v>
      </c>
      <c r="D23" s="33">
        <v>95</v>
      </c>
      <c r="E23" s="17">
        <v>70</v>
      </c>
      <c r="F23" s="33">
        <v>90</v>
      </c>
      <c r="G23" s="17">
        <v>73</v>
      </c>
      <c r="H23" s="17">
        <v>115</v>
      </c>
      <c r="I23" s="33">
        <v>125</v>
      </c>
      <c r="J23" s="17">
        <v>125</v>
      </c>
      <c r="K23" s="17">
        <v>125</v>
      </c>
      <c r="L23" s="17">
        <v>85</v>
      </c>
      <c r="M23" s="33">
        <v>65</v>
      </c>
      <c r="N23" s="17">
        <v>110</v>
      </c>
      <c r="O23" s="33">
        <v>120</v>
      </c>
      <c r="P23" s="17">
        <v>115</v>
      </c>
      <c r="Q23" s="17">
        <v>115</v>
      </c>
      <c r="R23" s="17">
        <v>0</v>
      </c>
      <c r="S23" s="33">
        <v>140</v>
      </c>
      <c r="T23" s="17">
        <v>0</v>
      </c>
      <c r="U23" s="33">
        <v>90</v>
      </c>
      <c r="V23" s="17">
        <v>2.75</v>
      </c>
      <c r="W23" s="34"/>
      <c r="X23" s="17"/>
      <c r="Y23" s="34"/>
      <c r="Z23" s="17"/>
      <c r="AA23" s="34"/>
      <c r="AB23" s="17"/>
    </row>
    <row r="24" spans="1:28" x14ac:dyDescent="0.25">
      <c r="A24" s="47">
        <v>1.5</v>
      </c>
      <c r="B24" s="50" t="s">
        <v>273</v>
      </c>
      <c r="C24" s="19">
        <v>0</v>
      </c>
      <c r="D24" s="33">
        <v>90</v>
      </c>
      <c r="E24" s="17">
        <v>70</v>
      </c>
      <c r="F24" s="33">
        <v>90</v>
      </c>
      <c r="G24" s="17">
        <v>73</v>
      </c>
      <c r="H24" s="17">
        <v>115</v>
      </c>
      <c r="I24" s="33">
        <v>125</v>
      </c>
      <c r="J24" s="17">
        <v>125</v>
      </c>
      <c r="K24" s="17">
        <v>125</v>
      </c>
      <c r="L24" s="17">
        <v>85</v>
      </c>
      <c r="M24" s="33">
        <v>65</v>
      </c>
      <c r="N24" s="17">
        <v>110</v>
      </c>
      <c r="O24" s="33">
        <v>120</v>
      </c>
      <c r="P24" s="17">
        <v>115</v>
      </c>
      <c r="Q24" s="17">
        <v>115</v>
      </c>
      <c r="R24" s="17">
        <v>0</v>
      </c>
      <c r="S24" s="33">
        <v>140</v>
      </c>
      <c r="T24" s="17">
        <v>0</v>
      </c>
      <c r="U24" s="33">
        <v>90</v>
      </c>
      <c r="V24" s="17">
        <v>2.25</v>
      </c>
      <c r="W24" s="34"/>
      <c r="X24" s="17"/>
      <c r="Y24" s="34"/>
      <c r="Z24" s="17"/>
      <c r="AA24" s="34"/>
      <c r="AB24" s="17"/>
    </row>
    <row r="25" spans="1:28" x14ac:dyDescent="0.25">
      <c r="A25" s="47">
        <v>1.5</v>
      </c>
      <c r="B25" s="50" t="s">
        <v>274</v>
      </c>
      <c r="C25" s="19">
        <v>0</v>
      </c>
      <c r="D25" s="33">
        <v>90</v>
      </c>
      <c r="E25" s="17">
        <v>70</v>
      </c>
      <c r="F25" s="33">
        <v>90</v>
      </c>
      <c r="G25" s="17">
        <v>73</v>
      </c>
      <c r="H25" s="17">
        <v>115</v>
      </c>
      <c r="I25" s="33">
        <v>125</v>
      </c>
      <c r="J25" s="17">
        <v>125</v>
      </c>
      <c r="K25" s="17">
        <v>125</v>
      </c>
      <c r="L25" s="17">
        <v>85</v>
      </c>
      <c r="M25" s="33">
        <v>65</v>
      </c>
      <c r="N25" s="17">
        <v>110</v>
      </c>
      <c r="O25" s="33">
        <v>120</v>
      </c>
      <c r="P25" s="17">
        <v>115</v>
      </c>
      <c r="Q25" s="17">
        <v>115</v>
      </c>
      <c r="R25" s="17">
        <v>0</v>
      </c>
      <c r="S25" s="33">
        <v>140</v>
      </c>
      <c r="T25" s="17">
        <v>0</v>
      </c>
      <c r="U25" s="33">
        <v>90</v>
      </c>
      <c r="V25" s="17">
        <v>2.25</v>
      </c>
      <c r="W25" s="34"/>
      <c r="X25" s="17"/>
      <c r="Y25" s="34"/>
      <c r="Z25" s="17"/>
      <c r="AA25" s="34"/>
      <c r="AB25" s="17"/>
    </row>
    <row r="26" spans="1:28" x14ac:dyDescent="0.25">
      <c r="A26" s="47">
        <v>1.5</v>
      </c>
      <c r="B26" s="50" t="s">
        <v>320</v>
      </c>
      <c r="C26" s="19">
        <v>0</v>
      </c>
      <c r="D26" s="33">
        <v>90</v>
      </c>
      <c r="E26" s="17">
        <v>70</v>
      </c>
      <c r="F26" s="33">
        <v>90</v>
      </c>
      <c r="G26" s="17">
        <v>73</v>
      </c>
      <c r="H26" s="17">
        <v>115</v>
      </c>
      <c r="I26" s="33">
        <v>125</v>
      </c>
      <c r="J26" s="17">
        <v>125</v>
      </c>
      <c r="K26" s="17">
        <v>125</v>
      </c>
      <c r="L26" s="17">
        <v>85</v>
      </c>
      <c r="M26" s="33">
        <v>65</v>
      </c>
      <c r="N26" s="17">
        <v>110</v>
      </c>
      <c r="O26" s="33">
        <v>120</v>
      </c>
      <c r="P26" s="17">
        <v>115</v>
      </c>
      <c r="Q26" s="17">
        <v>115</v>
      </c>
      <c r="R26" s="17">
        <v>0</v>
      </c>
      <c r="S26" s="33">
        <v>140</v>
      </c>
      <c r="T26" s="17">
        <v>0</v>
      </c>
      <c r="U26" s="33">
        <v>90</v>
      </c>
      <c r="V26" s="17">
        <v>2.25</v>
      </c>
      <c r="W26" s="34"/>
      <c r="X26" s="17"/>
      <c r="Y26" s="34"/>
      <c r="Z26" s="17"/>
      <c r="AA26" s="34"/>
      <c r="AB26" s="17"/>
    </row>
    <row r="27" spans="1:28" x14ac:dyDescent="0.25">
      <c r="A27" s="47">
        <v>1.5</v>
      </c>
      <c r="B27" s="50" t="s">
        <v>275</v>
      </c>
      <c r="C27" s="19">
        <v>0</v>
      </c>
      <c r="D27" s="33">
        <v>90</v>
      </c>
      <c r="E27" s="17">
        <v>70</v>
      </c>
      <c r="F27" s="33">
        <v>90</v>
      </c>
      <c r="G27" s="17">
        <v>73</v>
      </c>
      <c r="H27" s="17">
        <v>115</v>
      </c>
      <c r="I27" s="33">
        <v>125</v>
      </c>
      <c r="J27" s="17">
        <v>125</v>
      </c>
      <c r="K27" s="17">
        <v>125</v>
      </c>
      <c r="L27" s="17">
        <v>85</v>
      </c>
      <c r="M27" s="33">
        <v>65</v>
      </c>
      <c r="N27" s="17">
        <v>110</v>
      </c>
      <c r="O27" s="33">
        <v>120</v>
      </c>
      <c r="P27" s="17">
        <v>115</v>
      </c>
      <c r="Q27" s="17">
        <v>115</v>
      </c>
      <c r="R27" s="17">
        <v>0</v>
      </c>
      <c r="S27" s="33">
        <v>140</v>
      </c>
      <c r="T27" s="17">
        <v>0</v>
      </c>
      <c r="U27" s="33">
        <v>90</v>
      </c>
      <c r="V27" s="17">
        <v>2.25</v>
      </c>
      <c r="W27" s="34"/>
      <c r="X27" s="17"/>
      <c r="Y27" s="34"/>
      <c r="Z27" s="17"/>
      <c r="AA27" s="34"/>
      <c r="AB27" s="17"/>
    </row>
    <row r="28" spans="1:28" x14ac:dyDescent="0.25">
      <c r="A28" s="47">
        <v>1.5</v>
      </c>
      <c r="B28" s="50" t="s">
        <v>302</v>
      </c>
      <c r="C28" s="19">
        <v>0</v>
      </c>
      <c r="D28" s="33">
        <v>90</v>
      </c>
      <c r="E28" s="17">
        <v>70</v>
      </c>
      <c r="F28" s="33">
        <v>90</v>
      </c>
      <c r="G28" s="17">
        <v>73</v>
      </c>
      <c r="H28" s="17">
        <v>115</v>
      </c>
      <c r="I28" s="33">
        <v>125</v>
      </c>
      <c r="J28" s="17">
        <v>125</v>
      </c>
      <c r="K28" s="17">
        <v>125</v>
      </c>
      <c r="L28" s="17">
        <v>85</v>
      </c>
      <c r="M28" s="33">
        <v>65</v>
      </c>
      <c r="N28" s="17">
        <v>110</v>
      </c>
      <c r="O28" s="33">
        <v>120</v>
      </c>
      <c r="P28" s="17">
        <v>115</v>
      </c>
      <c r="Q28" s="17">
        <v>115</v>
      </c>
      <c r="R28" s="17">
        <v>0</v>
      </c>
      <c r="S28" s="33">
        <v>140</v>
      </c>
      <c r="T28" s="17">
        <v>0</v>
      </c>
      <c r="U28" s="33">
        <v>90</v>
      </c>
      <c r="V28" s="17">
        <v>2.25</v>
      </c>
      <c r="W28" s="34"/>
      <c r="X28" s="17"/>
      <c r="Y28" s="34"/>
      <c r="Z28" s="17"/>
      <c r="AA28" s="34"/>
      <c r="AB28" s="17"/>
    </row>
    <row r="29" spans="1:28" x14ac:dyDescent="0.25">
      <c r="A29" s="47">
        <v>1.5</v>
      </c>
      <c r="B29" s="50" t="s">
        <v>303</v>
      </c>
      <c r="C29" s="19">
        <v>0</v>
      </c>
      <c r="D29" s="33">
        <v>90</v>
      </c>
      <c r="E29" s="17">
        <v>70</v>
      </c>
      <c r="F29" s="33">
        <v>90</v>
      </c>
      <c r="G29" s="17">
        <v>73</v>
      </c>
      <c r="H29" s="17">
        <v>115</v>
      </c>
      <c r="I29" s="33">
        <v>125</v>
      </c>
      <c r="J29" s="17">
        <v>125</v>
      </c>
      <c r="K29" s="17">
        <v>125</v>
      </c>
      <c r="L29" s="17">
        <v>85</v>
      </c>
      <c r="M29" s="33">
        <v>65</v>
      </c>
      <c r="N29" s="17">
        <v>110</v>
      </c>
      <c r="O29" s="33">
        <v>120</v>
      </c>
      <c r="P29" s="17">
        <v>115</v>
      </c>
      <c r="Q29" s="17">
        <v>115</v>
      </c>
      <c r="R29" s="17">
        <v>0</v>
      </c>
      <c r="S29" s="33">
        <v>140</v>
      </c>
      <c r="T29" s="17">
        <v>0</v>
      </c>
      <c r="U29" s="33">
        <v>90</v>
      </c>
      <c r="V29" s="17">
        <v>2.25</v>
      </c>
      <c r="W29" s="34"/>
      <c r="X29" s="17"/>
      <c r="Y29" s="34"/>
      <c r="Z29" s="17"/>
      <c r="AA29" s="34"/>
      <c r="AB29" s="17"/>
    </row>
    <row r="30" spans="1:28" x14ac:dyDescent="0.25">
      <c r="A30" s="47">
        <v>1.5</v>
      </c>
      <c r="B30" s="50" t="s">
        <v>304</v>
      </c>
      <c r="C30" s="19">
        <v>0</v>
      </c>
      <c r="D30" s="33">
        <v>90</v>
      </c>
      <c r="E30" s="17">
        <v>70</v>
      </c>
      <c r="F30" s="33">
        <v>90</v>
      </c>
      <c r="G30" s="17">
        <v>73</v>
      </c>
      <c r="H30" s="17">
        <v>115</v>
      </c>
      <c r="I30" s="33">
        <v>125</v>
      </c>
      <c r="J30" s="17">
        <v>125</v>
      </c>
      <c r="K30" s="17">
        <v>125</v>
      </c>
      <c r="L30" s="17">
        <v>85</v>
      </c>
      <c r="M30" s="33">
        <v>65</v>
      </c>
      <c r="N30" s="17">
        <v>110</v>
      </c>
      <c r="O30" s="33">
        <v>120</v>
      </c>
      <c r="P30" s="17">
        <v>115</v>
      </c>
      <c r="Q30" s="17">
        <v>115</v>
      </c>
      <c r="R30" s="17">
        <v>0</v>
      </c>
      <c r="S30" s="33">
        <v>140</v>
      </c>
      <c r="T30" s="17">
        <v>0</v>
      </c>
      <c r="U30" s="33">
        <v>90</v>
      </c>
      <c r="V30" s="17">
        <v>2.25</v>
      </c>
      <c r="W30" s="34"/>
      <c r="X30" s="17"/>
      <c r="Y30" s="34"/>
      <c r="Z30" s="17"/>
      <c r="AA30" s="34"/>
      <c r="AB30" s="17"/>
    </row>
    <row r="31" spans="1:28" x14ac:dyDescent="0.25">
      <c r="A31" s="47">
        <v>1.3</v>
      </c>
      <c r="B31" s="50" t="s">
        <v>276</v>
      </c>
      <c r="C31" s="19">
        <v>0</v>
      </c>
      <c r="D31" s="33">
        <v>90</v>
      </c>
      <c r="E31" s="17">
        <v>70</v>
      </c>
      <c r="F31" s="33">
        <v>90</v>
      </c>
      <c r="G31" s="17">
        <v>73</v>
      </c>
      <c r="H31" s="17">
        <v>115</v>
      </c>
      <c r="I31" s="33">
        <v>125</v>
      </c>
      <c r="J31" s="17">
        <v>125</v>
      </c>
      <c r="K31" s="17">
        <v>125</v>
      </c>
      <c r="L31" s="17">
        <v>85</v>
      </c>
      <c r="M31" s="33">
        <v>65</v>
      </c>
      <c r="N31" s="17">
        <v>110</v>
      </c>
      <c r="O31" s="33">
        <v>120</v>
      </c>
      <c r="P31" s="17">
        <v>115</v>
      </c>
      <c r="Q31" s="17">
        <v>115</v>
      </c>
      <c r="R31" s="17">
        <v>0</v>
      </c>
      <c r="S31" s="33">
        <v>140</v>
      </c>
      <c r="T31" s="17">
        <v>0</v>
      </c>
      <c r="U31" s="33">
        <v>90</v>
      </c>
      <c r="V31" s="17">
        <v>2.25</v>
      </c>
      <c r="W31" s="34"/>
      <c r="X31" s="17"/>
      <c r="Y31" s="34"/>
      <c r="Z31" s="17"/>
      <c r="AA31" s="34"/>
      <c r="AB31" s="17"/>
    </row>
    <row r="32" spans="1:28" x14ac:dyDescent="0.25">
      <c r="A32" s="47">
        <v>1.3</v>
      </c>
      <c r="B32" s="50" t="s">
        <v>296</v>
      </c>
      <c r="C32" s="19">
        <v>0</v>
      </c>
      <c r="D32" s="33">
        <v>95</v>
      </c>
      <c r="E32" s="17">
        <v>70</v>
      </c>
      <c r="F32" s="33">
        <v>90</v>
      </c>
      <c r="G32" s="17">
        <v>73</v>
      </c>
      <c r="H32" s="17">
        <v>115</v>
      </c>
      <c r="I32" s="33">
        <v>125</v>
      </c>
      <c r="J32" s="17">
        <v>125</v>
      </c>
      <c r="K32" s="17">
        <v>125</v>
      </c>
      <c r="L32" s="17">
        <v>85</v>
      </c>
      <c r="M32" s="33">
        <v>65</v>
      </c>
      <c r="N32" s="17">
        <v>110</v>
      </c>
      <c r="O32" s="33">
        <v>120</v>
      </c>
      <c r="P32" s="17">
        <v>115</v>
      </c>
      <c r="Q32" s="17">
        <v>115</v>
      </c>
      <c r="R32" s="17">
        <v>0</v>
      </c>
      <c r="S32" s="33">
        <v>140</v>
      </c>
      <c r="T32" s="17">
        <v>0</v>
      </c>
      <c r="U32" s="33">
        <v>90</v>
      </c>
      <c r="V32" s="17">
        <v>2.75</v>
      </c>
      <c r="W32" s="34"/>
      <c r="X32" s="17"/>
      <c r="Y32" s="34"/>
      <c r="Z32" s="17"/>
      <c r="AA32" s="34"/>
      <c r="AB32" s="17"/>
    </row>
    <row r="33" spans="1:28" x14ac:dyDescent="0.25">
      <c r="A33" s="47">
        <v>1.5</v>
      </c>
      <c r="B33" s="50" t="s">
        <v>277</v>
      </c>
      <c r="C33" s="19">
        <v>0</v>
      </c>
      <c r="D33" s="33">
        <v>90</v>
      </c>
      <c r="E33" s="17">
        <v>70</v>
      </c>
      <c r="F33" s="33">
        <v>90</v>
      </c>
      <c r="G33" s="17">
        <v>73</v>
      </c>
      <c r="H33" s="17">
        <v>115</v>
      </c>
      <c r="I33" s="33">
        <v>125</v>
      </c>
      <c r="J33" s="17">
        <v>125</v>
      </c>
      <c r="K33" s="17">
        <v>125</v>
      </c>
      <c r="L33" s="17">
        <v>85</v>
      </c>
      <c r="M33" s="33">
        <v>65</v>
      </c>
      <c r="N33" s="17">
        <v>110</v>
      </c>
      <c r="O33" s="33">
        <v>120</v>
      </c>
      <c r="P33" s="17">
        <v>115</v>
      </c>
      <c r="Q33" s="17">
        <v>115</v>
      </c>
      <c r="R33" s="17">
        <v>0</v>
      </c>
      <c r="S33" s="33">
        <v>140</v>
      </c>
      <c r="T33" s="17">
        <v>0</v>
      </c>
      <c r="U33" s="33">
        <v>90</v>
      </c>
      <c r="V33" s="17">
        <v>2.25</v>
      </c>
      <c r="W33" s="34"/>
      <c r="X33" s="17"/>
      <c r="Y33" s="34"/>
      <c r="Z33" s="17"/>
      <c r="AA33" s="34"/>
      <c r="AB33" s="17"/>
    </row>
    <row r="34" spans="1:28" x14ac:dyDescent="0.25">
      <c r="A34" s="47">
        <v>1.5</v>
      </c>
      <c r="B34" s="50" t="s">
        <v>305</v>
      </c>
      <c r="C34" s="19">
        <v>0</v>
      </c>
      <c r="D34" s="33">
        <v>95</v>
      </c>
      <c r="E34" s="17">
        <v>70</v>
      </c>
      <c r="F34" s="33">
        <v>90</v>
      </c>
      <c r="G34" s="17">
        <v>73</v>
      </c>
      <c r="H34" s="17">
        <v>115</v>
      </c>
      <c r="I34" s="33">
        <v>125</v>
      </c>
      <c r="J34" s="17">
        <v>125</v>
      </c>
      <c r="K34" s="17">
        <v>125</v>
      </c>
      <c r="L34" s="17">
        <v>85</v>
      </c>
      <c r="M34" s="33">
        <v>65</v>
      </c>
      <c r="N34" s="17">
        <v>110</v>
      </c>
      <c r="O34" s="33">
        <v>120</v>
      </c>
      <c r="P34" s="17">
        <v>115</v>
      </c>
      <c r="Q34" s="17">
        <v>115</v>
      </c>
      <c r="R34" s="17">
        <v>0</v>
      </c>
      <c r="S34" s="33">
        <v>140</v>
      </c>
      <c r="T34" s="17">
        <v>0</v>
      </c>
      <c r="U34" s="33">
        <v>90</v>
      </c>
      <c r="V34" s="17">
        <v>2.75</v>
      </c>
      <c r="W34" s="34"/>
      <c r="X34" s="17"/>
      <c r="Y34" s="34"/>
      <c r="Z34" s="17"/>
      <c r="AA34" s="34"/>
      <c r="AB34" s="17"/>
    </row>
    <row r="35" spans="1:28" x14ac:dyDescent="0.25">
      <c r="A35" s="47">
        <v>1.5</v>
      </c>
      <c r="B35" s="50" t="s">
        <v>306</v>
      </c>
      <c r="C35" s="19">
        <v>0</v>
      </c>
      <c r="D35" s="33">
        <v>95</v>
      </c>
      <c r="E35" s="17">
        <v>70</v>
      </c>
      <c r="F35" s="33">
        <v>90</v>
      </c>
      <c r="G35" s="17">
        <v>73</v>
      </c>
      <c r="H35" s="17">
        <v>115</v>
      </c>
      <c r="I35" s="33">
        <v>125</v>
      </c>
      <c r="J35" s="17">
        <v>125</v>
      </c>
      <c r="K35" s="17">
        <v>125</v>
      </c>
      <c r="L35" s="17">
        <v>85</v>
      </c>
      <c r="M35" s="33">
        <v>65</v>
      </c>
      <c r="N35" s="17">
        <v>110</v>
      </c>
      <c r="O35" s="33">
        <v>120</v>
      </c>
      <c r="P35" s="17">
        <v>115</v>
      </c>
      <c r="Q35" s="17">
        <v>115</v>
      </c>
      <c r="R35" s="17">
        <v>0</v>
      </c>
      <c r="S35" s="33">
        <v>140</v>
      </c>
      <c r="T35" s="17">
        <v>0</v>
      </c>
      <c r="U35" s="33">
        <v>90</v>
      </c>
      <c r="V35" s="17">
        <v>2.75</v>
      </c>
      <c r="W35" s="34"/>
      <c r="X35" s="17"/>
      <c r="Y35" s="34"/>
      <c r="Z35" s="17"/>
      <c r="AA35" s="34"/>
      <c r="AB35" s="17"/>
    </row>
    <row r="36" spans="1:28" x14ac:dyDescent="0.25">
      <c r="A36" s="47">
        <v>1.5</v>
      </c>
      <c r="B36" s="50" t="s">
        <v>278</v>
      </c>
      <c r="C36" s="19">
        <v>0</v>
      </c>
      <c r="D36" s="33">
        <v>90</v>
      </c>
      <c r="E36" s="17">
        <v>70</v>
      </c>
      <c r="F36" s="33">
        <v>90</v>
      </c>
      <c r="G36" s="17">
        <v>73</v>
      </c>
      <c r="H36" s="17">
        <v>115</v>
      </c>
      <c r="I36" s="33">
        <v>125</v>
      </c>
      <c r="J36" s="17">
        <v>125</v>
      </c>
      <c r="K36" s="17">
        <v>125</v>
      </c>
      <c r="L36" s="17">
        <v>85</v>
      </c>
      <c r="M36" s="33">
        <v>65</v>
      </c>
      <c r="N36" s="17">
        <v>110</v>
      </c>
      <c r="O36" s="33">
        <v>120</v>
      </c>
      <c r="P36" s="17">
        <v>115</v>
      </c>
      <c r="Q36" s="17">
        <v>115</v>
      </c>
      <c r="R36" s="17">
        <v>0</v>
      </c>
      <c r="S36" s="33">
        <v>140</v>
      </c>
      <c r="T36" s="17">
        <v>0</v>
      </c>
      <c r="U36" s="33">
        <v>90</v>
      </c>
      <c r="V36" s="17">
        <v>2.25</v>
      </c>
      <c r="W36" s="34"/>
      <c r="X36" s="17"/>
      <c r="Y36" s="34"/>
      <c r="Z36" s="17"/>
      <c r="AA36" s="34"/>
      <c r="AB36" s="17"/>
    </row>
    <row r="37" spans="1:28" x14ac:dyDescent="0.25">
      <c r="A37" s="47">
        <v>1.5</v>
      </c>
      <c r="B37" s="50" t="s">
        <v>279</v>
      </c>
      <c r="C37" s="19">
        <v>0</v>
      </c>
      <c r="D37" s="33">
        <v>90</v>
      </c>
      <c r="E37" s="17">
        <v>70</v>
      </c>
      <c r="F37" s="33">
        <v>90</v>
      </c>
      <c r="G37" s="17">
        <v>73</v>
      </c>
      <c r="H37" s="17">
        <v>115</v>
      </c>
      <c r="I37" s="33">
        <v>125</v>
      </c>
      <c r="J37" s="17">
        <v>125</v>
      </c>
      <c r="K37" s="17">
        <v>125</v>
      </c>
      <c r="L37" s="17">
        <v>85</v>
      </c>
      <c r="M37" s="33">
        <v>65</v>
      </c>
      <c r="N37" s="17">
        <v>110</v>
      </c>
      <c r="O37" s="33">
        <v>120</v>
      </c>
      <c r="P37" s="17">
        <v>115</v>
      </c>
      <c r="Q37" s="17">
        <v>115</v>
      </c>
      <c r="R37" s="17">
        <v>0</v>
      </c>
      <c r="S37" s="33">
        <v>140</v>
      </c>
      <c r="T37" s="17">
        <v>0</v>
      </c>
      <c r="U37" s="33">
        <v>90</v>
      </c>
      <c r="V37" s="17">
        <v>2.25</v>
      </c>
      <c r="W37" s="34"/>
      <c r="X37" s="17"/>
      <c r="Y37" s="34"/>
      <c r="Z37" s="17"/>
      <c r="AA37" s="34"/>
      <c r="AB37" s="17"/>
    </row>
    <row r="38" spans="1:28" x14ac:dyDescent="0.25">
      <c r="A38" s="47">
        <v>1.5</v>
      </c>
      <c r="B38" s="50" t="s">
        <v>280</v>
      </c>
      <c r="C38" s="19">
        <v>0</v>
      </c>
      <c r="D38" s="33">
        <v>90</v>
      </c>
      <c r="E38" s="17">
        <v>70</v>
      </c>
      <c r="F38" s="33">
        <v>90</v>
      </c>
      <c r="G38" s="17">
        <v>73</v>
      </c>
      <c r="H38" s="17">
        <v>115</v>
      </c>
      <c r="I38" s="33">
        <v>125</v>
      </c>
      <c r="J38" s="17">
        <v>125</v>
      </c>
      <c r="K38" s="17">
        <v>125</v>
      </c>
      <c r="L38" s="17">
        <v>85</v>
      </c>
      <c r="M38" s="33">
        <v>65</v>
      </c>
      <c r="N38" s="17">
        <v>110</v>
      </c>
      <c r="O38" s="33">
        <v>120</v>
      </c>
      <c r="P38" s="17">
        <v>115</v>
      </c>
      <c r="Q38" s="17">
        <v>115</v>
      </c>
      <c r="R38" s="17">
        <v>0</v>
      </c>
      <c r="S38" s="33">
        <v>140</v>
      </c>
      <c r="T38" s="17">
        <v>0</v>
      </c>
      <c r="U38" s="33">
        <v>90</v>
      </c>
      <c r="V38" s="17">
        <v>2.25</v>
      </c>
      <c r="W38" s="34"/>
      <c r="X38" s="17"/>
      <c r="Y38" s="34"/>
      <c r="Z38" s="17"/>
      <c r="AA38" s="34"/>
      <c r="AB38" s="17"/>
    </row>
    <row r="39" spans="1:28" x14ac:dyDescent="0.25">
      <c r="A39" s="47">
        <v>1.5</v>
      </c>
      <c r="B39" s="50" t="s">
        <v>281</v>
      </c>
      <c r="C39" s="19">
        <v>0</v>
      </c>
      <c r="D39" s="33">
        <v>90</v>
      </c>
      <c r="E39" s="17">
        <v>70</v>
      </c>
      <c r="F39" s="33">
        <v>90</v>
      </c>
      <c r="G39" s="17">
        <v>73</v>
      </c>
      <c r="H39" s="17">
        <v>115</v>
      </c>
      <c r="I39" s="33">
        <v>125</v>
      </c>
      <c r="J39" s="17">
        <v>125</v>
      </c>
      <c r="K39" s="17">
        <v>125</v>
      </c>
      <c r="L39" s="17">
        <v>85</v>
      </c>
      <c r="M39" s="33">
        <v>65</v>
      </c>
      <c r="N39" s="17">
        <v>110</v>
      </c>
      <c r="O39" s="33">
        <v>120</v>
      </c>
      <c r="P39" s="17">
        <v>115</v>
      </c>
      <c r="Q39" s="17">
        <v>115</v>
      </c>
      <c r="R39" s="17">
        <v>0</v>
      </c>
      <c r="S39" s="33">
        <v>140</v>
      </c>
      <c r="T39" s="17">
        <v>0</v>
      </c>
      <c r="U39" s="33">
        <v>90</v>
      </c>
      <c r="V39" s="17">
        <v>2.25</v>
      </c>
      <c r="W39" s="34"/>
      <c r="X39" s="17"/>
      <c r="Y39" s="34"/>
      <c r="Z39" s="17"/>
      <c r="AA39" s="34"/>
      <c r="AB39" s="17"/>
    </row>
    <row r="40" spans="1:28" x14ac:dyDescent="0.25">
      <c r="A40" s="47">
        <v>1.5</v>
      </c>
      <c r="B40" s="50" t="s">
        <v>282</v>
      </c>
      <c r="C40" s="19">
        <v>0</v>
      </c>
      <c r="D40" s="33">
        <v>90</v>
      </c>
      <c r="E40" s="17">
        <v>70</v>
      </c>
      <c r="F40" s="33">
        <v>90</v>
      </c>
      <c r="G40" s="17">
        <v>73</v>
      </c>
      <c r="H40" s="17">
        <v>115</v>
      </c>
      <c r="I40" s="33">
        <v>125</v>
      </c>
      <c r="J40" s="17">
        <v>125</v>
      </c>
      <c r="K40" s="17">
        <v>125</v>
      </c>
      <c r="L40" s="17">
        <v>85</v>
      </c>
      <c r="M40" s="33">
        <v>65</v>
      </c>
      <c r="N40" s="17">
        <v>110</v>
      </c>
      <c r="O40" s="33">
        <v>120</v>
      </c>
      <c r="P40" s="17">
        <v>115</v>
      </c>
      <c r="Q40" s="17">
        <v>115</v>
      </c>
      <c r="R40" s="17">
        <v>0</v>
      </c>
      <c r="S40" s="33">
        <v>140</v>
      </c>
      <c r="T40" s="17">
        <v>0</v>
      </c>
      <c r="U40" s="33">
        <v>90</v>
      </c>
      <c r="V40" s="17">
        <v>2.25</v>
      </c>
      <c r="W40" s="34"/>
      <c r="X40" s="17"/>
      <c r="Y40" s="34"/>
      <c r="Z40" s="17"/>
      <c r="AA40" s="34"/>
      <c r="AB40" s="17"/>
    </row>
    <row r="41" spans="1:28" x14ac:dyDescent="0.25">
      <c r="A41" s="47">
        <v>1.5</v>
      </c>
      <c r="B41" s="50" t="s">
        <v>307</v>
      </c>
      <c r="C41" s="19">
        <v>0</v>
      </c>
      <c r="D41" s="33">
        <v>95</v>
      </c>
      <c r="E41" s="17">
        <v>70</v>
      </c>
      <c r="F41" s="33">
        <v>90</v>
      </c>
      <c r="G41" s="17">
        <v>73</v>
      </c>
      <c r="H41" s="17">
        <v>115</v>
      </c>
      <c r="I41" s="33">
        <v>125</v>
      </c>
      <c r="J41" s="17">
        <v>125</v>
      </c>
      <c r="K41" s="17">
        <v>125</v>
      </c>
      <c r="L41" s="17">
        <v>85</v>
      </c>
      <c r="M41" s="33">
        <v>65</v>
      </c>
      <c r="N41" s="17">
        <v>110</v>
      </c>
      <c r="O41" s="33">
        <v>120</v>
      </c>
      <c r="P41" s="17">
        <v>115</v>
      </c>
      <c r="Q41" s="17">
        <v>115</v>
      </c>
      <c r="R41" s="17">
        <v>0</v>
      </c>
      <c r="S41" s="33">
        <v>140</v>
      </c>
      <c r="T41" s="17">
        <v>0</v>
      </c>
      <c r="U41" s="33">
        <v>90</v>
      </c>
      <c r="V41" s="17">
        <v>2.75</v>
      </c>
      <c r="W41" s="34"/>
      <c r="X41" s="17"/>
      <c r="Y41" s="34"/>
      <c r="Z41" s="17"/>
      <c r="AA41" s="34"/>
      <c r="AB41" s="17"/>
    </row>
    <row r="42" spans="1:28" x14ac:dyDescent="0.25">
      <c r="A42" s="47">
        <v>1.5</v>
      </c>
      <c r="B42" s="50" t="s">
        <v>283</v>
      </c>
      <c r="C42" s="19">
        <v>0</v>
      </c>
      <c r="D42" s="33">
        <v>90</v>
      </c>
      <c r="E42" s="17">
        <v>70</v>
      </c>
      <c r="F42" s="33">
        <v>90</v>
      </c>
      <c r="G42" s="17">
        <v>73</v>
      </c>
      <c r="H42" s="17">
        <v>115</v>
      </c>
      <c r="I42" s="33">
        <v>125</v>
      </c>
      <c r="J42" s="17">
        <v>125</v>
      </c>
      <c r="K42" s="17">
        <v>125</v>
      </c>
      <c r="L42" s="17">
        <v>85</v>
      </c>
      <c r="M42" s="33">
        <v>65</v>
      </c>
      <c r="N42" s="17">
        <v>110</v>
      </c>
      <c r="O42" s="33">
        <v>120</v>
      </c>
      <c r="P42" s="17">
        <v>115</v>
      </c>
      <c r="Q42" s="17">
        <v>115</v>
      </c>
      <c r="R42" s="17">
        <v>0</v>
      </c>
      <c r="S42" s="33">
        <v>140</v>
      </c>
      <c r="T42" s="17">
        <v>0</v>
      </c>
      <c r="U42" s="33">
        <v>90</v>
      </c>
      <c r="V42" s="17">
        <v>2.25</v>
      </c>
      <c r="W42" s="34"/>
      <c r="X42" s="17"/>
      <c r="Y42" s="34"/>
      <c r="Z42" s="17"/>
      <c r="AA42" s="34"/>
      <c r="AB42" s="17"/>
    </row>
    <row r="43" spans="1:28" x14ac:dyDescent="0.25">
      <c r="A43" s="47">
        <v>1.5</v>
      </c>
      <c r="B43" s="50" t="s">
        <v>284</v>
      </c>
      <c r="C43" s="19">
        <v>0</v>
      </c>
      <c r="D43" s="33">
        <v>90</v>
      </c>
      <c r="E43" s="17">
        <v>70</v>
      </c>
      <c r="F43" s="33">
        <v>90</v>
      </c>
      <c r="G43" s="17">
        <v>73</v>
      </c>
      <c r="H43" s="17">
        <v>115</v>
      </c>
      <c r="I43" s="33">
        <v>125</v>
      </c>
      <c r="J43" s="17">
        <v>125</v>
      </c>
      <c r="K43" s="17">
        <v>125</v>
      </c>
      <c r="L43" s="17">
        <v>85</v>
      </c>
      <c r="M43" s="33">
        <v>65</v>
      </c>
      <c r="N43" s="17">
        <v>110</v>
      </c>
      <c r="O43" s="33">
        <v>120</v>
      </c>
      <c r="P43" s="17">
        <v>115</v>
      </c>
      <c r="Q43" s="17">
        <v>115</v>
      </c>
      <c r="R43" s="17">
        <v>0</v>
      </c>
      <c r="S43" s="33">
        <v>140</v>
      </c>
      <c r="T43" s="17">
        <v>0</v>
      </c>
      <c r="U43" s="33">
        <v>90</v>
      </c>
      <c r="V43" s="17">
        <v>2.25</v>
      </c>
      <c r="W43" s="34"/>
      <c r="X43" s="17"/>
      <c r="Y43" s="34"/>
      <c r="Z43" s="17"/>
      <c r="AA43" s="34"/>
      <c r="AB43" s="17"/>
    </row>
    <row r="44" spans="1:28" x14ac:dyDescent="0.25">
      <c r="A44" s="47">
        <v>1.5</v>
      </c>
      <c r="B44" s="50" t="s">
        <v>316</v>
      </c>
      <c r="C44" s="19">
        <v>0</v>
      </c>
      <c r="D44" s="33">
        <v>90</v>
      </c>
      <c r="E44" s="17">
        <v>70</v>
      </c>
      <c r="F44" s="33">
        <v>90</v>
      </c>
      <c r="G44" s="17">
        <v>73</v>
      </c>
      <c r="H44" s="17">
        <v>115</v>
      </c>
      <c r="I44" s="33">
        <v>125</v>
      </c>
      <c r="J44" s="17">
        <v>125</v>
      </c>
      <c r="K44" s="17">
        <v>125</v>
      </c>
      <c r="L44" s="17">
        <v>85</v>
      </c>
      <c r="M44" s="33">
        <v>65</v>
      </c>
      <c r="N44" s="17">
        <v>110</v>
      </c>
      <c r="O44" s="33">
        <v>120</v>
      </c>
      <c r="P44" s="17">
        <v>115</v>
      </c>
      <c r="Q44" s="17">
        <v>115</v>
      </c>
      <c r="R44" s="17">
        <v>0</v>
      </c>
      <c r="S44" s="33">
        <v>140</v>
      </c>
      <c r="T44" s="17">
        <v>0</v>
      </c>
      <c r="U44" s="33">
        <v>90</v>
      </c>
      <c r="V44" s="17">
        <v>2.25</v>
      </c>
      <c r="W44" s="34"/>
      <c r="X44" s="17"/>
      <c r="Y44" s="34"/>
      <c r="Z44" s="17"/>
      <c r="AA44" s="34"/>
      <c r="AB44" s="17"/>
    </row>
    <row r="45" spans="1:28" x14ac:dyDescent="0.25">
      <c r="A45" s="47">
        <v>1.5</v>
      </c>
      <c r="B45" s="50" t="s">
        <v>285</v>
      </c>
      <c r="C45" s="19">
        <v>0</v>
      </c>
      <c r="D45" s="33">
        <v>90</v>
      </c>
      <c r="E45" s="17">
        <v>70</v>
      </c>
      <c r="F45" s="33">
        <v>90</v>
      </c>
      <c r="G45" s="17">
        <v>73</v>
      </c>
      <c r="H45" s="17">
        <v>115</v>
      </c>
      <c r="I45" s="33">
        <v>125</v>
      </c>
      <c r="J45" s="17">
        <v>125</v>
      </c>
      <c r="K45" s="17">
        <v>125</v>
      </c>
      <c r="L45" s="17">
        <v>85</v>
      </c>
      <c r="M45" s="33">
        <v>65</v>
      </c>
      <c r="N45" s="17">
        <v>110</v>
      </c>
      <c r="O45" s="33">
        <v>120</v>
      </c>
      <c r="P45" s="17">
        <v>115</v>
      </c>
      <c r="Q45" s="17">
        <v>115</v>
      </c>
      <c r="R45" s="17">
        <v>0</v>
      </c>
      <c r="S45" s="33">
        <v>140</v>
      </c>
      <c r="T45" s="17">
        <v>0</v>
      </c>
      <c r="U45" s="33">
        <v>90</v>
      </c>
      <c r="V45" s="17">
        <v>2.25</v>
      </c>
      <c r="W45" s="34"/>
      <c r="X45" s="17"/>
      <c r="Y45" s="34"/>
      <c r="Z45" s="17"/>
      <c r="AA45" s="34"/>
      <c r="AB45" s="17"/>
    </row>
    <row r="46" spans="1:28" x14ac:dyDescent="0.25">
      <c r="A46" s="47">
        <v>1.5</v>
      </c>
      <c r="B46" s="50" t="s">
        <v>308</v>
      </c>
      <c r="C46" s="19">
        <v>0</v>
      </c>
      <c r="D46" s="33">
        <v>90</v>
      </c>
      <c r="E46" s="17">
        <v>70</v>
      </c>
      <c r="F46" s="33">
        <v>90</v>
      </c>
      <c r="G46" s="17">
        <v>73</v>
      </c>
      <c r="H46" s="17">
        <v>115</v>
      </c>
      <c r="I46" s="33">
        <v>125</v>
      </c>
      <c r="J46" s="17">
        <v>125</v>
      </c>
      <c r="K46" s="17">
        <v>125</v>
      </c>
      <c r="L46" s="17">
        <v>85</v>
      </c>
      <c r="M46" s="33">
        <v>65</v>
      </c>
      <c r="N46" s="17">
        <v>110</v>
      </c>
      <c r="O46" s="33">
        <v>120</v>
      </c>
      <c r="P46" s="17">
        <v>115</v>
      </c>
      <c r="Q46" s="17">
        <v>115</v>
      </c>
      <c r="R46" s="17">
        <v>0</v>
      </c>
      <c r="S46" s="33">
        <v>140</v>
      </c>
      <c r="T46" s="17">
        <v>0</v>
      </c>
      <c r="U46" s="33">
        <v>90</v>
      </c>
      <c r="V46" s="17">
        <v>2.25</v>
      </c>
      <c r="W46" s="34"/>
      <c r="X46" s="17"/>
      <c r="Y46" s="34"/>
      <c r="Z46" s="17"/>
      <c r="AA46" s="34"/>
      <c r="AB46" s="17"/>
    </row>
    <row r="47" spans="1:28" x14ac:dyDescent="0.25">
      <c r="A47" s="47">
        <v>1.5</v>
      </c>
      <c r="B47" s="50" t="s">
        <v>286</v>
      </c>
      <c r="C47" s="19">
        <v>0</v>
      </c>
      <c r="D47" s="33">
        <v>90</v>
      </c>
      <c r="E47" s="17">
        <v>70</v>
      </c>
      <c r="F47" s="33">
        <v>90</v>
      </c>
      <c r="G47" s="17">
        <v>73</v>
      </c>
      <c r="H47" s="17">
        <v>115</v>
      </c>
      <c r="I47" s="33">
        <v>125</v>
      </c>
      <c r="J47" s="17">
        <v>125</v>
      </c>
      <c r="K47" s="17">
        <v>125</v>
      </c>
      <c r="L47" s="17">
        <v>85</v>
      </c>
      <c r="M47" s="33">
        <v>65</v>
      </c>
      <c r="N47" s="17">
        <v>110</v>
      </c>
      <c r="O47" s="33">
        <v>120</v>
      </c>
      <c r="P47" s="17">
        <v>115</v>
      </c>
      <c r="Q47" s="17">
        <v>115</v>
      </c>
      <c r="R47" s="17">
        <v>0</v>
      </c>
      <c r="S47" s="33">
        <v>140</v>
      </c>
      <c r="T47" s="17">
        <v>0</v>
      </c>
      <c r="U47" s="33">
        <v>90</v>
      </c>
      <c r="V47" s="17">
        <v>2.25</v>
      </c>
      <c r="W47" s="34"/>
      <c r="X47" s="17"/>
      <c r="Y47" s="34"/>
      <c r="Z47" s="17"/>
      <c r="AA47" s="34"/>
      <c r="AB47" s="17"/>
    </row>
    <row r="48" spans="1:28" x14ac:dyDescent="0.25">
      <c r="A48" s="47">
        <v>1.5</v>
      </c>
      <c r="B48" s="50" t="s">
        <v>287</v>
      </c>
      <c r="C48" s="19">
        <v>0</v>
      </c>
      <c r="D48" s="33">
        <v>90</v>
      </c>
      <c r="E48" s="17">
        <v>70</v>
      </c>
      <c r="F48" s="33">
        <v>90</v>
      </c>
      <c r="G48" s="17">
        <v>73</v>
      </c>
      <c r="H48" s="17">
        <v>115</v>
      </c>
      <c r="I48" s="33">
        <v>125</v>
      </c>
      <c r="J48" s="17">
        <v>125</v>
      </c>
      <c r="K48" s="17">
        <v>125</v>
      </c>
      <c r="L48" s="17">
        <v>85</v>
      </c>
      <c r="M48" s="33">
        <v>65</v>
      </c>
      <c r="N48" s="17">
        <v>110</v>
      </c>
      <c r="O48" s="33">
        <v>120</v>
      </c>
      <c r="P48" s="17">
        <v>115</v>
      </c>
      <c r="Q48" s="17">
        <v>115</v>
      </c>
      <c r="R48" s="17">
        <v>0</v>
      </c>
      <c r="S48" s="33">
        <v>140</v>
      </c>
      <c r="T48" s="17">
        <v>0</v>
      </c>
      <c r="U48" s="33">
        <v>90</v>
      </c>
      <c r="V48" s="17">
        <v>2.25</v>
      </c>
      <c r="W48" s="34"/>
      <c r="X48" s="17"/>
      <c r="Y48" s="34"/>
      <c r="Z48" s="17"/>
      <c r="AA48" s="34"/>
      <c r="AB48" s="17"/>
    </row>
    <row r="49" spans="1:28" x14ac:dyDescent="0.25">
      <c r="A49" s="47">
        <v>1.5</v>
      </c>
      <c r="B49" s="50" t="s">
        <v>288</v>
      </c>
      <c r="C49" s="19">
        <v>0</v>
      </c>
      <c r="D49" s="33">
        <v>90</v>
      </c>
      <c r="E49" s="17">
        <v>70</v>
      </c>
      <c r="F49" s="33">
        <v>90</v>
      </c>
      <c r="G49" s="17">
        <v>73</v>
      </c>
      <c r="H49" s="17">
        <v>115</v>
      </c>
      <c r="I49" s="33">
        <v>125</v>
      </c>
      <c r="J49" s="17">
        <v>125</v>
      </c>
      <c r="K49" s="17">
        <v>125</v>
      </c>
      <c r="L49" s="17">
        <v>85</v>
      </c>
      <c r="M49" s="33">
        <v>65</v>
      </c>
      <c r="N49" s="17">
        <v>110</v>
      </c>
      <c r="O49" s="33">
        <v>120</v>
      </c>
      <c r="P49" s="17">
        <v>115</v>
      </c>
      <c r="Q49" s="17">
        <v>115</v>
      </c>
      <c r="R49" s="17">
        <v>0</v>
      </c>
      <c r="S49" s="33">
        <v>140</v>
      </c>
      <c r="T49" s="17">
        <v>0</v>
      </c>
      <c r="U49" s="33">
        <v>90</v>
      </c>
      <c r="V49" s="17">
        <v>2.25</v>
      </c>
      <c r="W49" s="34"/>
      <c r="X49" s="17"/>
      <c r="Y49" s="34"/>
      <c r="Z49" s="17"/>
      <c r="AA49" s="34"/>
      <c r="AB49" s="17"/>
    </row>
    <row r="50" spans="1:28" x14ac:dyDescent="0.25">
      <c r="A50" s="47">
        <v>1.5</v>
      </c>
      <c r="B50" s="50" t="s">
        <v>289</v>
      </c>
      <c r="C50" s="19">
        <v>0</v>
      </c>
      <c r="D50" s="33">
        <v>90</v>
      </c>
      <c r="E50" s="17">
        <v>70</v>
      </c>
      <c r="F50" s="33">
        <v>90</v>
      </c>
      <c r="G50" s="17">
        <v>73</v>
      </c>
      <c r="H50" s="17">
        <v>115</v>
      </c>
      <c r="I50" s="33">
        <v>125</v>
      </c>
      <c r="J50" s="17">
        <v>125</v>
      </c>
      <c r="K50" s="17">
        <v>125</v>
      </c>
      <c r="L50" s="17">
        <v>85</v>
      </c>
      <c r="M50" s="33">
        <v>65</v>
      </c>
      <c r="N50" s="17">
        <v>110</v>
      </c>
      <c r="O50" s="33">
        <v>120</v>
      </c>
      <c r="P50" s="17">
        <v>115</v>
      </c>
      <c r="Q50" s="17">
        <v>115</v>
      </c>
      <c r="R50" s="17">
        <v>0</v>
      </c>
      <c r="S50" s="33">
        <v>140</v>
      </c>
      <c r="T50" s="17">
        <v>0</v>
      </c>
      <c r="U50" s="33">
        <v>90</v>
      </c>
      <c r="V50" s="17">
        <v>2.25</v>
      </c>
      <c r="W50" s="34"/>
      <c r="X50" s="17"/>
      <c r="Y50" s="34"/>
      <c r="Z50" s="17"/>
      <c r="AA50" s="34"/>
      <c r="AB50" s="17"/>
    </row>
    <row r="51" spans="1:28" x14ac:dyDescent="0.25">
      <c r="A51" s="47">
        <v>1.5</v>
      </c>
      <c r="B51" s="50" t="s">
        <v>290</v>
      </c>
      <c r="C51" s="19">
        <v>0</v>
      </c>
      <c r="D51" s="33">
        <v>90</v>
      </c>
      <c r="E51" s="17">
        <v>70</v>
      </c>
      <c r="F51" s="33">
        <v>90</v>
      </c>
      <c r="G51" s="17">
        <v>73</v>
      </c>
      <c r="H51" s="17">
        <v>115</v>
      </c>
      <c r="I51" s="33">
        <v>125</v>
      </c>
      <c r="J51" s="17">
        <v>125</v>
      </c>
      <c r="K51" s="17">
        <v>125</v>
      </c>
      <c r="L51" s="17">
        <v>85</v>
      </c>
      <c r="M51" s="33">
        <v>65</v>
      </c>
      <c r="N51" s="17">
        <v>110</v>
      </c>
      <c r="O51" s="33">
        <v>120</v>
      </c>
      <c r="P51" s="17">
        <v>115</v>
      </c>
      <c r="Q51" s="17">
        <v>115</v>
      </c>
      <c r="R51" s="17">
        <v>0</v>
      </c>
      <c r="S51" s="33">
        <v>140</v>
      </c>
      <c r="T51" s="17">
        <v>0</v>
      </c>
      <c r="U51" s="33">
        <v>90</v>
      </c>
      <c r="V51" s="17">
        <v>2.25</v>
      </c>
      <c r="W51" s="34"/>
      <c r="X51" s="17"/>
      <c r="Y51" s="34"/>
      <c r="Z51" s="17"/>
      <c r="AA51" s="34"/>
      <c r="AB51" s="17"/>
    </row>
    <row r="52" spans="1:28" x14ac:dyDescent="0.25">
      <c r="A52" s="47">
        <v>1.5</v>
      </c>
      <c r="B52" s="50" t="s">
        <v>291</v>
      </c>
      <c r="C52" s="19">
        <v>0</v>
      </c>
      <c r="D52" s="33">
        <v>90</v>
      </c>
      <c r="E52" s="17">
        <v>70</v>
      </c>
      <c r="F52" s="33">
        <v>90</v>
      </c>
      <c r="G52" s="17">
        <v>73</v>
      </c>
      <c r="H52" s="17">
        <v>115</v>
      </c>
      <c r="I52" s="33">
        <v>125</v>
      </c>
      <c r="J52" s="17">
        <v>125</v>
      </c>
      <c r="K52" s="17">
        <v>125</v>
      </c>
      <c r="L52" s="17">
        <v>85</v>
      </c>
      <c r="M52" s="33">
        <v>65</v>
      </c>
      <c r="N52" s="17">
        <v>110</v>
      </c>
      <c r="O52" s="33">
        <v>120</v>
      </c>
      <c r="P52" s="17">
        <v>115</v>
      </c>
      <c r="Q52" s="17">
        <v>115</v>
      </c>
      <c r="R52" s="17">
        <v>0</v>
      </c>
      <c r="S52" s="33">
        <v>140</v>
      </c>
      <c r="T52" s="17">
        <v>0</v>
      </c>
      <c r="U52" s="33">
        <v>90</v>
      </c>
      <c r="V52" s="17">
        <v>2.25</v>
      </c>
      <c r="W52" s="34"/>
      <c r="X52" s="17"/>
      <c r="Y52" s="34"/>
      <c r="Z52" s="17"/>
      <c r="AA52" s="34"/>
      <c r="AB52" s="17"/>
    </row>
    <row r="53" spans="1:28" x14ac:dyDescent="0.25">
      <c r="A53" s="47">
        <v>1.5</v>
      </c>
      <c r="B53" s="50" t="s">
        <v>292</v>
      </c>
      <c r="C53" s="19">
        <v>0</v>
      </c>
      <c r="D53" s="33">
        <v>90</v>
      </c>
      <c r="E53" s="17">
        <v>70</v>
      </c>
      <c r="F53" s="33">
        <v>90</v>
      </c>
      <c r="G53" s="17">
        <v>73</v>
      </c>
      <c r="H53" s="17">
        <v>115</v>
      </c>
      <c r="I53" s="33">
        <v>125</v>
      </c>
      <c r="J53" s="17">
        <v>125</v>
      </c>
      <c r="K53" s="17">
        <v>125</v>
      </c>
      <c r="L53" s="17">
        <v>85</v>
      </c>
      <c r="M53" s="33">
        <v>65</v>
      </c>
      <c r="N53" s="17">
        <v>110</v>
      </c>
      <c r="O53" s="33">
        <v>120</v>
      </c>
      <c r="P53" s="17">
        <v>115</v>
      </c>
      <c r="Q53" s="17">
        <v>115</v>
      </c>
      <c r="R53" s="17">
        <v>0</v>
      </c>
      <c r="S53" s="33">
        <v>140</v>
      </c>
      <c r="T53" s="17">
        <v>0</v>
      </c>
      <c r="U53" s="33">
        <v>90</v>
      </c>
      <c r="V53" s="17">
        <v>2.25</v>
      </c>
      <c r="W53" s="34"/>
      <c r="X53" s="17"/>
      <c r="Y53" s="34"/>
      <c r="Z53" s="17"/>
      <c r="AA53" s="34"/>
      <c r="AB53" s="17"/>
    </row>
    <row r="54" spans="1:28" x14ac:dyDescent="0.25">
      <c r="A54" s="47">
        <v>1.5</v>
      </c>
      <c r="B54" s="50" t="s">
        <v>309</v>
      </c>
      <c r="C54" s="19">
        <v>0</v>
      </c>
      <c r="D54" s="33">
        <v>90</v>
      </c>
      <c r="E54" s="17">
        <v>70</v>
      </c>
      <c r="F54" s="33">
        <v>90</v>
      </c>
      <c r="G54" s="17">
        <v>73</v>
      </c>
      <c r="H54" s="17">
        <v>115</v>
      </c>
      <c r="I54" s="33">
        <v>125</v>
      </c>
      <c r="J54" s="17">
        <v>125</v>
      </c>
      <c r="K54" s="17">
        <v>125</v>
      </c>
      <c r="L54" s="17">
        <v>85</v>
      </c>
      <c r="M54" s="33">
        <v>65</v>
      </c>
      <c r="N54" s="17">
        <v>110</v>
      </c>
      <c r="O54" s="33">
        <v>120</v>
      </c>
      <c r="P54" s="17">
        <v>115</v>
      </c>
      <c r="Q54" s="17">
        <v>115</v>
      </c>
      <c r="R54" s="17">
        <v>0</v>
      </c>
      <c r="S54" s="33">
        <v>140</v>
      </c>
      <c r="T54" s="17">
        <v>0</v>
      </c>
      <c r="U54" s="33">
        <v>90</v>
      </c>
      <c r="V54" s="17">
        <v>2.25</v>
      </c>
      <c r="W54" s="34"/>
      <c r="X54" s="17"/>
      <c r="Y54" s="34"/>
      <c r="Z54" s="17"/>
      <c r="AA54" s="34"/>
      <c r="AB54" s="17"/>
    </row>
    <row r="55" spans="1:28" x14ac:dyDescent="0.25">
      <c r="A55" s="47">
        <v>1.5</v>
      </c>
      <c r="B55" s="50" t="s">
        <v>310</v>
      </c>
      <c r="C55" s="19">
        <v>0</v>
      </c>
      <c r="D55" s="33">
        <v>95</v>
      </c>
      <c r="E55" s="17">
        <v>70</v>
      </c>
      <c r="F55" s="33">
        <v>90</v>
      </c>
      <c r="G55" s="17">
        <v>73</v>
      </c>
      <c r="H55" s="17">
        <v>115</v>
      </c>
      <c r="I55" s="33">
        <v>125</v>
      </c>
      <c r="J55" s="17">
        <v>125</v>
      </c>
      <c r="K55" s="17">
        <v>125</v>
      </c>
      <c r="L55" s="17">
        <v>85</v>
      </c>
      <c r="M55" s="33">
        <v>65</v>
      </c>
      <c r="N55" s="17">
        <v>110</v>
      </c>
      <c r="O55" s="33">
        <v>120</v>
      </c>
      <c r="P55" s="17">
        <v>115</v>
      </c>
      <c r="Q55" s="17">
        <v>115</v>
      </c>
      <c r="R55" s="17">
        <v>0</v>
      </c>
      <c r="S55" s="33">
        <v>140</v>
      </c>
      <c r="T55" s="17">
        <v>0</v>
      </c>
      <c r="U55" s="33">
        <v>90</v>
      </c>
      <c r="V55" s="17">
        <v>2.75</v>
      </c>
      <c r="W55" s="34"/>
      <c r="X55" s="17"/>
      <c r="Y55" s="34"/>
      <c r="Z55" s="17"/>
      <c r="AA55" s="34"/>
      <c r="AB55" s="17"/>
    </row>
    <row r="56" spans="1:28" x14ac:dyDescent="0.25">
      <c r="A56" s="47">
        <v>1.5</v>
      </c>
      <c r="B56" s="50" t="s">
        <v>293</v>
      </c>
      <c r="C56" s="19">
        <v>0</v>
      </c>
      <c r="D56" s="33">
        <v>90</v>
      </c>
      <c r="E56" s="17">
        <v>70</v>
      </c>
      <c r="F56" s="33">
        <v>90</v>
      </c>
      <c r="G56" s="17">
        <v>73</v>
      </c>
      <c r="H56" s="17">
        <v>115</v>
      </c>
      <c r="I56" s="33">
        <v>125</v>
      </c>
      <c r="J56" s="17">
        <v>125</v>
      </c>
      <c r="K56" s="17">
        <v>125</v>
      </c>
      <c r="L56" s="17">
        <v>85</v>
      </c>
      <c r="M56" s="33">
        <v>65</v>
      </c>
      <c r="N56" s="17">
        <v>110</v>
      </c>
      <c r="O56" s="33">
        <v>120</v>
      </c>
      <c r="P56" s="17">
        <v>115</v>
      </c>
      <c r="Q56" s="17">
        <v>115</v>
      </c>
      <c r="R56" s="17">
        <v>0</v>
      </c>
      <c r="S56" s="33">
        <v>140</v>
      </c>
      <c r="T56" s="17">
        <v>0</v>
      </c>
      <c r="U56" s="33">
        <v>90</v>
      </c>
      <c r="V56" s="17">
        <v>2.25</v>
      </c>
      <c r="W56" s="34"/>
      <c r="X56" s="17"/>
      <c r="Y56" s="34"/>
      <c r="Z56" s="17"/>
      <c r="AA56" s="34"/>
      <c r="AB56" s="17"/>
    </row>
    <row r="57" spans="1:28" x14ac:dyDescent="0.25">
      <c r="A57" s="47">
        <v>1.5</v>
      </c>
      <c r="B57" s="50" t="s">
        <v>294</v>
      </c>
      <c r="C57" s="19">
        <v>0</v>
      </c>
      <c r="D57" s="33">
        <v>95</v>
      </c>
      <c r="E57" s="17">
        <v>70</v>
      </c>
      <c r="F57" s="33">
        <v>90</v>
      </c>
      <c r="G57" s="17">
        <v>73</v>
      </c>
      <c r="H57" s="17">
        <v>115</v>
      </c>
      <c r="I57" s="33">
        <v>125</v>
      </c>
      <c r="J57" s="17">
        <v>125</v>
      </c>
      <c r="K57" s="17">
        <v>125</v>
      </c>
      <c r="L57" s="17">
        <v>85</v>
      </c>
      <c r="M57" s="33">
        <v>65</v>
      </c>
      <c r="N57" s="17">
        <v>110</v>
      </c>
      <c r="O57" s="33">
        <v>120</v>
      </c>
      <c r="P57" s="17">
        <v>115</v>
      </c>
      <c r="Q57" s="17">
        <v>115</v>
      </c>
      <c r="R57" s="17">
        <v>0</v>
      </c>
      <c r="S57" s="33">
        <v>140</v>
      </c>
      <c r="T57" s="17">
        <v>0</v>
      </c>
      <c r="U57" s="33">
        <v>90</v>
      </c>
      <c r="V57" s="17">
        <v>2.75</v>
      </c>
      <c r="W57" s="34"/>
      <c r="X57" s="17"/>
      <c r="Y57" s="34"/>
      <c r="Z57" s="17"/>
      <c r="AA57" s="34"/>
      <c r="AB57" s="17"/>
    </row>
    <row r="58" spans="1:28" x14ac:dyDescent="0.25">
      <c r="A58" s="47">
        <v>1.5</v>
      </c>
      <c r="B58" s="50" t="s">
        <v>295</v>
      </c>
      <c r="C58" s="19">
        <v>0</v>
      </c>
      <c r="D58" s="33">
        <v>90</v>
      </c>
      <c r="E58" s="17">
        <v>70</v>
      </c>
      <c r="F58" s="33">
        <v>90</v>
      </c>
      <c r="G58" s="17">
        <v>73</v>
      </c>
      <c r="H58" s="17">
        <v>115</v>
      </c>
      <c r="I58" s="33">
        <v>125</v>
      </c>
      <c r="J58" s="17">
        <v>125</v>
      </c>
      <c r="K58" s="17">
        <v>125</v>
      </c>
      <c r="L58" s="17">
        <v>85</v>
      </c>
      <c r="M58" s="33">
        <v>65</v>
      </c>
      <c r="N58" s="17">
        <v>110</v>
      </c>
      <c r="O58" s="33">
        <v>120</v>
      </c>
      <c r="P58" s="17">
        <v>115</v>
      </c>
      <c r="Q58" s="17">
        <v>115</v>
      </c>
      <c r="R58" s="17">
        <v>0</v>
      </c>
      <c r="S58" s="33">
        <v>140</v>
      </c>
      <c r="T58" s="17">
        <v>0</v>
      </c>
      <c r="U58" s="33">
        <v>90</v>
      </c>
      <c r="V58" s="17">
        <v>2.25</v>
      </c>
      <c r="W58" s="34"/>
      <c r="X58" s="17"/>
      <c r="Y58" s="34"/>
      <c r="Z58" s="17"/>
      <c r="AA58" s="34"/>
      <c r="AB58" s="17"/>
    </row>
    <row r="59" spans="1:28" x14ac:dyDescent="0.25">
      <c r="A59" s="47"/>
      <c r="B59" s="50"/>
      <c r="C59" s="19"/>
      <c r="D59" s="33"/>
      <c r="E59" s="17"/>
      <c r="F59" s="33"/>
      <c r="G59" s="17"/>
      <c r="H59" s="17"/>
      <c r="I59" s="33"/>
      <c r="J59" s="17"/>
      <c r="K59" s="17"/>
      <c r="L59" s="17"/>
      <c r="M59" s="33"/>
      <c r="N59" s="17"/>
      <c r="O59" s="33"/>
      <c r="P59" s="17"/>
      <c r="Q59" s="17"/>
      <c r="R59" s="17"/>
      <c r="S59" s="33"/>
      <c r="T59" s="17"/>
      <c r="U59" s="33"/>
      <c r="V59" s="17"/>
      <c r="W59" s="33"/>
      <c r="X59" s="17"/>
      <c r="Y59" s="33"/>
      <c r="Z59" s="17"/>
      <c r="AA59" s="33"/>
      <c r="AB59" s="17"/>
    </row>
    <row r="60" spans="1:28" x14ac:dyDescent="0.25">
      <c r="A60" s="47"/>
      <c r="B60" s="50"/>
      <c r="C60" s="19"/>
      <c r="D60" s="33"/>
      <c r="E60" s="17"/>
      <c r="F60" s="33"/>
      <c r="G60" s="17"/>
      <c r="H60" s="17"/>
      <c r="I60" s="33"/>
      <c r="J60" s="17"/>
      <c r="K60" s="17"/>
      <c r="L60" s="17"/>
      <c r="M60" s="33"/>
      <c r="N60" s="17"/>
      <c r="O60" s="33"/>
      <c r="P60" s="17"/>
      <c r="Q60" s="17"/>
      <c r="R60" s="17"/>
      <c r="S60" s="33"/>
      <c r="T60" s="17"/>
      <c r="U60" s="33"/>
      <c r="V60" s="17"/>
      <c r="W60" s="33"/>
      <c r="X60" s="17"/>
      <c r="Y60" s="33"/>
      <c r="Z60" s="17"/>
      <c r="AA60" s="33"/>
      <c r="AB60" s="17"/>
    </row>
    <row r="61" spans="1:28" x14ac:dyDescent="0.25">
      <c r="A61" s="47"/>
      <c r="B61" s="50"/>
      <c r="C61" s="19"/>
      <c r="D61" s="33"/>
      <c r="E61" s="17"/>
      <c r="F61" s="33"/>
      <c r="G61" s="17"/>
      <c r="H61" s="17"/>
      <c r="I61" s="33"/>
      <c r="J61" s="17"/>
      <c r="K61" s="17"/>
      <c r="L61" s="17"/>
      <c r="M61" s="33"/>
      <c r="N61" s="17"/>
      <c r="O61" s="33"/>
      <c r="P61" s="17"/>
      <c r="Q61" s="17"/>
      <c r="R61" s="17"/>
      <c r="S61" s="33"/>
      <c r="T61" s="17"/>
      <c r="U61" s="33"/>
      <c r="V61" s="17"/>
      <c r="W61" s="33"/>
      <c r="X61" s="17"/>
      <c r="Y61" s="33"/>
      <c r="Z61" s="17"/>
      <c r="AA61" s="33"/>
      <c r="AB61" s="17"/>
    </row>
    <row r="62" spans="1:28" x14ac:dyDescent="0.25">
      <c r="A62" s="47"/>
      <c r="B62" s="50"/>
      <c r="C62" s="19"/>
      <c r="D62" s="33"/>
      <c r="E62" s="17"/>
      <c r="F62" s="33"/>
      <c r="G62" s="17"/>
      <c r="H62" s="17"/>
      <c r="I62" s="33"/>
      <c r="J62" s="17"/>
      <c r="K62" s="17"/>
      <c r="L62" s="17"/>
      <c r="M62" s="33"/>
      <c r="N62" s="17"/>
      <c r="O62" s="33"/>
      <c r="P62" s="17"/>
      <c r="Q62" s="17"/>
      <c r="R62" s="17"/>
      <c r="S62" s="33"/>
      <c r="T62" s="17"/>
      <c r="U62" s="33"/>
      <c r="V62" s="17"/>
      <c r="W62" s="33"/>
      <c r="X62" s="17"/>
      <c r="Y62" s="33"/>
      <c r="Z62" s="17"/>
      <c r="AA62" s="33"/>
      <c r="AB62" s="17"/>
    </row>
    <row r="63" spans="1:28" x14ac:dyDescent="0.25">
      <c r="A63" s="47"/>
      <c r="B63" s="50"/>
      <c r="C63" s="19"/>
      <c r="D63" s="33"/>
      <c r="E63" s="17"/>
      <c r="F63" s="33"/>
      <c r="G63" s="17"/>
      <c r="H63" s="17"/>
      <c r="I63" s="33"/>
      <c r="J63" s="17"/>
      <c r="K63" s="17"/>
      <c r="L63" s="17"/>
      <c r="M63" s="33"/>
      <c r="N63" s="17"/>
      <c r="O63" s="33"/>
      <c r="P63" s="17"/>
      <c r="Q63" s="17"/>
      <c r="R63" s="17"/>
      <c r="S63" s="33"/>
      <c r="T63" s="17"/>
      <c r="U63" s="33"/>
      <c r="V63" s="17"/>
      <c r="W63" s="33"/>
      <c r="X63" s="17"/>
      <c r="Y63" s="33"/>
      <c r="Z63" s="17"/>
      <c r="AA63" s="33"/>
      <c r="AB63" s="17"/>
    </row>
    <row r="64" spans="1:28" x14ac:dyDescent="0.25">
      <c r="A64" s="47"/>
      <c r="B64" s="50"/>
      <c r="C64" s="19"/>
      <c r="D64" s="33"/>
      <c r="E64" s="17"/>
      <c r="F64" s="33"/>
      <c r="G64" s="17"/>
      <c r="H64" s="17"/>
      <c r="I64" s="33"/>
      <c r="J64" s="17"/>
      <c r="K64" s="17"/>
      <c r="L64" s="17"/>
      <c r="M64" s="33"/>
      <c r="N64" s="17"/>
      <c r="O64" s="33"/>
      <c r="P64" s="17"/>
      <c r="Q64" s="17"/>
      <c r="R64" s="17"/>
      <c r="S64" s="33"/>
      <c r="T64" s="17"/>
      <c r="U64" s="33"/>
      <c r="V64" s="17"/>
      <c r="W64" s="33"/>
      <c r="X64" s="17"/>
      <c r="Y64" s="33"/>
      <c r="Z64" s="17"/>
      <c r="AA64" s="33"/>
      <c r="AB64" s="17"/>
    </row>
    <row r="65" spans="1:28" x14ac:dyDescent="0.25">
      <c r="A65" s="47"/>
      <c r="B65" s="50"/>
      <c r="C65" s="19"/>
      <c r="D65" s="33"/>
      <c r="E65" s="17"/>
      <c r="F65" s="33"/>
      <c r="G65" s="17"/>
      <c r="H65" s="17"/>
      <c r="I65" s="33"/>
      <c r="J65" s="17"/>
      <c r="K65" s="17"/>
      <c r="L65" s="17"/>
      <c r="M65" s="33"/>
      <c r="N65" s="17"/>
      <c r="O65" s="33"/>
      <c r="P65" s="17"/>
      <c r="Q65" s="17"/>
      <c r="R65" s="17"/>
      <c r="S65" s="33"/>
      <c r="T65" s="17"/>
      <c r="U65" s="33"/>
      <c r="V65" s="17"/>
      <c r="W65" s="34"/>
      <c r="X65" s="17"/>
      <c r="Y65" s="34"/>
      <c r="Z65" s="17"/>
      <c r="AA65" s="34"/>
      <c r="AB65" s="17"/>
    </row>
    <row r="66" spans="1:28" x14ac:dyDescent="0.25">
      <c r="A66" s="47"/>
      <c r="B66" s="50"/>
      <c r="C66" s="19"/>
      <c r="D66" s="33"/>
      <c r="E66" s="17"/>
      <c r="F66" s="33"/>
      <c r="G66" s="17"/>
      <c r="H66" s="17"/>
      <c r="I66" s="33"/>
      <c r="J66" s="17"/>
      <c r="K66" s="17"/>
      <c r="L66" s="17"/>
      <c r="M66" s="33"/>
      <c r="N66" s="17"/>
      <c r="O66" s="33"/>
      <c r="P66" s="17"/>
      <c r="Q66" s="17"/>
      <c r="R66" s="17"/>
      <c r="S66" s="33"/>
      <c r="T66" s="17"/>
      <c r="U66" s="33"/>
      <c r="V66" s="17"/>
      <c r="W66" s="34"/>
      <c r="X66" s="17"/>
      <c r="Y66" s="34"/>
      <c r="Z66" s="17"/>
      <c r="AA66" s="34"/>
      <c r="AB66" s="17"/>
    </row>
    <row r="67" spans="1:28" x14ac:dyDescent="0.25">
      <c r="A67" s="47"/>
      <c r="B67" s="50"/>
      <c r="C67" s="19"/>
      <c r="D67" s="33"/>
      <c r="E67" s="17"/>
      <c r="F67" s="33"/>
      <c r="G67" s="17"/>
      <c r="H67" s="17"/>
      <c r="I67" s="33"/>
      <c r="J67" s="17"/>
      <c r="K67" s="17"/>
      <c r="L67" s="17"/>
      <c r="M67" s="33"/>
      <c r="N67" s="17"/>
      <c r="O67" s="33"/>
      <c r="P67" s="17"/>
      <c r="Q67" s="17"/>
      <c r="R67" s="17"/>
      <c r="S67" s="33"/>
      <c r="T67" s="17"/>
      <c r="U67" s="33"/>
      <c r="V67" s="17"/>
      <c r="W67" s="34"/>
      <c r="X67" s="17"/>
      <c r="Y67" s="34"/>
      <c r="Z67" s="17"/>
      <c r="AA67" s="34"/>
      <c r="AB67" s="17"/>
    </row>
    <row r="68" spans="1:28" x14ac:dyDescent="0.25">
      <c r="A68" s="47"/>
      <c r="B68" s="50"/>
      <c r="C68" s="19"/>
      <c r="D68" s="33"/>
      <c r="E68" s="17"/>
      <c r="F68" s="33"/>
      <c r="G68" s="17"/>
      <c r="H68" s="17"/>
      <c r="I68" s="33"/>
      <c r="J68" s="17"/>
      <c r="K68" s="17"/>
      <c r="L68" s="17"/>
      <c r="M68" s="33"/>
      <c r="N68" s="17"/>
      <c r="O68" s="33"/>
      <c r="P68" s="17"/>
      <c r="Q68" s="17"/>
      <c r="R68" s="17"/>
      <c r="S68" s="33"/>
      <c r="T68" s="17"/>
      <c r="U68" s="33"/>
      <c r="V68" s="17"/>
      <c r="W68" s="34"/>
      <c r="X68" s="17"/>
      <c r="Y68" s="34"/>
      <c r="Z68" s="17"/>
      <c r="AA68" s="34"/>
      <c r="AB68" s="17"/>
    </row>
    <row r="69" spans="1:28" x14ac:dyDescent="0.25">
      <c r="A69" s="47"/>
      <c r="B69" s="50"/>
      <c r="C69" s="19"/>
      <c r="D69" s="33"/>
      <c r="E69" s="17"/>
      <c r="F69" s="33"/>
      <c r="G69" s="17"/>
      <c r="H69" s="17"/>
      <c r="I69" s="33"/>
      <c r="J69" s="17"/>
      <c r="K69" s="17"/>
      <c r="L69" s="17"/>
      <c r="M69" s="33"/>
      <c r="N69" s="17"/>
      <c r="O69" s="33"/>
      <c r="P69" s="17"/>
      <c r="Q69" s="17"/>
      <c r="R69" s="17"/>
      <c r="S69" s="33"/>
      <c r="T69" s="17"/>
      <c r="U69" s="33"/>
      <c r="V69" s="17"/>
      <c r="W69" s="34"/>
      <c r="X69" s="17"/>
      <c r="Y69" s="34"/>
      <c r="Z69" s="17"/>
      <c r="AA69" s="34"/>
      <c r="AB69" s="17"/>
    </row>
    <row r="70" spans="1:28" x14ac:dyDescent="0.25">
      <c r="A70" s="47"/>
      <c r="B70" s="50"/>
      <c r="C70" s="19"/>
      <c r="D70" s="33"/>
      <c r="E70" s="17"/>
      <c r="F70" s="33"/>
      <c r="G70" s="17"/>
      <c r="H70" s="17"/>
      <c r="I70" s="33"/>
      <c r="J70" s="17"/>
      <c r="K70" s="17"/>
      <c r="L70" s="17"/>
      <c r="M70" s="33"/>
      <c r="N70" s="17"/>
      <c r="O70" s="33"/>
      <c r="P70" s="17"/>
      <c r="Q70" s="17"/>
      <c r="R70" s="17"/>
      <c r="S70" s="33"/>
      <c r="T70" s="17"/>
      <c r="U70" s="33"/>
      <c r="V70" s="17"/>
      <c r="W70" s="34"/>
      <c r="X70" s="17"/>
      <c r="Y70" s="34"/>
      <c r="Z70" s="17"/>
      <c r="AA70" s="34"/>
      <c r="AB70" s="17"/>
    </row>
    <row r="71" spans="1:28" x14ac:dyDescent="0.25">
      <c r="A71" s="47"/>
      <c r="B71" s="50"/>
      <c r="C71" s="19"/>
      <c r="D71" s="33"/>
      <c r="E71" s="17"/>
      <c r="F71" s="33"/>
      <c r="G71" s="17"/>
      <c r="H71" s="17"/>
      <c r="I71" s="33"/>
      <c r="J71" s="17"/>
      <c r="K71" s="17"/>
      <c r="L71" s="17"/>
      <c r="M71" s="33"/>
      <c r="N71" s="17"/>
      <c r="O71" s="33"/>
      <c r="P71" s="17"/>
      <c r="Q71" s="17"/>
      <c r="R71" s="17"/>
      <c r="S71" s="33"/>
      <c r="T71" s="17"/>
      <c r="U71" s="33"/>
      <c r="V71" s="17"/>
      <c r="W71" s="34"/>
      <c r="X71" s="17"/>
      <c r="Y71" s="34"/>
      <c r="Z71" s="17"/>
      <c r="AA71" s="34"/>
      <c r="AB71" s="17"/>
    </row>
    <row r="72" spans="1:28" x14ac:dyDescent="0.25">
      <c r="A72" s="47"/>
      <c r="B72" s="50"/>
      <c r="C72" s="19"/>
      <c r="D72" s="33"/>
      <c r="E72" s="17"/>
      <c r="F72" s="33"/>
      <c r="G72" s="17"/>
      <c r="H72" s="17"/>
      <c r="I72" s="33"/>
      <c r="J72" s="17"/>
      <c r="K72" s="17"/>
      <c r="L72" s="17"/>
      <c r="M72" s="33"/>
      <c r="N72" s="17"/>
      <c r="O72" s="33"/>
      <c r="P72" s="17"/>
      <c r="Q72" s="17"/>
      <c r="R72" s="17"/>
      <c r="S72" s="33"/>
      <c r="T72" s="17"/>
      <c r="U72" s="33"/>
      <c r="V72" s="17"/>
      <c r="W72" s="34"/>
      <c r="X72" s="17"/>
      <c r="Y72" s="34"/>
      <c r="Z72" s="17"/>
      <c r="AA72" s="34"/>
      <c r="AB72" s="17"/>
    </row>
    <row r="73" spans="1:28" x14ac:dyDescent="0.25">
      <c r="A73" s="47"/>
      <c r="B73" s="50"/>
      <c r="C73" s="19"/>
      <c r="D73" s="33"/>
      <c r="E73" s="17"/>
      <c r="F73" s="33"/>
      <c r="G73" s="17"/>
      <c r="H73" s="17"/>
      <c r="I73" s="33"/>
      <c r="J73" s="17"/>
      <c r="K73" s="17"/>
      <c r="L73" s="17"/>
      <c r="M73" s="33"/>
      <c r="N73" s="17"/>
      <c r="O73" s="33"/>
      <c r="P73" s="17"/>
      <c r="Q73" s="17"/>
      <c r="R73" s="17"/>
      <c r="S73" s="33"/>
      <c r="T73" s="17"/>
      <c r="U73" s="33"/>
      <c r="V73" s="17"/>
      <c r="W73" s="34"/>
      <c r="X73" s="17"/>
      <c r="Y73" s="34"/>
      <c r="Z73" s="17"/>
      <c r="AA73" s="34"/>
      <c r="AB73" s="17"/>
    </row>
    <row r="74" spans="1:28" x14ac:dyDescent="0.25">
      <c r="A74" s="47"/>
      <c r="B74" s="50"/>
      <c r="C74" s="19"/>
      <c r="D74" s="33"/>
      <c r="E74" s="17"/>
      <c r="F74" s="33"/>
      <c r="G74" s="17"/>
      <c r="H74" s="17"/>
      <c r="I74" s="33"/>
      <c r="J74" s="17"/>
      <c r="K74" s="17"/>
      <c r="L74" s="17"/>
      <c r="M74" s="33"/>
      <c r="N74" s="17"/>
      <c r="O74" s="33"/>
      <c r="P74" s="17"/>
      <c r="Q74" s="17"/>
      <c r="R74" s="17"/>
      <c r="S74" s="33"/>
      <c r="T74" s="17"/>
      <c r="U74" s="33"/>
      <c r="V74" s="17"/>
      <c r="W74" s="34"/>
      <c r="X74" s="17"/>
      <c r="Y74" s="34"/>
      <c r="Z74" s="17"/>
      <c r="AA74" s="34"/>
      <c r="AB74" s="17"/>
    </row>
    <row r="75" spans="1:28" x14ac:dyDescent="0.25">
      <c r="A75" s="48"/>
      <c r="B75" s="50"/>
      <c r="C75" s="17"/>
      <c r="D75" s="34"/>
      <c r="E75" s="17"/>
      <c r="F75" s="34"/>
      <c r="G75" s="17"/>
      <c r="H75" s="17"/>
      <c r="I75" s="34"/>
      <c r="J75" s="17"/>
      <c r="K75" s="34"/>
      <c r="L75" s="17"/>
      <c r="M75" s="34"/>
      <c r="N75" s="17"/>
      <c r="O75" s="34"/>
      <c r="P75" s="17"/>
      <c r="Q75" s="34"/>
      <c r="R75" s="17"/>
      <c r="S75" s="34"/>
      <c r="T75" s="17"/>
      <c r="U75" s="34"/>
      <c r="V75" s="17"/>
      <c r="W75" s="34"/>
      <c r="X75" s="17"/>
      <c r="Y75" s="34"/>
      <c r="Z75" s="17"/>
      <c r="AA75" s="34"/>
      <c r="AB75" s="17"/>
    </row>
    <row r="76" spans="1:28" x14ac:dyDescent="0.25">
      <c r="A76" s="48"/>
      <c r="B76" s="50"/>
      <c r="C76" s="17"/>
      <c r="D76" s="34"/>
      <c r="E76" s="17"/>
      <c r="F76" s="34"/>
      <c r="G76" s="17"/>
      <c r="H76" s="17"/>
      <c r="I76" s="34"/>
      <c r="J76" s="17"/>
      <c r="K76" s="34"/>
      <c r="L76" s="17"/>
      <c r="M76" s="34"/>
      <c r="N76" s="17"/>
      <c r="O76" s="34"/>
      <c r="P76" s="17"/>
      <c r="Q76" s="34"/>
      <c r="R76" s="17"/>
      <c r="S76" s="34"/>
      <c r="T76" s="17"/>
      <c r="U76" s="34"/>
      <c r="V76" s="17"/>
      <c r="W76" s="34"/>
      <c r="X76" s="17"/>
      <c r="Y76" s="34"/>
      <c r="Z76" s="17"/>
      <c r="AA76" s="34"/>
      <c r="AB76" s="17"/>
    </row>
    <row r="77" spans="1:28" x14ac:dyDescent="0.25">
      <c r="A77" s="48"/>
      <c r="B77" s="50"/>
      <c r="C77" s="17"/>
      <c r="D77" s="34"/>
      <c r="E77" s="17"/>
      <c r="F77" s="34"/>
      <c r="G77" s="17"/>
      <c r="H77" s="17"/>
      <c r="I77" s="34"/>
      <c r="J77" s="17"/>
      <c r="K77" s="34"/>
      <c r="L77" s="17"/>
      <c r="M77" s="34"/>
      <c r="N77" s="17"/>
      <c r="O77" s="34"/>
      <c r="P77" s="17"/>
      <c r="Q77" s="34"/>
      <c r="R77" s="17"/>
      <c r="S77" s="34"/>
      <c r="T77" s="17"/>
      <c r="U77" s="34"/>
      <c r="V77" s="17"/>
      <c r="W77" s="34"/>
      <c r="X77" s="17"/>
      <c r="Y77" s="34"/>
      <c r="Z77" s="17"/>
      <c r="AA77" s="34"/>
      <c r="AB77" s="17"/>
    </row>
    <row r="78" spans="1:28" x14ac:dyDescent="0.25">
      <c r="A78" s="48"/>
      <c r="B78" s="50"/>
      <c r="C78" s="17"/>
      <c r="D78" s="34"/>
      <c r="E78" s="17"/>
      <c r="F78" s="34"/>
      <c r="G78" s="17"/>
      <c r="H78" s="17"/>
      <c r="I78" s="34"/>
      <c r="J78" s="17"/>
      <c r="K78" s="34"/>
      <c r="L78" s="17"/>
      <c r="M78" s="34"/>
      <c r="N78" s="17"/>
      <c r="O78" s="34"/>
      <c r="P78" s="17"/>
      <c r="Q78" s="34"/>
      <c r="R78" s="17"/>
      <c r="S78" s="34"/>
      <c r="T78" s="17"/>
      <c r="U78" s="34"/>
      <c r="V78" s="17"/>
      <c r="W78" s="34"/>
      <c r="X78" s="17"/>
      <c r="Y78" s="34"/>
      <c r="Z78" s="17"/>
      <c r="AA78" s="34"/>
      <c r="AB78" s="17"/>
    </row>
    <row r="79" spans="1:28" x14ac:dyDescent="0.25">
      <c r="A79" s="48"/>
      <c r="B79" s="50"/>
      <c r="C79" s="17"/>
      <c r="D79" s="34"/>
      <c r="E79" s="17"/>
      <c r="F79" s="34"/>
      <c r="G79" s="17"/>
      <c r="H79" s="17"/>
      <c r="I79" s="34"/>
      <c r="J79" s="17"/>
      <c r="K79" s="34"/>
      <c r="L79" s="17"/>
      <c r="M79" s="34"/>
      <c r="N79" s="17"/>
      <c r="O79" s="34"/>
      <c r="P79" s="17"/>
      <c r="Q79" s="34"/>
      <c r="R79" s="17"/>
      <c r="S79" s="34"/>
      <c r="T79" s="17"/>
      <c r="U79" s="34"/>
      <c r="V79" s="17"/>
      <c r="W79" s="34"/>
      <c r="X79" s="17"/>
      <c r="Y79" s="34"/>
      <c r="Z79" s="17"/>
      <c r="AA79" s="34"/>
      <c r="AB79" s="17"/>
    </row>
    <row r="80" spans="1:28" x14ac:dyDescent="0.25">
      <c r="A80" s="48"/>
      <c r="B80" s="50"/>
      <c r="C80" s="17"/>
      <c r="D80" s="34"/>
      <c r="E80" s="17"/>
      <c r="F80" s="34"/>
      <c r="G80" s="17"/>
      <c r="H80" s="17"/>
      <c r="I80" s="34"/>
      <c r="J80" s="17"/>
      <c r="K80" s="34"/>
      <c r="L80" s="17"/>
      <c r="M80" s="34"/>
      <c r="N80" s="17"/>
      <c r="O80" s="34"/>
      <c r="P80" s="17"/>
      <c r="Q80" s="34"/>
      <c r="R80" s="17"/>
      <c r="S80" s="34"/>
      <c r="T80" s="17"/>
      <c r="U80" s="34"/>
      <c r="V80" s="17"/>
      <c r="W80" s="34"/>
      <c r="X80" s="17"/>
      <c r="Y80" s="34"/>
      <c r="Z80" s="17"/>
      <c r="AA80" s="34"/>
      <c r="AB80" s="17"/>
    </row>
    <row r="81" spans="1:28" x14ac:dyDescent="0.25">
      <c r="A81" s="48"/>
      <c r="B81" s="50"/>
      <c r="C81" s="17"/>
      <c r="D81" s="34"/>
      <c r="E81" s="17"/>
      <c r="F81" s="34"/>
      <c r="G81" s="17"/>
      <c r="H81" s="17"/>
      <c r="I81" s="34"/>
      <c r="J81" s="17"/>
      <c r="K81" s="34"/>
      <c r="L81" s="17"/>
      <c r="M81" s="34"/>
      <c r="N81" s="17"/>
      <c r="O81" s="34"/>
      <c r="P81" s="17"/>
      <c r="Q81" s="34"/>
      <c r="R81" s="17"/>
      <c r="S81" s="34"/>
      <c r="T81" s="17"/>
      <c r="U81" s="34"/>
      <c r="V81" s="17"/>
      <c r="W81" s="34"/>
      <c r="X81" s="17"/>
      <c r="Y81" s="34"/>
      <c r="Z81" s="17"/>
      <c r="AA81" s="34"/>
      <c r="AB81" s="17"/>
    </row>
    <row r="82" spans="1:28" x14ac:dyDescent="0.25">
      <c r="A82" s="48"/>
      <c r="B82" s="50"/>
      <c r="C82" s="17"/>
      <c r="D82" s="34"/>
      <c r="E82" s="17"/>
      <c r="F82" s="34"/>
      <c r="G82" s="17"/>
      <c r="H82" s="17"/>
      <c r="I82" s="34"/>
      <c r="J82" s="17"/>
      <c r="K82" s="34"/>
      <c r="L82" s="17"/>
      <c r="M82" s="34"/>
      <c r="N82" s="17"/>
      <c r="O82" s="34"/>
      <c r="P82" s="17"/>
      <c r="Q82" s="34"/>
      <c r="R82" s="17"/>
      <c r="S82" s="34"/>
      <c r="T82" s="17"/>
      <c r="U82" s="34"/>
      <c r="V82" s="17"/>
      <c r="W82" s="34"/>
      <c r="X82" s="17"/>
      <c r="Y82" s="34"/>
      <c r="Z82" s="17"/>
      <c r="AA82" s="34"/>
      <c r="AB82" s="17"/>
    </row>
    <row r="83" spans="1:28" x14ac:dyDescent="0.25">
      <c r="A83" s="48"/>
      <c r="B83" s="50"/>
      <c r="C83" s="17"/>
      <c r="D83" s="34"/>
      <c r="E83" s="17"/>
      <c r="F83" s="34"/>
      <c r="G83" s="17"/>
      <c r="H83" s="17"/>
      <c r="I83" s="34"/>
      <c r="J83" s="17"/>
      <c r="K83" s="34"/>
      <c r="L83" s="17"/>
      <c r="M83" s="34"/>
      <c r="N83" s="17"/>
      <c r="O83" s="34"/>
      <c r="P83" s="17"/>
      <c r="Q83" s="34"/>
      <c r="R83" s="17"/>
      <c r="S83" s="34"/>
      <c r="T83" s="17"/>
      <c r="U83" s="34"/>
      <c r="V83" s="17"/>
      <c r="W83" s="34"/>
      <c r="X83" s="17"/>
      <c r="Y83" s="34"/>
      <c r="Z83" s="17"/>
      <c r="AA83" s="34"/>
      <c r="AB83" s="17"/>
    </row>
    <row r="84" spans="1:28" x14ac:dyDescent="0.25">
      <c r="A84" s="48"/>
      <c r="B84" s="50"/>
      <c r="C84" s="17"/>
      <c r="D84" s="34"/>
      <c r="E84" s="17"/>
      <c r="F84" s="34"/>
      <c r="G84" s="17"/>
      <c r="H84" s="17"/>
      <c r="I84" s="34"/>
      <c r="J84" s="17"/>
      <c r="K84" s="34"/>
      <c r="L84" s="17"/>
      <c r="M84" s="34"/>
      <c r="N84" s="17"/>
      <c r="O84" s="34"/>
      <c r="P84" s="17"/>
      <c r="Q84" s="34"/>
      <c r="R84" s="17"/>
      <c r="S84" s="34"/>
      <c r="T84" s="17"/>
      <c r="U84" s="34"/>
      <c r="V84" s="17"/>
      <c r="W84" s="34"/>
      <c r="X84" s="17"/>
      <c r="Y84" s="34"/>
      <c r="Z84" s="17"/>
      <c r="AA84" s="34"/>
      <c r="AB84" s="17"/>
    </row>
    <row r="85" spans="1:28" x14ac:dyDescent="0.25">
      <c r="A85" s="48"/>
      <c r="B85" s="50"/>
      <c r="C85" s="17"/>
      <c r="D85" s="34"/>
      <c r="E85" s="17"/>
      <c r="F85" s="34"/>
      <c r="G85" s="17"/>
      <c r="H85" s="17"/>
      <c r="I85" s="34"/>
      <c r="J85" s="17"/>
      <c r="K85" s="34"/>
      <c r="L85" s="17"/>
      <c r="M85" s="34"/>
      <c r="N85" s="17"/>
      <c r="O85" s="34"/>
      <c r="P85" s="17"/>
      <c r="Q85" s="34"/>
      <c r="R85" s="17"/>
      <c r="S85" s="34"/>
      <c r="T85" s="17"/>
      <c r="U85" s="34"/>
      <c r="V85" s="17"/>
      <c r="W85" s="34"/>
      <c r="X85" s="17"/>
      <c r="Y85" s="34"/>
      <c r="Z85" s="17"/>
      <c r="AA85" s="34"/>
      <c r="AB85" s="17"/>
    </row>
    <row r="86" spans="1:28" x14ac:dyDescent="0.25">
      <c r="A86" s="48"/>
      <c r="B86" s="50"/>
      <c r="C86" s="17"/>
      <c r="D86" s="34"/>
      <c r="E86" s="17"/>
      <c r="F86" s="34"/>
      <c r="G86" s="17"/>
      <c r="H86" s="17"/>
      <c r="I86" s="34"/>
      <c r="J86" s="17"/>
      <c r="K86" s="34"/>
      <c r="L86" s="17"/>
      <c r="M86" s="34"/>
      <c r="N86" s="17"/>
      <c r="O86" s="34"/>
      <c r="P86" s="17"/>
      <c r="Q86" s="34"/>
      <c r="R86" s="17"/>
      <c r="S86" s="34"/>
      <c r="T86" s="17"/>
      <c r="U86" s="34"/>
      <c r="V86" s="17"/>
      <c r="W86" s="34"/>
      <c r="X86" s="17"/>
      <c r="Y86" s="34"/>
      <c r="Z86" s="17"/>
      <c r="AA86" s="34"/>
      <c r="AB86" s="17"/>
    </row>
    <row r="87" spans="1:28" x14ac:dyDescent="0.25">
      <c r="A87" s="48"/>
      <c r="B87" s="50"/>
      <c r="C87" s="17"/>
      <c r="D87" s="34"/>
      <c r="E87" s="17"/>
      <c r="F87" s="34"/>
      <c r="G87" s="17"/>
      <c r="H87" s="17"/>
      <c r="I87" s="34"/>
      <c r="J87" s="17"/>
      <c r="K87" s="34"/>
      <c r="L87" s="17"/>
      <c r="M87" s="34"/>
      <c r="N87" s="17"/>
      <c r="O87" s="34"/>
      <c r="P87" s="17"/>
      <c r="Q87" s="34"/>
      <c r="R87" s="17"/>
      <c r="S87" s="34"/>
      <c r="T87" s="17"/>
      <c r="U87" s="34"/>
      <c r="V87" s="17"/>
      <c r="W87" s="34"/>
      <c r="X87" s="17"/>
      <c r="Y87" s="34"/>
      <c r="Z87" s="17"/>
      <c r="AA87" s="34"/>
      <c r="AB87" s="17"/>
    </row>
    <row r="88" spans="1:28" x14ac:dyDescent="0.25">
      <c r="A88" s="48"/>
      <c r="B88" s="50"/>
      <c r="C88" s="17"/>
      <c r="D88" s="34"/>
      <c r="E88" s="17"/>
      <c r="F88" s="34"/>
      <c r="G88" s="17"/>
      <c r="H88" s="17"/>
      <c r="I88" s="34"/>
      <c r="J88" s="17"/>
      <c r="K88" s="34"/>
      <c r="L88" s="17"/>
      <c r="M88" s="34"/>
      <c r="N88" s="17"/>
      <c r="O88" s="34"/>
      <c r="P88" s="17"/>
      <c r="Q88" s="34"/>
      <c r="R88" s="17"/>
      <c r="S88" s="34"/>
      <c r="T88" s="17"/>
      <c r="U88" s="34"/>
      <c r="V88" s="17"/>
      <c r="W88" s="34"/>
      <c r="X88" s="17"/>
      <c r="Y88" s="34"/>
      <c r="Z88" s="17"/>
      <c r="AA88" s="34"/>
      <c r="AB88" s="17"/>
    </row>
    <row r="89" spans="1:28" x14ac:dyDescent="0.25">
      <c r="A89" s="48"/>
      <c r="B89" s="50"/>
      <c r="C89" s="17"/>
      <c r="D89" s="34"/>
      <c r="E89" s="17"/>
      <c r="F89" s="34"/>
      <c r="G89" s="17"/>
      <c r="H89" s="17"/>
      <c r="I89" s="34"/>
      <c r="J89" s="17"/>
      <c r="K89" s="34"/>
      <c r="L89" s="17"/>
      <c r="M89" s="34"/>
      <c r="N89" s="17"/>
      <c r="O89" s="34"/>
      <c r="P89" s="17"/>
      <c r="Q89" s="34"/>
      <c r="R89" s="17"/>
      <c r="S89" s="34"/>
      <c r="T89" s="17"/>
      <c r="U89" s="34"/>
      <c r="V89" s="17"/>
      <c r="W89" s="34"/>
      <c r="X89" s="17"/>
      <c r="Y89" s="34"/>
      <c r="Z89" s="17"/>
      <c r="AA89" s="34"/>
      <c r="AB89" s="17"/>
    </row>
    <row r="90" spans="1:28" x14ac:dyDescent="0.25">
      <c r="A90" s="48"/>
      <c r="B90" s="50"/>
      <c r="C90" s="17"/>
      <c r="D90" s="34"/>
      <c r="E90" s="17"/>
      <c r="F90" s="34"/>
      <c r="G90" s="17"/>
      <c r="H90" s="17"/>
      <c r="I90" s="34"/>
      <c r="J90" s="17"/>
      <c r="K90" s="34"/>
      <c r="L90" s="17"/>
      <c r="M90" s="34"/>
      <c r="N90" s="17"/>
      <c r="O90" s="34"/>
      <c r="P90" s="17"/>
      <c r="Q90" s="34"/>
      <c r="R90" s="17"/>
      <c r="S90" s="34"/>
      <c r="T90" s="17"/>
      <c r="U90" s="34"/>
      <c r="V90" s="17"/>
      <c r="W90" s="34"/>
      <c r="X90" s="17"/>
      <c r="Y90" s="34"/>
      <c r="Z90" s="17"/>
      <c r="AA90" s="34"/>
      <c r="AB90" s="17"/>
    </row>
    <row r="91" spans="1:28" x14ac:dyDescent="0.25">
      <c r="A91" s="48"/>
      <c r="B91" s="50"/>
      <c r="C91" s="17"/>
      <c r="D91" s="34"/>
      <c r="E91" s="17"/>
      <c r="F91" s="34"/>
      <c r="G91" s="17"/>
      <c r="H91" s="17"/>
      <c r="I91" s="34"/>
      <c r="J91" s="17"/>
      <c r="K91" s="34"/>
      <c r="L91" s="17"/>
      <c r="M91" s="34"/>
      <c r="N91" s="17"/>
      <c r="O91" s="34"/>
      <c r="P91" s="17"/>
      <c r="Q91" s="34"/>
      <c r="R91" s="17"/>
      <c r="S91" s="34"/>
      <c r="T91" s="17"/>
      <c r="U91" s="34"/>
      <c r="V91" s="17"/>
      <c r="W91" s="34"/>
      <c r="X91" s="17"/>
      <c r="Y91" s="34"/>
      <c r="Z91" s="17"/>
      <c r="AA91" s="34"/>
      <c r="AB91" s="17"/>
    </row>
    <row r="92" spans="1:28" x14ac:dyDescent="0.25">
      <c r="A92" s="48"/>
      <c r="B92" s="50"/>
      <c r="C92" s="17"/>
      <c r="D92" s="34"/>
      <c r="E92" s="17"/>
      <c r="F92" s="34"/>
      <c r="G92" s="17"/>
      <c r="H92" s="17"/>
      <c r="I92" s="34"/>
      <c r="J92" s="17"/>
      <c r="K92" s="34"/>
      <c r="L92" s="17"/>
      <c r="M92" s="34"/>
      <c r="N92" s="17"/>
      <c r="O92" s="34"/>
      <c r="P92" s="17"/>
      <c r="Q92" s="34"/>
      <c r="R92" s="17"/>
      <c r="S92" s="34"/>
      <c r="T92" s="17"/>
      <c r="U92" s="34"/>
      <c r="V92" s="17"/>
      <c r="W92" s="34"/>
      <c r="X92" s="17"/>
      <c r="Y92" s="34"/>
      <c r="Z92" s="17"/>
      <c r="AA92" s="34"/>
      <c r="AB92" s="17"/>
    </row>
    <row r="93" spans="1:28" x14ac:dyDescent="0.25">
      <c r="A93" s="48"/>
      <c r="B93" s="50"/>
      <c r="C93" s="17"/>
      <c r="D93" s="34"/>
      <c r="E93" s="17"/>
      <c r="F93" s="34"/>
      <c r="G93" s="17"/>
      <c r="H93" s="17"/>
      <c r="I93" s="34"/>
      <c r="J93" s="17"/>
      <c r="K93" s="34"/>
      <c r="L93" s="17"/>
      <c r="M93" s="34"/>
      <c r="N93" s="17"/>
      <c r="O93" s="34"/>
      <c r="P93" s="17"/>
      <c r="Q93" s="34"/>
      <c r="R93" s="17"/>
      <c r="S93" s="34"/>
      <c r="T93" s="17"/>
      <c r="U93" s="34"/>
      <c r="V93" s="17"/>
      <c r="W93" s="34"/>
      <c r="X93" s="17"/>
      <c r="Y93" s="34"/>
      <c r="Z93" s="17"/>
      <c r="AA93" s="34"/>
      <c r="AB93" s="17"/>
    </row>
    <row r="94" spans="1:28" x14ac:dyDescent="0.25">
      <c r="A94" s="48"/>
      <c r="B94" s="50"/>
      <c r="C94" s="17"/>
      <c r="D94" s="34"/>
      <c r="E94" s="17"/>
      <c r="F94" s="34"/>
      <c r="G94" s="17"/>
      <c r="H94" s="17"/>
      <c r="I94" s="34"/>
      <c r="J94" s="17"/>
      <c r="K94" s="34"/>
      <c r="L94" s="17"/>
      <c r="M94" s="34"/>
      <c r="N94" s="17"/>
      <c r="O94" s="34"/>
      <c r="P94" s="17"/>
      <c r="Q94" s="34"/>
      <c r="R94" s="17"/>
      <c r="S94" s="34"/>
      <c r="T94" s="17"/>
      <c r="U94" s="34"/>
      <c r="V94" s="17"/>
      <c r="W94" s="34"/>
      <c r="X94" s="17"/>
      <c r="Y94" s="34"/>
      <c r="Z94" s="17"/>
      <c r="AA94" s="34"/>
      <c r="AB94" s="17"/>
    </row>
    <row r="95" spans="1:28" x14ac:dyDescent="0.25">
      <c r="A95" s="48"/>
      <c r="B95" s="50"/>
      <c r="C95" s="17"/>
      <c r="D95" s="34"/>
      <c r="E95" s="17"/>
      <c r="F95" s="34"/>
      <c r="G95" s="17"/>
      <c r="H95" s="17"/>
      <c r="I95" s="34"/>
      <c r="J95" s="17"/>
      <c r="K95" s="34"/>
      <c r="L95" s="17"/>
      <c r="M95" s="34"/>
      <c r="N95" s="17"/>
      <c r="O95" s="34"/>
      <c r="P95" s="17"/>
      <c r="Q95" s="34"/>
      <c r="R95" s="17"/>
      <c r="S95" s="34"/>
      <c r="T95" s="17"/>
      <c r="U95" s="34"/>
      <c r="V95" s="17"/>
      <c r="W95" s="34"/>
      <c r="X95" s="17"/>
      <c r="Y95" s="34"/>
      <c r="Z95" s="17"/>
      <c r="AA95" s="34"/>
      <c r="AB95" s="17"/>
    </row>
    <row r="96" spans="1:28" x14ac:dyDescent="0.25">
      <c r="A96" s="48"/>
      <c r="B96" s="50"/>
      <c r="C96" s="17"/>
      <c r="D96" s="34"/>
      <c r="E96" s="17"/>
      <c r="F96" s="34"/>
      <c r="G96" s="17"/>
      <c r="H96" s="17"/>
      <c r="I96" s="34"/>
      <c r="J96" s="17"/>
      <c r="K96" s="34"/>
      <c r="L96" s="17"/>
      <c r="M96" s="34"/>
      <c r="N96" s="17"/>
      <c r="O96" s="34"/>
      <c r="P96" s="17"/>
      <c r="Q96" s="34"/>
      <c r="R96" s="17"/>
      <c r="S96" s="34"/>
      <c r="T96" s="17"/>
      <c r="U96" s="34"/>
      <c r="V96" s="17"/>
      <c r="W96" s="34"/>
      <c r="X96" s="17"/>
      <c r="Y96" s="34"/>
      <c r="Z96" s="17"/>
      <c r="AA96" s="34"/>
      <c r="AB96" s="17"/>
    </row>
    <row r="97" spans="1:28" x14ac:dyDescent="0.25">
      <c r="A97" s="48"/>
      <c r="B97" s="50"/>
      <c r="C97" s="17"/>
      <c r="D97" s="34"/>
      <c r="E97" s="17"/>
      <c r="F97" s="34"/>
      <c r="G97" s="17"/>
      <c r="H97" s="17"/>
      <c r="I97" s="34"/>
      <c r="J97" s="17"/>
      <c r="K97" s="34"/>
      <c r="L97" s="17"/>
      <c r="M97" s="34"/>
      <c r="N97" s="17"/>
      <c r="O97" s="34"/>
      <c r="P97" s="17"/>
      <c r="Q97" s="34"/>
      <c r="R97" s="17"/>
      <c r="S97" s="34"/>
      <c r="T97" s="17"/>
      <c r="U97" s="34"/>
      <c r="V97" s="17"/>
      <c r="W97" s="34"/>
      <c r="X97" s="17"/>
      <c r="Y97" s="34"/>
      <c r="Z97" s="17"/>
      <c r="AA97" s="34"/>
      <c r="AB97" s="17"/>
    </row>
    <row r="98" spans="1:28" x14ac:dyDescent="0.25">
      <c r="A98" s="48"/>
      <c r="B98" s="50"/>
      <c r="C98" s="17"/>
      <c r="D98" s="34"/>
      <c r="E98" s="17"/>
      <c r="F98" s="34"/>
      <c r="G98" s="17"/>
      <c r="H98" s="17"/>
      <c r="I98" s="34"/>
      <c r="J98" s="17"/>
      <c r="K98" s="34"/>
      <c r="L98" s="17"/>
      <c r="M98" s="34"/>
      <c r="N98" s="17"/>
      <c r="O98" s="34"/>
      <c r="P98" s="17"/>
      <c r="Q98" s="34"/>
      <c r="R98" s="17"/>
      <c r="S98" s="34"/>
      <c r="T98" s="17"/>
      <c r="U98" s="34"/>
      <c r="V98" s="17"/>
      <c r="W98" s="34"/>
      <c r="X98" s="17"/>
      <c r="Y98" s="34"/>
      <c r="Z98" s="17"/>
      <c r="AA98" s="34"/>
      <c r="AB98" s="17"/>
    </row>
    <row r="99" spans="1:28" x14ac:dyDescent="0.25">
      <c r="A99" s="48"/>
      <c r="B99" s="50"/>
      <c r="C99" s="17"/>
      <c r="D99" s="34"/>
      <c r="E99" s="17"/>
      <c r="F99" s="34"/>
      <c r="G99" s="17"/>
      <c r="H99" s="17"/>
      <c r="I99" s="34"/>
      <c r="J99" s="17"/>
      <c r="K99" s="34"/>
      <c r="L99" s="17"/>
      <c r="M99" s="34"/>
      <c r="N99" s="17"/>
      <c r="O99" s="34"/>
      <c r="P99" s="17"/>
      <c r="Q99" s="34"/>
      <c r="R99" s="17"/>
      <c r="S99" s="34"/>
      <c r="T99" s="17"/>
      <c r="U99" s="34"/>
      <c r="V99" s="17"/>
      <c r="W99" s="34"/>
      <c r="X99" s="17"/>
      <c r="Y99" s="34"/>
      <c r="Z99" s="17"/>
      <c r="AA99" s="34"/>
      <c r="AB99" s="17"/>
    </row>
    <row r="100" spans="1:28" x14ac:dyDescent="0.25">
      <c r="A100" s="48"/>
      <c r="B100" s="50"/>
      <c r="C100" s="17"/>
      <c r="D100" s="34"/>
      <c r="E100" s="17"/>
      <c r="F100" s="34"/>
      <c r="G100" s="17"/>
      <c r="H100" s="17"/>
      <c r="I100" s="34"/>
      <c r="J100" s="17"/>
      <c r="K100" s="34"/>
      <c r="L100" s="17"/>
      <c r="M100" s="34"/>
      <c r="N100" s="17"/>
      <c r="O100" s="34"/>
      <c r="P100" s="17"/>
      <c r="Q100" s="34"/>
      <c r="R100" s="17"/>
      <c r="S100" s="34"/>
      <c r="T100" s="17"/>
      <c r="U100" s="34"/>
      <c r="V100" s="17"/>
      <c r="W100" s="34"/>
      <c r="X100" s="17"/>
      <c r="Y100" s="34"/>
      <c r="Z100" s="17"/>
      <c r="AA100" s="34"/>
      <c r="AB100" s="17"/>
    </row>
    <row r="101" spans="1:28" x14ac:dyDescent="0.25">
      <c r="A101" s="48"/>
      <c r="B101" s="50"/>
      <c r="C101" s="17"/>
      <c r="D101" s="34"/>
      <c r="E101" s="17"/>
      <c r="F101" s="34"/>
      <c r="G101" s="17"/>
      <c r="H101" s="17"/>
      <c r="I101" s="34"/>
      <c r="J101" s="17"/>
      <c r="K101" s="34"/>
      <c r="L101" s="17"/>
      <c r="M101" s="34"/>
      <c r="N101" s="17"/>
      <c r="O101" s="34"/>
      <c r="P101" s="17"/>
      <c r="Q101" s="34"/>
      <c r="R101" s="17"/>
      <c r="S101" s="34"/>
      <c r="T101" s="17"/>
      <c r="U101" s="34"/>
      <c r="V101" s="17"/>
      <c r="W101" s="34"/>
      <c r="X101" s="17"/>
      <c r="Y101" s="34"/>
      <c r="Z101" s="17"/>
      <c r="AA101" s="34"/>
      <c r="AB101" s="17"/>
    </row>
    <row r="102" spans="1:28" x14ac:dyDescent="0.25">
      <c r="A102" s="49"/>
      <c r="B102" s="51"/>
      <c r="C102" s="18"/>
      <c r="D102" s="35"/>
      <c r="E102" s="18"/>
      <c r="F102" s="35"/>
      <c r="G102" s="18"/>
      <c r="H102" s="18"/>
      <c r="I102" s="35"/>
      <c r="J102" s="18"/>
      <c r="K102" s="35"/>
      <c r="L102" s="18"/>
      <c r="M102" s="35"/>
      <c r="N102" s="18"/>
      <c r="O102" s="35"/>
      <c r="P102" s="18"/>
      <c r="Q102" s="35"/>
      <c r="R102" s="18"/>
      <c r="S102" s="35"/>
      <c r="T102" s="18"/>
      <c r="U102" s="35"/>
      <c r="V102" s="18"/>
      <c r="W102" s="35"/>
      <c r="X102" s="18"/>
      <c r="Y102" s="35"/>
      <c r="Z102" s="18"/>
      <c r="AA102" s="35"/>
      <c r="AB102" s="18"/>
    </row>
    <row r="103" spans="1:28" hidden="1" x14ac:dyDescent="0.25"/>
    <row r="104" spans="1:28" hidden="1" x14ac:dyDescent="0.25"/>
    <row r="105" spans="1:28" hidden="1" x14ac:dyDescent="0.25"/>
    <row r="106" spans="1:28" x14ac:dyDescent="0.25"/>
    <row r="107" spans="1:28" x14ac:dyDescent="0.25"/>
    <row r="108" spans="1:28" x14ac:dyDescent="0.25"/>
    <row r="109" spans="1:28" x14ac:dyDescent="0.25"/>
    <row r="110" spans="1:28" x14ac:dyDescent="0.25"/>
    <row r="111" spans="1:28" x14ac:dyDescent="0.25"/>
    <row r="112" spans="1:28" x14ac:dyDescent="0.25"/>
    <row r="113" x14ac:dyDescent="0.25"/>
    <row r="114" x14ac:dyDescent="0.25"/>
    <row r="115" x14ac:dyDescent="0.25"/>
    <row r="116" x14ac:dyDescent="0.25"/>
  </sheetData>
  <sortState ref="A2:AA87">
    <sortCondition ref="B2:B87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18"/>
  <sheetViews>
    <sheetView workbookViewId="0">
      <selection activeCell="A3" sqref="A3"/>
    </sheetView>
  </sheetViews>
  <sheetFormatPr defaultColWidth="0" defaultRowHeight="15" zeroHeight="1" x14ac:dyDescent="0.25"/>
  <cols>
    <col min="1" max="1" width="11.5703125" bestFit="1" customWidth="1"/>
    <col min="2" max="2" width="3.28515625" customWidth="1"/>
    <col min="3" max="3" width="19.140625" bestFit="1" customWidth="1"/>
    <col min="4" max="4" width="12.140625" bestFit="1" customWidth="1"/>
    <col min="5" max="5" width="3.28515625" customWidth="1"/>
    <col min="6" max="6" width="17.5703125" bestFit="1" customWidth="1"/>
    <col min="7" max="7" width="3.28515625" customWidth="1"/>
    <col min="8" max="8" width="23.140625" bestFit="1" customWidth="1"/>
    <col min="9" max="9" width="3" style="14" bestFit="1" customWidth="1"/>
    <col min="10" max="10" width="3.28515625" customWidth="1"/>
    <col min="11" max="11" width="9.140625" customWidth="1"/>
    <col min="12" max="12" width="3.28515625" customWidth="1"/>
    <col min="13" max="13" width="15.5703125" bestFit="1" customWidth="1"/>
    <col min="14" max="14" width="3.28515625" customWidth="1"/>
    <col min="15" max="15" width="9.140625" customWidth="1"/>
    <col min="16" max="16" width="3.28515625" customWidth="1"/>
    <col min="17" max="17" width="39.28515625" bestFit="1" customWidth="1"/>
    <col min="18" max="18" width="3.28515625" customWidth="1"/>
    <col min="19" max="19" width="22.85546875" bestFit="1" customWidth="1"/>
    <col min="20" max="20" width="3.28515625" customWidth="1"/>
    <col min="21" max="21" width="16.85546875" bestFit="1" customWidth="1"/>
    <col min="22" max="22" width="3.28515625" customWidth="1"/>
    <col min="23" max="23" width="11.28515625" bestFit="1" customWidth="1"/>
    <col min="24" max="24" width="3.28515625" customWidth="1"/>
    <col min="25" max="25" width="15.85546875" bestFit="1" customWidth="1"/>
    <col min="26" max="26" width="3.28515625" customWidth="1"/>
    <col min="27" max="27" width="15.85546875" style="14" bestFit="1" customWidth="1"/>
    <col min="28" max="28" width="3.28515625" style="14" customWidth="1"/>
    <col min="29" max="29" width="15.140625" style="14" bestFit="1" customWidth="1"/>
    <col min="30" max="30" width="3.28515625" style="14" customWidth="1"/>
    <col min="31" max="31" width="17.7109375" bestFit="1" customWidth="1"/>
    <col min="32" max="32" width="18.28515625" bestFit="1" customWidth="1"/>
    <col min="33" max="33" width="3.28515625" style="14" customWidth="1"/>
    <col min="34" max="34" width="18.28515625" style="14" customWidth="1"/>
    <col min="35" max="35" width="3.28515625" style="14" customWidth="1"/>
    <col min="36" max="16384" width="9.140625" hidden="1"/>
  </cols>
  <sheetData>
    <row r="1" spans="1:35" x14ac:dyDescent="0.25">
      <c r="A1" s="20" t="s">
        <v>9</v>
      </c>
      <c r="B1" s="21"/>
      <c r="C1" s="21" t="s">
        <v>122</v>
      </c>
      <c r="D1" s="21" t="s">
        <v>44</v>
      </c>
      <c r="E1" s="21"/>
      <c r="F1" s="21" t="s">
        <v>43</v>
      </c>
      <c r="G1" s="21"/>
      <c r="H1" s="21" t="s">
        <v>81</v>
      </c>
      <c r="I1" s="21"/>
      <c r="J1" s="21"/>
      <c r="K1" s="21" t="s">
        <v>82</v>
      </c>
      <c r="L1" s="21"/>
      <c r="M1" s="21" t="s">
        <v>84</v>
      </c>
      <c r="N1" s="21"/>
      <c r="O1" s="21" t="s">
        <v>121</v>
      </c>
      <c r="P1" s="21"/>
      <c r="Q1" s="21" t="s">
        <v>83</v>
      </c>
      <c r="R1" s="21"/>
      <c r="S1" s="21" t="s">
        <v>85</v>
      </c>
      <c r="T1" s="21"/>
      <c r="U1" s="21" t="s">
        <v>167</v>
      </c>
      <c r="V1" s="21"/>
      <c r="W1" s="21" t="s">
        <v>72</v>
      </c>
      <c r="X1" s="21"/>
      <c r="Y1" s="21" t="s">
        <v>184</v>
      </c>
      <c r="Z1" s="21"/>
      <c r="AA1" s="21" t="s">
        <v>6</v>
      </c>
      <c r="AB1" s="21"/>
      <c r="AC1" s="21" t="s">
        <v>7</v>
      </c>
      <c r="AD1" s="21"/>
      <c r="AE1" s="171" t="s">
        <v>300</v>
      </c>
      <c r="AF1" s="171"/>
      <c r="AG1" s="54"/>
      <c r="AH1" s="54" t="s">
        <v>333</v>
      </c>
      <c r="AI1" s="53"/>
    </row>
    <row r="2" spans="1:35" x14ac:dyDescent="0.25">
      <c r="A2" s="23">
        <v>42370</v>
      </c>
      <c r="B2" s="25"/>
      <c r="C2" s="16" t="s">
        <v>125</v>
      </c>
      <c r="D2" s="16">
        <v>1</v>
      </c>
      <c r="E2" s="29"/>
      <c r="F2" s="16" t="s">
        <v>198</v>
      </c>
      <c r="G2" s="25"/>
      <c r="H2" s="16" t="s">
        <v>88</v>
      </c>
      <c r="I2" s="16">
        <v>2</v>
      </c>
      <c r="J2" s="29"/>
      <c r="K2" s="24">
        <v>2.25</v>
      </c>
      <c r="L2" s="25"/>
      <c r="M2" s="16" t="s">
        <v>89</v>
      </c>
      <c r="N2" s="29"/>
      <c r="O2" s="16" t="s">
        <v>247</v>
      </c>
      <c r="P2" s="25"/>
      <c r="Q2" s="16" t="s">
        <v>173</v>
      </c>
      <c r="R2" s="25"/>
      <c r="S2" s="16" t="s">
        <v>90</v>
      </c>
      <c r="T2" s="29"/>
      <c r="U2" s="16" t="s">
        <v>125</v>
      </c>
      <c r="V2" s="25"/>
      <c r="W2" s="22" t="s">
        <v>297</v>
      </c>
      <c r="X2" s="29"/>
      <c r="Y2" s="16" t="s">
        <v>186</v>
      </c>
      <c r="Z2" s="25"/>
      <c r="AA2" s="16" t="s">
        <v>227</v>
      </c>
      <c r="AB2" s="25"/>
      <c r="AC2" s="22" t="s">
        <v>236</v>
      </c>
      <c r="AD2" s="29"/>
      <c r="AE2" s="16" t="s">
        <v>87</v>
      </c>
      <c r="AF2" s="16" t="s">
        <v>197</v>
      </c>
      <c r="AG2" s="29"/>
      <c r="AH2" s="64">
        <v>42370</v>
      </c>
      <c r="AI2" s="25"/>
    </row>
    <row r="3" spans="1:35" x14ac:dyDescent="0.25">
      <c r="A3" s="23">
        <v>42370.010416666664</v>
      </c>
      <c r="B3" s="25"/>
      <c r="C3" s="16" t="s">
        <v>160</v>
      </c>
      <c r="D3" s="16">
        <v>2</v>
      </c>
      <c r="E3" s="29"/>
      <c r="F3" s="16" t="s">
        <v>114</v>
      </c>
      <c r="G3" s="25"/>
      <c r="H3" s="16" t="s">
        <v>91</v>
      </c>
      <c r="I3" s="16">
        <f t="shared" ref="I3:I10" si="0">I2+1</f>
        <v>3</v>
      </c>
      <c r="J3" s="29"/>
      <c r="K3" s="24">
        <v>2.35</v>
      </c>
      <c r="L3" s="25"/>
      <c r="M3" s="16" t="s">
        <v>92</v>
      </c>
      <c r="N3" s="29"/>
      <c r="O3" s="16" t="s">
        <v>248</v>
      </c>
      <c r="P3" s="25"/>
      <c r="Q3" s="16" t="s">
        <v>179</v>
      </c>
      <c r="R3" s="25"/>
      <c r="S3" s="16" t="s">
        <v>93</v>
      </c>
      <c r="T3" s="29"/>
      <c r="U3" s="16" t="s">
        <v>168</v>
      </c>
      <c r="V3" s="25"/>
      <c r="W3" s="22" t="s">
        <v>298</v>
      </c>
      <c r="X3" s="29"/>
      <c r="Y3" s="16" t="s">
        <v>187</v>
      </c>
      <c r="Z3" s="25"/>
      <c r="AA3" s="16" t="s">
        <v>228</v>
      </c>
      <c r="AB3" s="25"/>
      <c r="AC3" s="22" t="s">
        <v>234</v>
      </c>
      <c r="AD3" s="29"/>
      <c r="AE3" s="16" t="s">
        <v>198</v>
      </c>
      <c r="AF3" s="16" t="s">
        <v>198</v>
      </c>
      <c r="AG3" s="29"/>
      <c r="AH3" s="64">
        <v>42520</v>
      </c>
      <c r="AI3" s="25"/>
    </row>
    <row r="4" spans="1:35" x14ac:dyDescent="0.25">
      <c r="A4" s="23">
        <v>42370.020833333328</v>
      </c>
      <c r="B4" s="25"/>
      <c r="C4" s="16" t="s">
        <v>129</v>
      </c>
      <c r="D4" s="16">
        <v>3</v>
      </c>
      <c r="E4" s="29"/>
      <c r="F4" s="16" t="s">
        <v>242</v>
      </c>
      <c r="G4" s="25"/>
      <c r="H4" s="16" t="s">
        <v>95</v>
      </c>
      <c r="I4" s="16">
        <f t="shared" si="0"/>
        <v>4</v>
      </c>
      <c r="J4" s="29"/>
      <c r="K4" s="24">
        <v>2.75</v>
      </c>
      <c r="L4" s="25"/>
      <c r="M4" s="16" t="s">
        <v>96</v>
      </c>
      <c r="N4" s="29"/>
      <c r="O4" s="16" t="s">
        <v>123</v>
      </c>
      <c r="P4" s="25"/>
      <c r="Q4" s="16" t="s">
        <v>174</v>
      </c>
      <c r="R4" s="25"/>
      <c r="S4" s="16" t="s">
        <v>97</v>
      </c>
      <c r="T4" s="29"/>
      <c r="U4" s="16" t="s">
        <v>146</v>
      </c>
      <c r="V4" s="25"/>
      <c r="W4" s="22" t="s">
        <v>299</v>
      </c>
      <c r="X4" s="29"/>
      <c r="Y4" s="16" t="s">
        <v>185</v>
      </c>
      <c r="Z4" s="25"/>
      <c r="AA4" s="16" t="s">
        <v>230</v>
      </c>
      <c r="AB4" s="25"/>
      <c r="AC4" s="22" t="s">
        <v>238</v>
      </c>
      <c r="AD4" s="29"/>
      <c r="AE4" s="16" t="s">
        <v>94</v>
      </c>
      <c r="AF4" s="16" t="s">
        <v>196</v>
      </c>
      <c r="AG4" s="29"/>
      <c r="AH4" s="64">
        <v>42555</v>
      </c>
      <c r="AI4" s="25"/>
    </row>
    <row r="5" spans="1:35" x14ac:dyDescent="0.25">
      <c r="A5" s="23">
        <v>42370.031249999993</v>
      </c>
      <c r="B5" s="25"/>
      <c r="C5" s="16" t="s">
        <v>133</v>
      </c>
      <c r="D5" s="16">
        <v>4</v>
      </c>
      <c r="E5" s="29"/>
      <c r="F5" s="16" t="s">
        <v>113</v>
      </c>
      <c r="G5" s="25"/>
      <c r="H5" s="16" t="s">
        <v>99</v>
      </c>
      <c r="I5" s="16">
        <f t="shared" si="0"/>
        <v>5</v>
      </c>
      <c r="J5" s="29"/>
      <c r="K5" s="24"/>
      <c r="L5" s="25"/>
      <c r="M5" s="16" t="s">
        <v>100</v>
      </c>
      <c r="N5" s="29"/>
      <c r="O5" s="16" t="s">
        <v>124</v>
      </c>
      <c r="P5" s="25"/>
      <c r="Q5" s="16" t="s">
        <v>175</v>
      </c>
      <c r="R5" s="25"/>
      <c r="S5" s="16" t="s">
        <v>101</v>
      </c>
      <c r="T5" s="29"/>
      <c r="U5" s="16" t="s">
        <v>151</v>
      </c>
      <c r="V5" s="25"/>
      <c r="W5" s="22"/>
      <c r="X5" s="29"/>
      <c r="Y5" s="16" t="s">
        <v>112</v>
      </c>
      <c r="Z5" s="25"/>
      <c r="AA5" s="16" t="s">
        <v>229</v>
      </c>
      <c r="AB5" s="25"/>
      <c r="AC5" s="22" t="s">
        <v>235</v>
      </c>
      <c r="AD5" s="29"/>
      <c r="AE5" s="16" t="s">
        <v>98</v>
      </c>
      <c r="AF5" s="16" t="s">
        <v>196</v>
      </c>
      <c r="AG5" s="29"/>
      <c r="AH5" s="64">
        <v>42618</v>
      </c>
      <c r="AI5" s="25"/>
    </row>
    <row r="6" spans="1:35" x14ac:dyDescent="0.25">
      <c r="A6" s="23">
        <v>42370.041666666657</v>
      </c>
      <c r="B6" s="25"/>
      <c r="C6" s="16" t="s">
        <v>135</v>
      </c>
      <c r="D6" s="16">
        <v>5</v>
      </c>
      <c r="E6" s="29"/>
      <c r="F6" s="16" t="s">
        <v>118</v>
      </c>
      <c r="G6" s="25"/>
      <c r="H6" s="16" t="s">
        <v>103</v>
      </c>
      <c r="I6" s="16">
        <f t="shared" si="0"/>
        <v>6</v>
      </c>
      <c r="J6" s="29"/>
      <c r="K6" s="24"/>
      <c r="L6" s="25"/>
      <c r="M6" s="16" t="s">
        <v>104</v>
      </c>
      <c r="N6" s="29"/>
      <c r="O6" s="16" t="s">
        <v>126</v>
      </c>
      <c r="P6" s="25"/>
      <c r="Q6" s="16" t="s">
        <v>176</v>
      </c>
      <c r="R6" s="25"/>
      <c r="S6" s="16" t="s">
        <v>128</v>
      </c>
      <c r="T6" s="29"/>
      <c r="U6" s="16" t="s">
        <v>246</v>
      </c>
      <c r="V6" s="25"/>
      <c r="W6" s="22"/>
      <c r="X6" s="29"/>
      <c r="Y6" s="16"/>
      <c r="Z6" s="25"/>
      <c r="AA6" s="16" t="s">
        <v>233</v>
      </c>
      <c r="AB6" s="25"/>
      <c r="AC6" s="22" t="s">
        <v>237</v>
      </c>
      <c r="AD6" s="29"/>
      <c r="AE6" s="16" t="s">
        <v>102</v>
      </c>
      <c r="AF6" s="16" t="s">
        <v>196</v>
      </c>
      <c r="AG6" s="29"/>
      <c r="AH6" s="64">
        <v>42698</v>
      </c>
      <c r="AI6" s="25"/>
    </row>
    <row r="7" spans="1:35" x14ac:dyDescent="0.25">
      <c r="A7" s="23">
        <v>42370.052083333321</v>
      </c>
      <c r="B7" s="25"/>
      <c r="C7" s="16" t="s">
        <v>136</v>
      </c>
      <c r="D7" s="16">
        <v>6</v>
      </c>
      <c r="E7" s="29"/>
      <c r="F7" s="16" t="s">
        <v>94</v>
      </c>
      <c r="G7" s="25"/>
      <c r="H7" s="16" t="s">
        <v>107</v>
      </c>
      <c r="I7" s="16">
        <f t="shared" si="0"/>
        <v>7</v>
      </c>
      <c r="J7" s="29"/>
      <c r="K7" s="24"/>
      <c r="L7" s="25"/>
      <c r="M7" s="16" t="s">
        <v>108</v>
      </c>
      <c r="N7" s="29"/>
      <c r="O7" s="16" t="s">
        <v>127</v>
      </c>
      <c r="P7" s="25"/>
      <c r="Q7" s="16" t="s">
        <v>177</v>
      </c>
      <c r="R7" s="25"/>
      <c r="S7" s="16" t="s">
        <v>131</v>
      </c>
      <c r="T7" s="29"/>
      <c r="U7" s="16"/>
      <c r="V7" s="25"/>
      <c r="W7" s="22"/>
      <c r="X7" s="29"/>
      <c r="Y7" s="16"/>
      <c r="Z7" s="25"/>
      <c r="AA7" s="16" t="s">
        <v>231</v>
      </c>
      <c r="AB7" s="25"/>
      <c r="AC7" s="22" t="s">
        <v>239</v>
      </c>
      <c r="AD7" s="29"/>
      <c r="AE7" s="16" t="s">
        <v>106</v>
      </c>
      <c r="AF7" s="16" t="s">
        <v>196</v>
      </c>
      <c r="AG7" s="29"/>
      <c r="AH7" s="64">
        <v>42729</v>
      </c>
      <c r="AI7" s="25"/>
    </row>
    <row r="8" spans="1:35" x14ac:dyDescent="0.25">
      <c r="A8" s="23">
        <v>42370.062499999985</v>
      </c>
      <c r="B8" s="25"/>
      <c r="C8" s="16" t="s">
        <v>138</v>
      </c>
      <c r="D8" s="16">
        <v>7</v>
      </c>
      <c r="E8" s="29"/>
      <c r="F8" s="16" t="s">
        <v>106</v>
      </c>
      <c r="G8" s="25"/>
      <c r="H8" s="16" t="s">
        <v>111</v>
      </c>
      <c r="I8" s="16">
        <f t="shared" si="0"/>
        <v>8</v>
      </c>
      <c r="J8" s="29"/>
      <c r="K8" s="24"/>
      <c r="L8" s="25"/>
      <c r="M8" s="16"/>
      <c r="N8" s="29"/>
      <c r="O8" s="16" t="s">
        <v>249</v>
      </c>
      <c r="P8" s="25"/>
      <c r="Q8" s="16" t="s">
        <v>178</v>
      </c>
      <c r="R8" s="25"/>
      <c r="S8" s="16" t="s">
        <v>105</v>
      </c>
      <c r="T8" s="29"/>
      <c r="U8" s="16"/>
      <c r="V8" s="25"/>
      <c r="W8" s="22"/>
      <c r="X8" s="29"/>
      <c r="Y8" s="16"/>
      <c r="Z8" s="25"/>
      <c r="AA8" s="16" t="s">
        <v>232</v>
      </c>
      <c r="AB8" s="25"/>
      <c r="AC8" s="16" t="s">
        <v>317</v>
      </c>
      <c r="AD8" s="29"/>
      <c r="AE8" s="16" t="s">
        <v>110</v>
      </c>
      <c r="AF8" s="16" t="s">
        <v>196</v>
      </c>
      <c r="AG8" s="29"/>
      <c r="AH8" s="64"/>
      <c r="AI8" s="25"/>
    </row>
    <row r="9" spans="1:35" x14ac:dyDescent="0.25">
      <c r="A9" s="23">
        <v>42370.07291666665</v>
      </c>
      <c r="B9" s="25"/>
      <c r="C9" s="16" t="s">
        <v>141</v>
      </c>
      <c r="D9" s="16">
        <v>8</v>
      </c>
      <c r="E9" s="29"/>
      <c r="F9" s="16" t="s">
        <v>315</v>
      </c>
      <c r="G9" s="25"/>
      <c r="H9" s="16" t="s">
        <v>116</v>
      </c>
      <c r="I9" s="16">
        <f t="shared" si="0"/>
        <v>9</v>
      </c>
      <c r="J9" s="29"/>
      <c r="K9" s="24"/>
      <c r="L9" s="25"/>
      <c r="M9" s="16"/>
      <c r="N9" s="29"/>
      <c r="O9" s="16" t="s">
        <v>130</v>
      </c>
      <c r="P9" s="25"/>
      <c r="Q9" s="16"/>
      <c r="R9" s="25"/>
      <c r="S9" s="16" t="s">
        <v>109</v>
      </c>
      <c r="T9" s="29"/>
      <c r="U9" s="16"/>
      <c r="V9" s="25"/>
      <c r="W9" s="22"/>
      <c r="X9" s="29"/>
      <c r="Y9" s="16"/>
      <c r="Z9" s="25"/>
      <c r="AA9" s="16" t="s">
        <v>317</v>
      </c>
      <c r="AB9" s="25"/>
      <c r="AC9" s="22"/>
      <c r="AD9" s="29"/>
      <c r="AE9" s="16" t="s">
        <v>113</v>
      </c>
      <c r="AF9" s="16" t="s">
        <v>196</v>
      </c>
      <c r="AG9" s="29"/>
      <c r="AH9" s="64"/>
      <c r="AI9" s="25"/>
    </row>
    <row r="10" spans="1:35" x14ac:dyDescent="0.25">
      <c r="A10" s="23">
        <v>42370.083333333314</v>
      </c>
      <c r="B10" s="25"/>
      <c r="C10" s="16" t="s">
        <v>143</v>
      </c>
      <c r="D10" s="16">
        <v>9</v>
      </c>
      <c r="E10" s="29"/>
      <c r="F10" s="16" t="s">
        <v>115</v>
      </c>
      <c r="G10" s="25"/>
      <c r="H10" s="16" t="s">
        <v>117</v>
      </c>
      <c r="I10" s="16">
        <f t="shared" si="0"/>
        <v>10</v>
      </c>
      <c r="J10" s="29"/>
      <c r="K10" s="24"/>
      <c r="L10" s="25"/>
      <c r="M10" s="16"/>
      <c r="N10" s="29"/>
      <c r="O10" s="16" t="s">
        <v>132</v>
      </c>
      <c r="P10" s="25"/>
      <c r="Q10" s="16"/>
      <c r="R10" s="25"/>
      <c r="S10" s="16" t="s">
        <v>112</v>
      </c>
      <c r="T10" s="29"/>
      <c r="U10" s="16"/>
      <c r="V10" s="25"/>
      <c r="W10" s="22"/>
      <c r="X10" s="29"/>
      <c r="Y10" s="16"/>
      <c r="Z10" s="25"/>
      <c r="AA10" s="16"/>
      <c r="AB10" s="25"/>
      <c r="AC10" s="22"/>
      <c r="AD10" s="29"/>
      <c r="AE10" s="16" t="s">
        <v>115</v>
      </c>
      <c r="AF10" s="16" t="s">
        <v>196</v>
      </c>
      <c r="AG10" s="29"/>
      <c r="AH10" s="64"/>
      <c r="AI10" s="25"/>
    </row>
    <row r="11" spans="1:35" x14ac:dyDescent="0.25">
      <c r="A11" s="23">
        <v>42370.093749999978</v>
      </c>
      <c r="B11" s="25"/>
      <c r="C11" s="16" t="s">
        <v>146</v>
      </c>
      <c r="D11" s="16">
        <v>12</v>
      </c>
      <c r="E11" s="29"/>
      <c r="F11" s="16" t="s">
        <v>119</v>
      </c>
      <c r="G11" s="25"/>
      <c r="H11" s="16"/>
      <c r="I11" s="16"/>
      <c r="J11" s="29"/>
      <c r="K11" s="24"/>
      <c r="L11" s="25"/>
      <c r="M11" s="16"/>
      <c r="N11" s="29"/>
      <c r="O11" s="16" t="s">
        <v>134</v>
      </c>
      <c r="P11" s="25"/>
      <c r="Q11" s="16"/>
      <c r="R11" s="25"/>
      <c r="S11" s="16"/>
      <c r="T11" s="29"/>
      <c r="U11" s="16"/>
      <c r="V11" s="25"/>
      <c r="W11" s="22"/>
      <c r="X11" s="29"/>
      <c r="Y11" s="16"/>
      <c r="Z11" s="25"/>
      <c r="AA11" s="16"/>
      <c r="AB11" s="25"/>
      <c r="AC11" s="22"/>
      <c r="AD11" s="29"/>
      <c r="AE11" s="16" t="s">
        <v>169</v>
      </c>
      <c r="AF11" s="16" t="s">
        <v>196</v>
      </c>
      <c r="AG11" s="29"/>
      <c r="AH11" s="64"/>
      <c r="AI11" s="25"/>
    </row>
    <row r="12" spans="1:35" x14ac:dyDescent="0.25">
      <c r="A12" s="23">
        <v>42370.104166666642</v>
      </c>
      <c r="B12" s="25"/>
      <c r="C12" s="16" t="s">
        <v>148</v>
      </c>
      <c r="D12" s="16">
        <v>13</v>
      </c>
      <c r="E12" s="29"/>
      <c r="F12" s="16"/>
      <c r="G12" s="25"/>
      <c r="H12" s="16"/>
      <c r="I12" s="16"/>
      <c r="J12" s="29"/>
      <c r="K12" s="24"/>
      <c r="L12" s="25"/>
      <c r="M12" s="16"/>
      <c r="N12" s="29"/>
      <c r="O12" s="16" t="s">
        <v>312</v>
      </c>
      <c r="P12" s="25"/>
      <c r="Q12" s="16"/>
      <c r="R12" s="25"/>
      <c r="S12" s="16"/>
      <c r="T12" s="29"/>
      <c r="U12" s="16"/>
      <c r="V12" s="25"/>
      <c r="W12" s="22"/>
      <c r="X12" s="29"/>
      <c r="Y12" s="16"/>
      <c r="Z12" s="25"/>
      <c r="AA12" s="16"/>
      <c r="AB12" s="25"/>
      <c r="AC12" s="22"/>
      <c r="AD12" s="29"/>
      <c r="AE12" s="16" t="s">
        <v>118</v>
      </c>
      <c r="AF12" s="16" t="s">
        <v>196</v>
      </c>
      <c r="AG12" s="29"/>
      <c r="AH12" s="64"/>
      <c r="AI12" s="25"/>
    </row>
    <row r="13" spans="1:35" x14ac:dyDescent="0.25">
      <c r="A13" s="23">
        <v>42370.114583333307</v>
      </c>
      <c r="B13" s="25"/>
      <c r="C13" s="16" t="s">
        <v>149</v>
      </c>
      <c r="D13" s="16">
        <v>14</v>
      </c>
      <c r="E13" s="29"/>
      <c r="F13" s="16"/>
      <c r="G13" s="25"/>
      <c r="H13" s="16"/>
      <c r="I13" s="16"/>
      <c r="J13" s="29"/>
      <c r="K13" s="24"/>
      <c r="L13" s="25"/>
      <c r="M13" s="16"/>
      <c r="N13" s="29"/>
      <c r="O13" s="16" t="s">
        <v>137</v>
      </c>
      <c r="P13" s="25"/>
      <c r="Q13" s="16"/>
      <c r="R13" s="25"/>
      <c r="S13" s="16"/>
      <c r="T13" s="29"/>
      <c r="U13" s="16"/>
      <c r="V13" s="25"/>
      <c r="W13" s="22"/>
      <c r="X13" s="29"/>
      <c r="Y13" s="16"/>
      <c r="Z13" s="25"/>
      <c r="AA13" s="16"/>
      <c r="AB13" s="25"/>
      <c r="AC13" s="22"/>
      <c r="AD13" s="29"/>
      <c r="AE13" s="16" t="s">
        <v>119</v>
      </c>
      <c r="AF13" s="16" t="s">
        <v>196</v>
      </c>
      <c r="AG13" s="29"/>
      <c r="AH13" s="64"/>
      <c r="AI13" s="25"/>
    </row>
    <row r="14" spans="1:35" x14ac:dyDescent="0.25">
      <c r="A14" s="23">
        <v>42370.124999999971</v>
      </c>
      <c r="B14" s="25"/>
      <c r="C14" s="16" t="s">
        <v>151</v>
      </c>
      <c r="D14" s="16">
        <v>15</v>
      </c>
      <c r="E14" s="29"/>
      <c r="F14" s="16"/>
      <c r="G14" s="25"/>
      <c r="H14" s="16"/>
      <c r="I14" s="16"/>
      <c r="J14" s="29"/>
      <c r="K14" s="24"/>
      <c r="L14" s="25"/>
      <c r="M14" s="16"/>
      <c r="N14" s="29"/>
      <c r="O14" s="16" t="s">
        <v>313</v>
      </c>
      <c r="P14" s="25"/>
      <c r="Q14" s="16"/>
      <c r="R14" s="25"/>
      <c r="S14" s="16"/>
      <c r="T14" s="29"/>
      <c r="U14" s="16"/>
      <c r="V14" s="25"/>
      <c r="W14" s="22"/>
      <c r="X14" s="29"/>
      <c r="Y14" s="16"/>
      <c r="Z14" s="25"/>
      <c r="AA14" s="16"/>
      <c r="AB14" s="25"/>
      <c r="AC14" s="22"/>
      <c r="AD14" s="29"/>
      <c r="AE14" s="16" t="s">
        <v>120</v>
      </c>
      <c r="AF14" s="16" t="s">
        <v>196</v>
      </c>
      <c r="AG14" s="29"/>
      <c r="AH14" s="64"/>
      <c r="AI14" s="25"/>
    </row>
    <row r="15" spans="1:35" x14ac:dyDescent="0.25">
      <c r="A15" s="23">
        <v>42370.135416666635</v>
      </c>
      <c r="B15" s="25"/>
      <c r="C15" s="16" t="s">
        <v>156</v>
      </c>
      <c r="D15" s="16">
        <v>17</v>
      </c>
      <c r="E15" s="29"/>
      <c r="F15" s="16"/>
      <c r="G15" s="25"/>
      <c r="H15" s="16"/>
      <c r="I15" s="16"/>
      <c r="J15" s="29"/>
      <c r="K15" s="24"/>
      <c r="L15" s="25"/>
      <c r="M15" s="16"/>
      <c r="N15" s="29"/>
      <c r="O15" s="16" t="s">
        <v>139</v>
      </c>
      <c r="P15" s="25"/>
      <c r="Q15" s="16"/>
      <c r="R15" s="25"/>
      <c r="S15" s="16"/>
      <c r="T15" s="29"/>
      <c r="U15" s="16"/>
      <c r="V15" s="25"/>
      <c r="W15" s="22"/>
      <c r="X15" s="29"/>
      <c r="Y15" s="16"/>
      <c r="Z15" s="25"/>
      <c r="AA15" s="16"/>
      <c r="AB15" s="25"/>
      <c r="AC15" s="22"/>
      <c r="AD15" s="29"/>
      <c r="AE15" s="16" t="s">
        <v>242</v>
      </c>
      <c r="AF15" s="16" t="s">
        <v>196</v>
      </c>
      <c r="AG15" s="29"/>
      <c r="AH15" s="64"/>
      <c r="AI15" s="25"/>
    </row>
    <row r="16" spans="1:35" x14ac:dyDescent="0.25">
      <c r="A16" s="23">
        <v>42370.145833333299</v>
      </c>
      <c r="B16" s="25"/>
      <c r="C16" s="16" t="s">
        <v>243</v>
      </c>
      <c r="D16" s="16">
        <v>18</v>
      </c>
      <c r="E16" s="29"/>
      <c r="F16" s="16"/>
      <c r="G16" s="25"/>
      <c r="H16" s="16"/>
      <c r="I16" s="16"/>
      <c r="J16" s="29"/>
      <c r="K16" s="24"/>
      <c r="L16" s="25"/>
      <c r="M16" s="16"/>
      <c r="N16" s="29"/>
      <c r="O16" s="16" t="s">
        <v>140</v>
      </c>
      <c r="P16" s="25"/>
      <c r="Q16" s="16"/>
      <c r="R16" s="25"/>
      <c r="S16" s="16"/>
      <c r="T16" s="29"/>
      <c r="U16" s="16"/>
      <c r="V16" s="25"/>
      <c r="W16" s="22"/>
      <c r="X16" s="29"/>
      <c r="Y16" s="16"/>
      <c r="Z16" s="25"/>
      <c r="AA16" s="16"/>
      <c r="AB16" s="25"/>
      <c r="AC16" s="22"/>
      <c r="AD16" s="29"/>
      <c r="AE16" s="16"/>
      <c r="AF16" s="16"/>
      <c r="AG16" s="29"/>
      <c r="AH16" s="64"/>
      <c r="AI16" s="25"/>
    </row>
    <row r="17" spans="1:35" x14ac:dyDescent="0.25">
      <c r="A17" s="23">
        <v>42370.156249999964</v>
      </c>
      <c r="B17" s="25"/>
      <c r="C17" s="16" t="s">
        <v>244</v>
      </c>
      <c r="D17" s="16">
        <v>19</v>
      </c>
      <c r="E17" s="29"/>
      <c r="F17" s="16"/>
      <c r="G17" s="25"/>
      <c r="H17" s="16"/>
      <c r="I17" s="16"/>
      <c r="J17" s="29"/>
      <c r="K17" s="24"/>
      <c r="L17" s="25"/>
      <c r="M17" s="16"/>
      <c r="N17" s="29"/>
      <c r="O17" s="16" t="s">
        <v>142</v>
      </c>
      <c r="P17" s="25"/>
      <c r="Q17" s="16"/>
      <c r="R17" s="25"/>
      <c r="S17" s="16"/>
      <c r="T17" s="29"/>
      <c r="U17" s="16"/>
      <c r="V17" s="25"/>
      <c r="W17" s="22"/>
      <c r="X17" s="29"/>
      <c r="Y17" s="16"/>
      <c r="Z17" s="25"/>
      <c r="AA17" s="16"/>
      <c r="AB17" s="25"/>
      <c r="AC17" s="22"/>
      <c r="AD17" s="29"/>
      <c r="AE17" s="16"/>
      <c r="AF17" s="16"/>
      <c r="AG17" s="29"/>
      <c r="AH17" s="64"/>
      <c r="AI17" s="25"/>
    </row>
    <row r="18" spans="1:35" x14ac:dyDescent="0.25">
      <c r="A18" s="23">
        <v>42370.166666666628</v>
      </c>
      <c r="B18" s="25"/>
      <c r="C18" s="16" t="s">
        <v>245</v>
      </c>
      <c r="D18" s="16">
        <v>20</v>
      </c>
      <c r="E18" s="29"/>
      <c r="F18" s="16"/>
      <c r="G18" s="25"/>
      <c r="H18" s="16"/>
      <c r="I18" s="16"/>
      <c r="J18" s="29"/>
      <c r="K18" s="24"/>
      <c r="L18" s="25"/>
      <c r="M18" s="16"/>
      <c r="N18" s="29"/>
      <c r="O18" s="16" t="s">
        <v>144</v>
      </c>
      <c r="P18" s="25"/>
      <c r="Q18" s="16"/>
      <c r="R18" s="25"/>
      <c r="S18" s="16"/>
      <c r="T18" s="29"/>
      <c r="U18" s="16"/>
      <c r="V18" s="25"/>
      <c r="W18" s="22"/>
      <c r="X18" s="29"/>
      <c r="Y18" s="16"/>
      <c r="Z18" s="25"/>
      <c r="AA18" s="16"/>
      <c r="AB18" s="25"/>
      <c r="AC18" s="22"/>
      <c r="AD18" s="29"/>
      <c r="AE18" s="16"/>
      <c r="AF18" s="16"/>
      <c r="AG18" s="29"/>
      <c r="AH18" s="64"/>
      <c r="AI18" s="25"/>
    </row>
    <row r="19" spans="1:35" x14ac:dyDescent="0.25">
      <c r="A19" s="23">
        <v>42370.177083333292</v>
      </c>
      <c r="B19" s="25"/>
      <c r="C19" s="16" t="s">
        <v>162</v>
      </c>
      <c r="D19" s="16">
        <v>21</v>
      </c>
      <c r="E19" s="29"/>
      <c r="F19" s="16"/>
      <c r="G19" s="25"/>
      <c r="H19" s="16"/>
      <c r="I19" s="16"/>
      <c r="J19" s="29"/>
      <c r="K19" s="24"/>
      <c r="L19" s="25"/>
      <c r="M19" s="16"/>
      <c r="N19" s="29"/>
      <c r="O19" s="16" t="s">
        <v>145</v>
      </c>
      <c r="P19" s="25"/>
      <c r="Q19" s="16"/>
      <c r="R19" s="25"/>
      <c r="S19" s="16"/>
      <c r="T19" s="29"/>
      <c r="U19" s="16"/>
      <c r="V19" s="25"/>
      <c r="W19" s="22"/>
      <c r="X19" s="29"/>
      <c r="Y19" s="16"/>
      <c r="Z19" s="25"/>
      <c r="AA19" s="16"/>
      <c r="AB19" s="25"/>
      <c r="AC19" s="22"/>
      <c r="AD19" s="29"/>
      <c r="AE19" s="16"/>
      <c r="AF19" s="16"/>
      <c r="AG19" s="29"/>
      <c r="AH19" s="64"/>
      <c r="AI19" s="25"/>
    </row>
    <row r="20" spans="1:35" x14ac:dyDescent="0.25">
      <c r="A20" s="23">
        <v>42370.187499999956</v>
      </c>
      <c r="B20" s="25"/>
      <c r="C20" s="16" t="s">
        <v>246</v>
      </c>
      <c r="D20" s="16">
        <v>23</v>
      </c>
      <c r="E20" s="29"/>
      <c r="F20" s="16"/>
      <c r="G20" s="25"/>
      <c r="H20" s="16"/>
      <c r="I20" s="16"/>
      <c r="J20" s="29"/>
      <c r="K20" s="24"/>
      <c r="L20" s="25"/>
      <c r="M20" s="16"/>
      <c r="N20" s="29"/>
      <c r="O20" s="16" t="s">
        <v>147</v>
      </c>
      <c r="P20" s="25"/>
      <c r="Q20" s="16"/>
      <c r="R20" s="25"/>
      <c r="S20" s="16"/>
      <c r="T20" s="29"/>
      <c r="U20" s="16"/>
      <c r="V20" s="25"/>
      <c r="W20" s="22"/>
      <c r="X20" s="29"/>
      <c r="Y20" s="16"/>
      <c r="Z20" s="25"/>
      <c r="AA20" s="16"/>
      <c r="AB20" s="25"/>
      <c r="AC20" s="22"/>
      <c r="AD20" s="29"/>
      <c r="AE20" s="16"/>
      <c r="AF20" s="16"/>
      <c r="AG20" s="29"/>
      <c r="AH20" s="64"/>
      <c r="AI20" s="25"/>
    </row>
    <row r="21" spans="1:35" x14ac:dyDescent="0.25">
      <c r="A21" s="23">
        <v>42370.197916666621</v>
      </c>
      <c r="B21" s="25"/>
      <c r="C21" s="16" t="s">
        <v>318</v>
      </c>
      <c r="D21" s="16">
        <v>24</v>
      </c>
      <c r="E21" s="29"/>
      <c r="F21" s="16"/>
      <c r="G21" s="25"/>
      <c r="H21" s="16"/>
      <c r="I21" s="16"/>
      <c r="J21" s="29"/>
      <c r="K21" s="24"/>
      <c r="L21" s="25"/>
      <c r="M21" s="16"/>
      <c r="N21" s="29"/>
      <c r="O21" s="16" t="s">
        <v>250</v>
      </c>
      <c r="P21" s="25"/>
      <c r="Q21" s="16"/>
      <c r="R21" s="25"/>
      <c r="S21" s="16"/>
      <c r="T21" s="29"/>
      <c r="U21" s="16"/>
      <c r="V21" s="25"/>
      <c r="W21" s="22"/>
      <c r="X21" s="29"/>
      <c r="Y21" s="16"/>
      <c r="Z21" s="25"/>
      <c r="AA21" s="16"/>
      <c r="AB21" s="25"/>
      <c r="AC21" s="22"/>
      <c r="AD21" s="29"/>
      <c r="AE21" s="16"/>
      <c r="AF21" s="16"/>
      <c r="AG21" s="29"/>
      <c r="AH21" s="64"/>
      <c r="AI21" s="25"/>
    </row>
    <row r="22" spans="1:35" x14ac:dyDescent="0.25">
      <c r="A22" s="23">
        <v>42370.208333333285</v>
      </c>
      <c r="B22" s="25"/>
      <c r="C22" s="16" t="s">
        <v>319</v>
      </c>
      <c r="D22" s="16">
        <v>25</v>
      </c>
      <c r="E22" s="29"/>
      <c r="F22" s="16"/>
      <c r="G22" s="25"/>
      <c r="H22" s="16"/>
      <c r="I22" s="16"/>
      <c r="J22" s="29"/>
      <c r="K22" s="24"/>
      <c r="L22" s="25"/>
      <c r="M22" s="16"/>
      <c r="N22" s="29"/>
      <c r="O22" s="16" t="s">
        <v>251</v>
      </c>
      <c r="P22" s="25"/>
      <c r="Q22" s="16"/>
      <c r="R22" s="25"/>
      <c r="S22" s="16"/>
      <c r="T22" s="29"/>
      <c r="U22" s="16"/>
      <c r="V22" s="25"/>
      <c r="W22" s="22"/>
      <c r="X22" s="29"/>
      <c r="Y22" s="16"/>
      <c r="Z22" s="25"/>
      <c r="AA22" s="16"/>
      <c r="AB22" s="25"/>
      <c r="AC22" s="22"/>
      <c r="AD22" s="29"/>
      <c r="AE22" s="16"/>
      <c r="AF22" s="16"/>
      <c r="AG22" s="29"/>
      <c r="AH22" s="64"/>
      <c r="AI22" s="25"/>
    </row>
    <row r="23" spans="1:35" x14ac:dyDescent="0.25">
      <c r="A23" s="23">
        <v>42370.218749999949</v>
      </c>
      <c r="B23" s="25"/>
      <c r="C23" s="16" t="s">
        <v>321</v>
      </c>
      <c r="D23" s="16">
        <v>26</v>
      </c>
      <c r="E23" s="29"/>
      <c r="F23" s="16"/>
      <c r="G23" s="25"/>
      <c r="H23" s="16"/>
      <c r="I23" s="16"/>
      <c r="J23" s="29"/>
      <c r="K23" s="24"/>
      <c r="L23" s="25"/>
      <c r="M23" s="16"/>
      <c r="N23" s="29"/>
      <c r="O23" s="16" t="s">
        <v>314</v>
      </c>
      <c r="P23" s="25"/>
      <c r="Q23" s="16"/>
      <c r="R23" s="25"/>
      <c r="S23" s="16"/>
      <c r="T23" s="29"/>
      <c r="U23" s="16"/>
      <c r="V23" s="25"/>
      <c r="W23" s="22"/>
      <c r="X23" s="29"/>
      <c r="Y23" s="16"/>
      <c r="Z23" s="25"/>
      <c r="AA23" s="16"/>
      <c r="AB23" s="25"/>
      <c r="AC23" s="22"/>
      <c r="AD23" s="29"/>
      <c r="AE23" s="16"/>
      <c r="AF23" s="16"/>
      <c r="AG23" s="29"/>
      <c r="AH23" s="64"/>
      <c r="AI23" s="25"/>
    </row>
    <row r="24" spans="1:35" x14ac:dyDescent="0.25">
      <c r="A24" s="23">
        <v>42370.229166666613</v>
      </c>
      <c r="B24" s="25"/>
      <c r="C24" s="16"/>
      <c r="D24" s="16"/>
      <c r="E24" s="29"/>
      <c r="F24" s="16"/>
      <c r="G24" s="25"/>
      <c r="H24" s="16"/>
      <c r="I24" s="16"/>
      <c r="J24" s="29"/>
      <c r="K24" s="24"/>
      <c r="L24" s="25"/>
      <c r="M24" s="16"/>
      <c r="N24" s="29"/>
      <c r="O24" s="16" t="s">
        <v>150</v>
      </c>
      <c r="P24" s="25"/>
      <c r="Q24" s="16"/>
      <c r="R24" s="25"/>
      <c r="S24" s="16"/>
      <c r="T24" s="29"/>
      <c r="U24" s="16"/>
      <c r="V24" s="25"/>
      <c r="W24" s="22"/>
      <c r="X24" s="29"/>
      <c r="Y24" s="16"/>
      <c r="Z24" s="25"/>
      <c r="AA24" s="16"/>
      <c r="AB24" s="25"/>
      <c r="AC24" s="22"/>
      <c r="AD24" s="29"/>
      <c r="AE24" s="16"/>
      <c r="AF24" s="16"/>
      <c r="AG24" s="29"/>
      <c r="AH24" s="64"/>
      <c r="AI24" s="25"/>
    </row>
    <row r="25" spans="1:35" x14ac:dyDescent="0.25">
      <c r="A25" s="23">
        <v>42370.239583333278</v>
      </c>
      <c r="B25" s="25"/>
      <c r="D25" s="16"/>
      <c r="E25" s="29"/>
      <c r="F25" s="16"/>
      <c r="G25" s="25"/>
      <c r="H25" s="16"/>
      <c r="I25" s="16"/>
      <c r="J25" s="29"/>
      <c r="K25" s="24"/>
      <c r="L25" s="25"/>
      <c r="M25" s="16"/>
      <c r="N25" s="29"/>
      <c r="O25" s="16" t="s">
        <v>152</v>
      </c>
      <c r="P25" s="25"/>
      <c r="Q25" s="16"/>
      <c r="R25" s="25"/>
      <c r="S25" s="16"/>
      <c r="T25" s="29"/>
      <c r="U25" s="16"/>
      <c r="V25" s="25"/>
      <c r="W25" s="22"/>
      <c r="X25" s="29"/>
      <c r="Y25" s="16"/>
      <c r="Z25" s="25"/>
      <c r="AA25" s="16"/>
      <c r="AB25" s="25"/>
      <c r="AC25" s="22"/>
      <c r="AD25" s="29"/>
      <c r="AE25" s="16"/>
      <c r="AF25" s="16"/>
      <c r="AG25" s="29"/>
      <c r="AH25" s="64"/>
      <c r="AI25" s="25"/>
    </row>
    <row r="26" spans="1:35" x14ac:dyDescent="0.25">
      <c r="A26" s="23">
        <v>42370.249999999942</v>
      </c>
      <c r="B26" s="25"/>
      <c r="C26" s="16"/>
      <c r="D26" s="16"/>
      <c r="E26" s="29"/>
      <c r="F26" s="16"/>
      <c r="G26" s="25"/>
      <c r="H26" s="16"/>
      <c r="I26" s="16"/>
      <c r="J26" s="29"/>
      <c r="K26" s="24"/>
      <c r="L26" s="25"/>
      <c r="M26" s="16"/>
      <c r="N26" s="29"/>
      <c r="O26" s="16" t="s">
        <v>153</v>
      </c>
      <c r="P26" s="25"/>
      <c r="Q26" s="16"/>
      <c r="R26" s="25"/>
      <c r="S26" s="16"/>
      <c r="T26" s="29"/>
      <c r="U26" s="16"/>
      <c r="V26" s="25"/>
      <c r="W26" s="22"/>
      <c r="X26" s="29"/>
      <c r="Y26" s="16"/>
      <c r="Z26" s="25"/>
      <c r="AA26" s="16"/>
      <c r="AB26" s="25"/>
      <c r="AC26" s="22"/>
      <c r="AD26" s="29"/>
      <c r="AE26" s="16"/>
      <c r="AF26" s="16"/>
      <c r="AG26" s="29"/>
      <c r="AH26" s="64"/>
      <c r="AI26" s="25"/>
    </row>
    <row r="27" spans="1:35" x14ac:dyDescent="0.25">
      <c r="A27" s="23">
        <v>42370.260416666606</v>
      </c>
      <c r="B27" s="25"/>
      <c r="C27" s="16"/>
      <c r="D27" s="16"/>
      <c r="E27" s="29"/>
      <c r="F27" s="16"/>
      <c r="G27" s="25"/>
      <c r="H27" s="16"/>
      <c r="I27" s="16"/>
      <c r="J27" s="29"/>
      <c r="K27" s="24"/>
      <c r="L27" s="25"/>
      <c r="M27" s="16"/>
      <c r="N27" s="29"/>
      <c r="O27" s="16" t="s">
        <v>154</v>
      </c>
      <c r="P27" s="25"/>
      <c r="Q27" s="16"/>
      <c r="R27" s="25"/>
      <c r="S27" s="16"/>
      <c r="T27" s="29"/>
      <c r="U27" s="16"/>
      <c r="V27" s="25"/>
      <c r="W27" s="22"/>
      <c r="X27" s="29"/>
      <c r="Y27" s="16"/>
      <c r="Z27" s="25"/>
      <c r="AA27" s="16"/>
      <c r="AB27" s="25"/>
      <c r="AC27" s="22"/>
      <c r="AD27" s="29"/>
      <c r="AE27" s="16"/>
      <c r="AF27" s="16"/>
      <c r="AG27" s="29"/>
      <c r="AH27" s="64"/>
      <c r="AI27" s="25"/>
    </row>
    <row r="28" spans="1:35" x14ac:dyDescent="0.25">
      <c r="A28" s="23">
        <v>42370.27083333327</v>
      </c>
      <c r="B28" s="25"/>
      <c r="C28" s="16"/>
      <c r="D28" s="16"/>
      <c r="E28" s="29"/>
      <c r="F28" s="16"/>
      <c r="G28" s="25"/>
      <c r="H28" s="16"/>
      <c r="I28" s="16"/>
      <c r="J28" s="29"/>
      <c r="K28" s="24"/>
      <c r="L28" s="25"/>
      <c r="M28" s="16"/>
      <c r="N28" s="29"/>
      <c r="O28" s="16" t="s">
        <v>155</v>
      </c>
      <c r="P28" s="25"/>
      <c r="Q28" s="16"/>
      <c r="R28" s="25"/>
      <c r="S28" s="16"/>
      <c r="T28" s="29"/>
      <c r="U28" s="16"/>
      <c r="V28" s="25"/>
      <c r="W28" s="22"/>
      <c r="X28" s="29"/>
      <c r="Y28" s="16"/>
      <c r="Z28" s="25"/>
      <c r="AA28" s="16"/>
      <c r="AB28" s="25"/>
      <c r="AC28" s="22"/>
      <c r="AD28" s="29"/>
      <c r="AE28" s="16"/>
      <c r="AF28" s="16"/>
      <c r="AG28" s="29"/>
      <c r="AH28" s="64"/>
      <c r="AI28" s="25"/>
    </row>
    <row r="29" spans="1:35" x14ac:dyDescent="0.25">
      <c r="A29" s="23">
        <v>42370.281249999935</v>
      </c>
      <c r="B29" s="25"/>
      <c r="C29" s="16"/>
      <c r="D29" s="16"/>
      <c r="E29" s="29"/>
      <c r="F29" s="16"/>
      <c r="G29" s="25"/>
      <c r="H29" s="16"/>
      <c r="I29" s="16"/>
      <c r="J29" s="29"/>
      <c r="K29" s="24"/>
      <c r="L29" s="25"/>
      <c r="M29" s="16"/>
      <c r="N29" s="29"/>
      <c r="O29" s="16" t="s">
        <v>157</v>
      </c>
      <c r="P29" s="25"/>
      <c r="Q29" s="16"/>
      <c r="R29" s="25"/>
      <c r="S29" s="16"/>
      <c r="T29" s="29"/>
      <c r="U29" s="16"/>
      <c r="V29" s="25"/>
      <c r="W29" s="22"/>
      <c r="X29" s="29"/>
      <c r="Y29" s="16"/>
      <c r="Z29" s="25"/>
      <c r="AA29" s="16"/>
      <c r="AB29" s="25"/>
      <c r="AC29" s="22"/>
      <c r="AD29" s="29"/>
      <c r="AE29" s="16"/>
      <c r="AF29" s="16"/>
      <c r="AG29" s="29"/>
      <c r="AH29" s="16"/>
      <c r="AI29" s="25"/>
    </row>
    <row r="30" spans="1:35" x14ac:dyDescent="0.25">
      <c r="A30" s="23">
        <v>42370.291666666599</v>
      </c>
      <c r="B30" s="25"/>
      <c r="C30" s="16"/>
      <c r="D30" s="16"/>
      <c r="E30" s="29"/>
      <c r="F30" s="16"/>
      <c r="G30" s="25"/>
      <c r="H30" s="16"/>
      <c r="I30" s="16"/>
      <c r="J30" s="29"/>
      <c r="K30" s="24"/>
      <c r="L30" s="25"/>
      <c r="M30" s="16"/>
      <c r="N30" s="29"/>
      <c r="O30" s="16" t="s">
        <v>158</v>
      </c>
      <c r="P30" s="25"/>
      <c r="Q30" s="16"/>
      <c r="R30" s="25"/>
      <c r="S30" s="16"/>
      <c r="T30" s="29"/>
      <c r="U30" s="16"/>
      <c r="V30" s="25"/>
      <c r="W30" s="22"/>
      <c r="X30" s="29"/>
      <c r="Y30" s="16"/>
      <c r="Z30" s="25"/>
      <c r="AA30" s="16"/>
      <c r="AB30" s="25"/>
      <c r="AC30" s="22"/>
      <c r="AD30" s="29"/>
      <c r="AE30" s="16"/>
      <c r="AF30" s="16"/>
      <c r="AG30" s="29"/>
      <c r="AH30" s="16"/>
      <c r="AI30" s="25"/>
    </row>
    <row r="31" spans="1:35" x14ac:dyDescent="0.25">
      <c r="A31" s="23">
        <v>42370.302083333263</v>
      </c>
      <c r="B31" s="25"/>
      <c r="C31" s="16"/>
      <c r="D31" s="16"/>
      <c r="E31" s="29"/>
      <c r="F31" s="16"/>
      <c r="G31" s="25"/>
      <c r="H31" s="16"/>
      <c r="I31" s="16"/>
      <c r="J31" s="29"/>
      <c r="K31" s="24"/>
      <c r="L31" s="25"/>
      <c r="M31" s="16"/>
      <c r="N31" s="29"/>
      <c r="O31" s="16" t="s">
        <v>159</v>
      </c>
      <c r="P31" s="25"/>
      <c r="Q31" s="16"/>
      <c r="R31" s="25"/>
      <c r="S31" s="16"/>
      <c r="T31" s="29"/>
      <c r="U31" s="16"/>
      <c r="V31" s="25"/>
      <c r="W31" s="22"/>
      <c r="X31" s="29"/>
      <c r="Y31" s="16"/>
      <c r="Z31" s="25"/>
      <c r="AA31" s="16"/>
      <c r="AB31" s="25"/>
      <c r="AC31" s="22"/>
      <c r="AD31" s="29"/>
      <c r="AE31" s="16"/>
      <c r="AF31" s="16"/>
      <c r="AG31" s="29"/>
      <c r="AH31" s="16"/>
      <c r="AI31" s="25"/>
    </row>
    <row r="32" spans="1:35" x14ac:dyDescent="0.25">
      <c r="A32" s="23">
        <v>42370.312499999927</v>
      </c>
      <c r="B32" s="25"/>
      <c r="C32" s="16"/>
      <c r="D32" s="16"/>
      <c r="E32" s="29"/>
      <c r="F32" s="16"/>
      <c r="G32" s="25"/>
      <c r="H32" s="16"/>
      <c r="I32" s="16"/>
      <c r="J32" s="29"/>
      <c r="K32" s="24"/>
      <c r="L32" s="25"/>
      <c r="M32" s="16"/>
      <c r="N32" s="29"/>
      <c r="O32" s="16" t="s">
        <v>252</v>
      </c>
      <c r="P32" s="25"/>
      <c r="Q32" s="16"/>
      <c r="R32" s="25"/>
      <c r="S32" s="16"/>
      <c r="T32" s="29"/>
      <c r="U32" s="16"/>
      <c r="V32" s="25"/>
      <c r="W32" s="22"/>
      <c r="X32" s="29"/>
      <c r="Y32" s="16"/>
      <c r="Z32" s="25"/>
      <c r="AA32" s="16"/>
      <c r="AB32" s="25"/>
      <c r="AC32" s="22"/>
      <c r="AD32" s="29"/>
      <c r="AE32" s="16"/>
      <c r="AF32" s="16"/>
      <c r="AG32" s="29"/>
      <c r="AH32" s="16"/>
      <c r="AI32" s="25"/>
    </row>
    <row r="33" spans="1:35" x14ac:dyDescent="0.25">
      <c r="A33" s="23">
        <v>42370.322916666591</v>
      </c>
      <c r="B33" s="25"/>
      <c r="C33" s="16"/>
      <c r="D33" s="16"/>
      <c r="E33" s="29"/>
      <c r="F33" s="16"/>
      <c r="G33" s="25"/>
      <c r="H33" s="16"/>
      <c r="I33" s="16"/>
      <c r="J33" s="29"/>
      <c r="K33" s="24"/>
      <c r="L33" s="25"/>
      <c r="M33" s="16"/>
      <c r="N33" s="29"/>
      <c r="O33" s="16" t="s">
        <v>161</v>
      </c>
      <c r="P33" s="25"/>
      <c r="Q33" s="16"/>
      <c r="R33" s="25"/>
      <c r="S33" s="16"/>
      <c r="T33" s="29"/>
      <c r="U33" s="16"/>
      <c r="V33" s="25"/>
      <c r="W33" s="22"/>
      <c r="X33" s="29"/>
      <c r="Y33" s="16"/>
      <c r="Z33" s="25"/>
      <c r="AA33" s="16"/>
      <c r="AB33" s="25"/>
      <c r="AC33" s="22"/>
      <c r="AD33" s="29"/>
      <c r="AE33" s="16"/>
      <c r="AF33" s="16"/>
      <c r="AG33" s="29"/>
      <c r="AH33" s="16"/>
      <c r="AI33" s="25"/>
    </row>
    <row r="34" spans="1:35" x14ac:dyDescent="0.25">
      <c r="A34" s="23">
        <v>42370.333333333256</v>
      </c>
      <c r="B34" s="25"/>
      <c r="C34" s="16"/>
      <c r="D34" s="16"/>
      <c r="E34" s="29"/>
      <c r="F34" s="16"/>
      <c r="G34" s="25"/>
      <c r="H34" s="16"/>
      <c r="I34" s="16"/>
      <c r="J34" s="29"/>
      <c r="K34" s="24"/>
      <c r="L34" s="25"/>
      <c r="M34" s="16"/>
      <c r="N34" s="29"/>
      <c r="O34" s="16" t="s">
        <v>163</v>
      </c>
      <c r="P34" s="25"/>
      <c r="Q34" s="16"/>
      <c r="R34" s="25"/>
      <c r="S34" s="16"/>
      <c r="T34" s="29"/>
      <c r="U34" s="16"/>
      <c r="V34" s="25"/>
      <c r="W34" s="22"/>
      <c r="X34" s="29"/>
      <c r="Y34" s="16"/>
      <c r="Z34" s="25"/>
      <c r="AA34" s="16"/>
      <c r="AB34" s="25"/>
      <c r="AC34" s="22"/>
      <c r="AD34" s="29"/>
      <c r="AE34" s="16"/>
      <c r="AF34" s="16"/>
      <c r="AG34" s="29"/>
      <c r="AH34" s="16"/>
      <c r="AI34" s="25"/>
    </row>
    <row r="35" spans="1:35" x14ac:dyDescent="0.25">
      <c r="A35" s="23">
        <v>42370.34374999992</v>
      </c>
      <c r="B35" s="25"/>
      <c r="C35" s="16"/>
      <c r="D35" s="16"/>
      <c r="E35" s="29"/>
      <c r="F35" s="16"/>
      <c r="G35" s="25"/>
      <c r="H35" s="16"/>
      <c r="I35" s="16"/>
      <c r="J35" s="29"/>
      <c r="K35" s="24"/>
      <c r="L35" s="25"/>
      <c r="M35" s="16"/>
      <c r="N35" s="29"/>
      <c r="O35" s="16" t="s">
        <v>164</v>
      </c>
      <c r="P35" s="25"/>
      <c r="Q35" s="16"/>
      <c r="R35" s="25"/>
      <c r="S35" s="16"/>
      <c r="T35" s="29"/>
      <c r="U35" s="16"/>
      <c r="V35" s="25"/>
      <c r="W35" s="22"/>
      <c r="X35" s="29"/>
      <c r="Y35" s="16"/>
      <c r="Z35" s="25"/>
      <c r="AA35" s="16"/>
      <c r="AB35" s="25"/>
      <c r="AC35" s="22"/>
      <c r="AD35" s="29"/>
      <c r="AE35" s="16"/>
      <c r="AF35" s="16"/>
      <c r="AG35" s="29"/>
      <c r="AH35" s="16"/>
      <c r="AI35" s="25"/>
    </row>
    <row r="36" spans="1:35" x14ac:dyDescent="0.25">
      <c r="A36" s="23">
        <v>42370.354166666584</v>
      </c>
      <c r="B36" s="25"/>
      <c r="C36" s="16"/>
      <c r="D36" s="16"/>
      <c r="E36" s="29"/>
      <c r="F36" s="16"/>
      <c r="G36" s="25"/>
      <c r="H36" s="16"/>
      <c r="I36" s="16"/>
      <c r="J36" s="29"/>
      <c r="K36" s="24"/>
      <c r="L36" s="25"/>
      <c r="M36" s="16"/>
      <c r="N36" s="29"/>
      <c r="O36" s="16" t="s">
        <v>165</v>
      </c>
      <c r="P36" s="25"/>
      <c r="Q36" s="16"/>
      <c r="R36" s="25"/>
      <c r="S36" s="16"/>
      <c r="T36" s="29"/>
      <c r="U36" s="16"/>
      <c r="V36" s="25"/>
      <c r="W36" s="22"/>
      <c r="X36" s="29"/>
      <c r="Y36" s="16"/>
      <c r="Z36" s="25"/>
      <c r="AA36" s="16"/>
      <c r="AB36" s="25"/>
      <c r="AC36" s="22"/>
      <c r="AD36" s="29"/>
      <c r="AE36" s="16"/>
      <c r="AF36" s="16"/>
      <c r="AG36" s="29"/>
      <c r="AH36" s="16"/>
      <c r="AI36" s="25"/>
    </row>
    <row r="37" spans="1:35" x14ac:dyDescent="0.25">
      <c r="A37" s="23">
        <v>42370.364583333248</v>
      </c>
      <c r="B37" s="25"/>
      <c r="C37" s="16"/>
      <c r="D37" s="16"/>
      <c r="E37" s="29"/>
      <c r="F37" s="16"/>
      <c r="G37" s="25"/>
      <c r="H37" s="16"/>
      <c r="I37" s="16"/>
      <c r="J37" s="29"/>
      <c r="K37" s="24"/>
      <c r="L37" s="25"/>
      <c r="M37" s="16"/>
      <c r="N37" s="29"/>
      <c r="O37" s="16" t="s">
        <v>166</v>
      </c>
      <c r="P37" s="25"/>
      <c r="Q37" s="16"/>
      <c r="R37" s="25"/>
      <c r="S37" s="16"/>
      <c r="T37" s="29"/>
      <c r="U37" s="16"/>
      <c r="V37" s="25"/>
      <c r="W37" s="22"/>
      <c r="X37" s="29"/>
      <c r="Y37" s="16"/>
      <c r="Z37" s="25"/>
      <c r="AA37" s="16"/>
      <c r="AB37" s="25"/>
      <c r="AC37" s="22"/>
      <c r="AD37" s="29"/>
      <c r="AE37" s="16"/>
      <c r="AF37" s="16"/>
      <c r="AG37" s="29"/>
      <c r="AH37" s="16"/>
      <c r="AI37" s="25"/>
    </row>
    <row r="38" spans="1:35" x14ac:dyDescent="0.25">
      <c r="A38" s="23">
        <v>42370.374999999913</v>
      </c>
      <c r="B38" s="25"/>
      <c r="C38" s="16"/>
      <c r="D38" s="16"/>
      <c r="E38" s="29"/>
      <c r="F38" s="16"/>
      <c r="G38" s="25"/>
      <c r="H38" s="16"/>
      <c r="I38" s="16"/>
      <c r="J38" s="29"/>
      <c r="K38" s="24"/>
      <c r="L38" s="25"/>
      <c r="M38" s="16"/>
      <c r="N38" s="29"/>
      <c r="O38" s="16"/>
      <c r="P38" s="25"/>
      <c r="Q38" s="16"/>
      <c r="R38" s="25"/>
      <c r="S38" s="16"/>
      <c r="T38" s="29"/>
      <c r="U38" s="16"/>
      <c r="V38" s="25"/>
      <c r="W38" s="22"/>
      <c r="X38" s="29"/>
      <c r="Y38" s="16"/>
      <c r="Z38" s="25"/>
      <c r="AA38" s="16"/>
      <c r="AB38" s="25"/>
      <c r="AC38" s="22"/>
      <c r="AD38" s="29"/>
      <c r="AE38" s="16"/>
      <c r="AF38" s="16"/>
      <c r="AG38" s="29"/>
      <c r="AH38" s="16"/>
      <c r="AI38" s="25"/>
    </row>
    <row r="39" spans="1:35" x14ac:dyDescent="0.25">
      <c r="A39" s="23">
        <v>42370.385416666577</v>
      </c>
      <c r="B39" s="25"/>
      <c r="C39" s="16"/>
      <c r="D39" s="16"/>
      <c r="E39" s="29"/>
      <c r="F39" s="16"/>
      <c r="G39" s="25"/>
      <c r="H39" s="16"/>
      <c r="I39" s="16"/>
      <c r="J39" s="29"/>
      <c r="K39" s="24"/>
      <c r="L39" s="25"/>
      <c r="M39" s="16"/>
      <c r="N39" s="29"/>
      <c r="O39" s="16"/>
      <c r="P39" s="25"/>
      <c r="Q39" s="16"/>
      <c r="R39" s="25"/>
      <c r="S39" s="16"/>
      <c r="T39" s="29"/>
      <c r="U39" s="16"/>
      <c r="V39" s="25"/>
      <c r="W39" s="22"/>
      <c r="X39" s="29"/>
      <c r="Y39" s="16"/>
      <c r="Z39" s="25"/>
      <c r="AA39" s="16"/>
      <c r="AB39" s="25"/>
      <c r="AC39" s="22"/>
      <c r="AD39" s="29"/>
      <c r="AE39" s="16"/>
      <c r="AF39" s="16"/>
      <c r="AG39" s="29"/>
      <c r="AH39" s="16"/>
      <c r="AI39" s="25"/>
    </row>
    <row r="40" spans="1:35" x14ac:dyDescent="0.25">
      <c r="A40" s="23">
        <v>42370.395833333241</v>
      </c>
      <c r="B40" s="25"/>
      <c r="C40" s="16"/>
      <c r="D40" s="16"/>
      <c r="E40" s="29"/>
      <c r="F40" s="16"/>
      <c r="G40" s="25"/>
      <c r="H40" s="16"/>
      <c r="I40" s="16"/>
      <c r="J40" s="29"/>
      <c r="K40" s="24"/>
      <c r="L40" s="25"/>
      <c r="M40" s="16"/>
      <c r="N40" s="29"/>
      <c r="O40" s="16"/>
      <c r="P40" s="25"/>
      <c r="Q40" s="16"/>
      <c r="R40" s="25"/>
      <c r="S40" s="16"/>
      <c r="T40" s="29"/>
      <c r="U40" s="16"/>
      <c r="V40" s="25"/>
      <c r="W40" s="22"/>
      <c r="X40" s="29"/>
      <c r="Y40" s="16"/>
      <c r="Z40" s="25"/>
      <c r="AA40" s="16"/>
      <c r="AB40" s="25"/>
      <c r="AC40" s="22"/>
      <c r="AD40" s="29"/>
      <c r="AE40" s="16"/>
      <c r="AF40" s="16"/>
      <c r="AG40" s="29"/>
      <c r="AH40" s="16"/>
      <c r="AI40" s="25"/>
    </row>
    <row r="41" spans="1:35" x14ac:dyDescent="0.25">
      <c r="A41" s="23">
        <v>42370.406249999905</v>
      </c>
      <c r="B41" s="25"/>
      <c r="C41" s="16"/>
      <c r="D41" s="16"/>
      <c r="E41" s="29"/>
      <c r="F41" s="16"/>
      <c r="G41" s="25"/>
      <c r="H41" s="16"/>
      <c r="I41" s="16"/>
      <c r="J41" s="29"/>
      <c r="K41" s="24"/>
      <c r="L41" s="25"/>
      <c r="M41" s="16"/>
      <c r="N41" s="29"/>
      <c r="O41" s="16"/>
      <c r="P41" s="25"/>
      <c r="Q41" s="16"/>
      <c r="R41" s="25"/>
      <c r="S41" s="16"/>
      <c r="T41" s="29"/>
      <c r="U41" s="16"/>
      <c r="V41" s="25"/>
      <c r="W41" s="22"/>
      <c r="X41" s="29"/>
      <c r="Y41" s="16"/>
      <c r="Z41" s="25"/>
      <c r="AA41" s="16"/>
      <c r="AB41" s="25"/>
      <c r="AC41" s="22"/>
      <c r="AD41" s="29"/>
      <c r="AE41" s="16"/>
      <c r="AF41" s="16"/>
      <c r="AG41" s="29"/>
      <c r="AH41" s="16"/>
      <c r="AI41" s="25"/>
    </row>
    <row r="42" spans="1:35" x14ac:dyDescent="0.25">
      <c r="A42" s="23">
        <v>42370.41666666657</v>
      </c>
      <c r="B42" s="25"/>
      <c r="C42" s="16"/>
      <c r="D42" s="16"/>
      <c r="E42" s="29"/>
      <c r="F42" s="16"/>
      <c r="G42" s="25"/>
      <c r="H42" s="16"/>
      <c r="I42" s="16"/>
      <c r="J42" s="29"/>
      <c r="K42" s="24"/>
      <c r="L42" s="25"/>
      <c r="M42" s="16"/>
      <c r="N42" s="29"/>
      <c r="O42" s="16"/>
      <c r="P42" s="25"/>
      <c r="Q42" s="16"/>
      <c r="R42" s="25"/>
      <c r="S42" s="16"/>
      <c r="T42" s="29"/>
      <c r="U42" s="16"/>
      <c r="V42" s="25"/>
      <c r="W42" s="22"/>
      <c r="X42" s="29"/>
      <c r="Y42" s="16"/>
      <c r="Z42" s="25"/>
      <c r="AA42" s="16"/>
      <c r="AB42" s="25"/>
      <c r="AC42" s="22"/>
      <c r="AD42" s="29"/>
      <c r="AE42" s="16"/>
      <c r="AF42" s="16"/>
      <c r="AG42" s="29"/>
      <c r="AH42" s="16"/>
      <c r="AI42" s="25"/>
    </row>
    <row r="43" spans="1:35" x14ac:dyDescent="0.25">
      <c r="A43" s="23">
        <v>42370.427083333234</v>
      </c>
      <c r="B43" s="25"/>
      <c r="C43" s="16"/>
      <c r="D43" s="16"/>
      <c r="E43" s="29"/>
      <c r="F43" s="16"/>
      <c r="G43" s="25"/>
      <c r="H43" s="16"/>
      <c r="I43" s="16"/>
      <c r="J43" s="29"/>
      <c r="K43" s="24"/>
      <c r="L43" s="25"/>
      <c r="M43" s="16"/>
      <c r="N43" s="29"/>
      <c r="O43" s="16"/>
      <c r="P43" s="25"/>
      <c r="Q43" s="16"/>
      <c r="R43" s="25"/>
      <c r="S43" s="16"/>
      <c r="T43" s="29"/>
      <c r="U43" s="16"/>
      <c r="V43" s="25"/>
      <c r="W43" s="22"/>
      <c r="X43" s="29"/>
      <c r="Y43" s="16"/>
      <c r="Z43" s="25"/>
      <c r="AA43" s="16"/>
      <c r="AB43" s="25"/>
      <c r="AC43" s="22"/>
      <c r="AD43" s="29"/>
      <c r="AE43" s="16"/>
      <c r="AF43" s="16"/>
      <c r="AG43" s="29"/>
      <c r="AH43" s="16"/>
      <c r="AI43" s="25"/>
    </row>
    <row r="44" spans="1:35" x14ac:dyDescent="0.25">
      <c r="A44" s="23">
        <v>42370.437499999898</v>
      </c>
      <c r="B44" s="25"/>
      <c r="C44" s="16"/>
      <c r="D44" s="16"/>
      <c r="E44" s="29"/>
      <c r="F44" s="16"/>
      <c r="G44" s="25"/>
      <c r="H44" s="16"/>
      <c r="I44" s="16"/>
      <c r="J44" s="29"/>
      <c r="K44" s="24"/>
      <c r="L44" s="25"/>
      <c r="M44" s="16"/>
      <c r="N44" s="29"/>
      <c r="O44" s="16"/>
      <c r="P44" s="25"/>
      <c r="Q44" s="16"/>
      <c r="R44" s="25"/>
      <c r="S44" s="16"/>
      <c r="T44" s="29"/>
      <c r="U44" s="16"/>
      <c r="V44" s="25"/>
      <c r="W44" s="22"/>
      <c r="X44" s="29"/>
      <c r="Y44" s="16"/>
      <c r="Z44" s="25"/>
      <c r="AA44" s="16"/>
      <c r="AB44" s="25"/>
      <c r="AC44" s="22"/>
      <c r="AD44" s="29"/>
      <c r="AE44" s="16"/>
      <c r="AF44" s="16"/>
      <c r="AG44" s="29"/>
      <c r="AH44" s="16"/>
      <c r="AI44" s="25"/>
    </row>
    <row r="45" spans="1:35" x14ac:dyDescent="0.25">
      <c r="A45" s="23">
        <v>42370.447916666562</v>
      </c>
      <c r="B45" s="25"/>
      <c r="C45" s="16"/>
      <c r="D45" s="16"/>
      <c r="E45" s="29"/>
      <c r="F45" s="16"/>
      <c r="G45" s="25"/>
      <c r="H45" s="16"/>
      <c r="I45" s="16"/>
      <c r="J45" s="29"/>
      <c r="K45" s="24"/>
      <c r="L45" s="25"/>
      <c r="M45" s="16"/>
      <c r="N45" s="29"/>
      <c r="O45" s="16"/>
      <c r="P45" s="25"/>
      <c r="Q45" s="16"/>
      <c r="R45" s="25"/>
      <c r="S45" s="16"/>
      <c r="T45" s="29"/>
      <c r="U45" s="16"/>
      <c r="V45" s="25"/>
      <c r="W45" s="22"/>
      <c r="X45" s="29"/>
      <c r="Y45" s="16"/>
      <c r="Z45" s="25"/>
      <c r="AA45" s="16"/>
      <c r="AB45" s="25"/>
      <c r="AC45" s="22"/>
      <c r="AD45" s="29"/>
      <c r="AE45" s="16"/>
      <c r="AF45" s="16"/>
      <c r="AG45" s="29"/>
      <c r="AH45" s="16"/>
      <c r="AI45" s="25"/>
    </row>
    <row r="46" spans="1:35" x14ac:dyDescent="0.25">
      <c r="A46" s="23">
        <v>42370.458333333227</v>
      </c>
      <c r="B46" s="25"/>
      <c r="C46" s="16"/>
      <c r="D46" s="16"/>
      <c r="E46" s="29"/>
      <c r="F46" s="16"/>
      <c r="G46" s="25"/>
      <c r="H46" s="16"/>
      <c r="I46" s="16"/>
      <c r="J46" s="29"/>
      <c r="K46" s="24"/>
      <c r="L46" s="25"/>
      <c r="M46" s="16"/>
      <c r="N46" s="29"/>
      <c r="O46" s="16"/>
      <c r="P46" s="25"/>
      <c r="Q46" s="16"/>
      <c r="R46" s="25"/>
      <c r="S46" s="16"/>
      <c r="T46" s="29"/>
      <c r="U46" s="16"/>
      <c r="V46" s="25"/>
      <c r="W46" s="22"/>
      <c r="X46" s="29"/>
      <c r="Y46" s="16"/>
      <c r="Z46" s="25"/>
      <c r="AA46" s="16"/>
      <c r="AB46" s="25"/>
      <c r="AC46" s="22"/>
      <c r="AD46" s="29"/>
      <c r="AE46" s="16"/>
      <c r="AF46" s="16"/>
      <c r="AG46" s="29"/>
      <c r="AH46" s="16"/>
      <c r="AI46" s="25"/>
    </row>
    <row r="47" spans="1:35" x14ac:dyDescent="0.25">
      <c r="A47" s="23">
        <v>42370.468749999891</v>
      </c>
      <c r="B47" s="25"/>
      <c r="C47" s="16"/>
      <c r="D47" s="16"/>
      <c r="E47" s="29"/>
      <c r="F47" s="16"/>
      <c r="G47" s="25"/>
      <c r="H47" s="16"/>
      <c r="I47" s="16"/>
      <c r="J47" s="29"/>
      <c r="K47" s="24"/>
      <c r="L47" s="25"/>
      <c r="M47" s="16"/>
      <c r="N47" s="29"/>
      <c r="O47" s="16"/>
      <c r="P47" s="25"/>
      <c r="Q47" s="16"/>
      <c r="R47" s="25"/>
      <c r="S47" s="16"/>
      <c r="T47" s="29"/>
      <c r="U47" s="16"/>
      <c r="V47" s="25"/>
      <c r="W47" s="22"/>
      <c r="X47" s="29"/>
      <c r="Y47" s="16"/>
      <c r="Z47" s="25"/>
      <c r="AA47" s="16"/>
      <c r="AB47" s="25"/>
      <c r="AC47" s="22"/>
      <c r="AD47" s="29"/>
      <c r="AE47" s="16"/>
      <c r="AF47" s="16"/>
      <c r="AG47" s="29"/>
      <c r="AH47" s="16"/>
      <c r="AI47" s="25"/>
    </row>
    <row r="48" spans="1:35" x14ac:dyDescent="0.25">
      <c r="A48" s="23">
        <v>42370.479166666555</v>
      </c>
      <c r="B48" s="25"/>
      <c r="C48" s="16"/>
      <c r="D48" s="16"/>
      <c r="E48" s="29"/>
      <c r="F48" s="16"/>
      <c r="G48" s="25"/>
      <c r="H48" s="16"/>
      <c r="I48" s="16"/>
      <c r="J48" s="29"/>
      <c r="K48" s="24"/>
      <c r="L48" s="25"/>
      <c r="M48" s="16"/>
      <c r="N48" s="29"/>
      <c r="O48" s="16"/>
      <c r="P48" s="25"/>
      <c r="Q48" s="16"/>
      <c r="R48" s="25"/>
      <c r="S48" s="16"/>
      <c r="T48" s="29"/>
      <c r="U48" s="16"/>
      <c r="V48" s="25"/>
      <c r="W48" s="22"/>
      <c r="X48" s="29"/>
      <c r="Y48" s="16"/>
      <c r="Z48" s="25"/>
      <c r="AA48" s="16"/>
      <c r="AB48" s="25"/>
      <c r="AC48" s="22"/>
      <c r="AD48" s="29"/>
      <c r="AE48" s="16"/>
      <c r="AF48" s="16"/>
      <c r="AG48" s="29"/>
      <c r="AH48" s="16"/>
      <c r="AI48" s="25"/>
    </row>
    <row r="49" spans="1:35" x14ac:dyDescent="0.25">
      <c r="A49" s="23">
        <v>42370.489583333219</v>
      </c>
      <c r="B49" s="25"/>
      <c r="C49" s="16"/>
      <c r="D49" s="16"/>
      <c r="E49" s="29"/>
      <c r="F49" s="16"/>
      <c r="G49" s="25"/>
      <c r="H49" s="16"/>
      <c r="I49" s="16"/>
      <c r="J49" s="29"/>
      <c r="K49" s="24"/>
      <c r="L49" s="25"/>
      <c r="M49" s="16"/>
      <c r="N49" s="29"/>
      <c r="O49" s="16"/>
      <c r="P49" s="25"/>
      <c r="Q49" s="16"/>
      <c r="R49" s="25"/>
      <c r="S49" s="16"/>
      <c r="T49" s="29"/>
      <c r="U49" s="16"/>
      <c r="V49" s="25"/>
      <c r="W49" s="22"/>
      <c r="X49" s="29"/>
      <c r="Y49" s="16"/>
      <c r="Z49" s="25"/>
      <c r="AA49" s="16"/>
      <c r="AB49" s="25"/>
      <c r="AC49" s="22"/>
      <c r="AD49" s="29"/>
      <c r="AE49" s="16"/>
      <c r="AF49" s="16"/>
      <c r="AG49" s="29"/>
      <c r="AH49" s="16"/>
      <c r="AI49" s="25"/>
    </row>
    <row r="50" spans="1:35" x14ac:dyDescent="0.25">
      <c r="A50" s="23">
        <v>42370.499999999884</v>
      </c>
      <c r="B50" s="25"/>
      <c r="C50" s="16"/>
      <c r="D50" s="16"/>
      <c r="E50" s="29"/>
      <c r="F50" s="16"/>
      <c r="G50" s="25"/>
      <c r="H50" s="16"/>
      <c r="I50" s="16"/>
      <c r="J50" s="29"/>
      <c r="K50" s="24"/>
      <c r="L50" s="25"/>
      <c r="M50" s="16"/>
      <c r="N50" s="29"/>
      <c r="O50" s="16"/>
      <c r="P50" s="25"/>
      <c r="Q50" s="16"/>
      <c r="R50" s="25"/>
      <c r="S50" s="16"/>
      <c r="T50" s="29"/>
      <c r="U50" s="16"/>
      <c r="V50" s="25"/>
      <c r="W50" s="22"/>
      <c r="X50" s="29"/>
      <c r="Y50" s="16"/>
      <c r="Z50" s="25"/>
      <c r="AA50" s="16"/>
      <c r="AB50" s="25"/>
      <c r="AC50" s="22"/>
      <c r="AD50" s="29"/>
      <c r="AE50" s="16"/>
      <c r="AF50" s="16"/>
      <c r="AG50" s="29"/>
      <c r="AH50" s="16"/>
      <c r="AI50" s="25"/>
    </row>
    <row r="51" spans="1:35" x14ac:dyDescent="0.25">
      <c r="A51" s="23">
        <v>42370.510416666548</v>
      </c>
      <c r="B51" s="25"/>
      <c r="C51" s="16"/>
      <c r="D51" s="16"/>
      <c r="E51" s="29"/>
      <c r="F51" s="16"/>
      <c r="G51" s="25"/>
      <c r="H51" s="16"/>
      <c r="I51" s="16"/>
      <c r="J51" s="29"/>
      <c r="K51" s="24"/>
      <c r="L51" s="25"/>
      <c r="M51" s="16"/>
      <c r="N51" s="29"/>
      <c r="O51" s="16"/>
      <c r="P51" s="25"/>
      <c r="Q51" s="16"/>
      <c r="R51" s="25"/>
      <c r="S51" s="16"/>
      <c r="T51" s="29"/>
      <c r="U51" s="16"/>
      <c r="V51" s="25"/>
      <c r="W51" s="22"/>
      <c r="X51" s="29"/>
      <c r="Y51" s="16"/>
      <c r="Z51" s="25"/>
      <c r="AA51" s="16"/>
      <c r="AB51" s="25"/>
      <c r="AC51" s="22"/>
      <c r="AD51" s="29"/>
      <c r="AE51" s="16"/>
      <c r="AF51" s="16"/>
      <c r="AG51" s="29"/>
      <c r="AH51" s="16"/>
      <c r="AI51" s="25"/>
    </row>
    <row r="52" spans="1:35" x14ac:dyDescent="0.25">
      <c r="A52" s="23">
        <v>42370.520833333212</v>
      </c>
      <c r="B52" s="25"/>
      <c r="C52" s="16"/>
      <c r="D52" s="16"/>
      <c r="E52" s="29"/>
      <c r="F52" s="16"/>
      <c r="G52" s="25"/>
      <c r="H52" s="16"/>
      <c r="I52" s="16"/>
      <c r="J52" s="29"/>
      <c r="K52" s="24"/>
      <c r="L52" s="25"/>
      <c r="M52" s="16"/>
      <c r="N52" s="29"/>
      <c r="O52" s="16"/>
      <c r="P52" s="25"/>
      <c r="Q52" s="16"/>
      <c r="R52" s="25"/>
      <c r="S52" s="16"/>
      <c r="T52" s="29"/>
      <c r="U52" s="16"/>
      <c r="V52" s="25"/>
      <c r="W52" s="22"/>
      <c r="X52" s="29"/>
      <c r="Y52" s="16"/>
      <c r="Z52" s="25"/>
      <c r="AA52" s="16"/>
      <c r="AB52" s="25"/>
      <c r="AC52" s="22"/>
      <c r="AD52" s="29"/>
      <c r="AE52" s="16"/>
      <c r="AF52" s="16"/>
      <c r="AG52" s="29"/>
      <c r="AH52" s="16"/>
      <c r="AI52" s="25"/>
    </row>
    <row r="53" spans="1:35" x14ac:dyDescent="0.25">
      <c r="A53" s="23">
        <v>42370.531249999876</v>
      </c>
      <c r="B53" s="25"/>
      <c r="C53" s="16"/>
      <c r="D53" s="16"/>
      <c r="E53" s="29"/>
      <c r="F53" s="16"/>
      <c r="G53" s="25"/>
      <c r="H53" s="16"/>
      <c r="I53" s="16"/>
      <c r="J53" s="29"/>
      <c r="K53" s="24"/>
      <c r="L53" s="25"/>
      <c r="M53" s="16"/>
      <c r="N53" s="29"/>
      <c r="O53" s="16"/>
      <c r="P53" s="25"/>
      <c r="Q53" s="16"/>
      <c r="R53" s="25"/>
      <c r="S53" s="16"/>
      <c r="T53" s="29"/>
      <c r="U53" s="16"/>
      <c r="V53" s="25"/>
      <c r="W53" s="22"/>
      <c r="X53" s="29"/>
      <c r="Y53" s="16"/>
      <c r="Z53" s="25"/>
      <c r="AA53" s="16"/>
      <c r="AB53" s="25"/>
      <c r="AC53" s="22"/>
      <c r="AD53" s="29"/>
      <c r="AE53" s="16"/>
      <c r="AF53" s="16"/>
      <c r="AG53" s="29"/>
      <c r="AH53" s="16"/>
      <c r="AI53" s="25"/>
    </row>
    <row r="54" spans="1:35" x14ac:dyDescent="0.25">
      <c r="A54" s="23">
        <v>42370.541666666541</v>
      </c>
      <c r="B54" s="25"/>
      <c r="C54" s="16"/>
      <c r="D54" s="16"/>
      <c r="E54" s="29"/>
      <c r="F54" s="16"/>
      <c r="G54" s="25"/>
      <c r="H54" s="16"/>
      <c r="I54" s="16"/>
      <c r="J54" s="29"/>
      <c r="K54" s="24"/>
      <c r="L54" s="25"/>
      <c r="M54" s="16"/>
      <c r="N54" s="29"/>
      <c r="O54" s="16"/>
      <c r="P54" s="25"/>
      <c r="Q54" s="16"/>
      <c r="R54" s="25"/>
      <c r="S54" s="16"/>
      <c r="T54" s="29"/>
      <c r="U54" s="16"/>
      <c r="V54" s="25"/>
      <c r="W54" s="22"/>
      <c r="X54" s="29"/>
      <c r="Y54" s="16"/>
      <c r="Z54" s="25"/>
      <c r="AA54" s="16"/>
      <c r="AB54" s="25"/>
      <c r="AC54" s="22"/>
      <c r="AD54" s="29"/>
      <c r="AE54" s="16"/>
      <c r="AF54" s="16"/>
      <c r="AG54" s="29"/>
      <c r="AH54" s="16"/>
      <c r="AI54" s="25"/>
    </row>
    <row r="55" spans="1:35" x14ac:dyDescent="0.25">
      <c r="A55" s="23">
        <v>42370.552083333205</v>
      </c>
      <c r="B55" s="25"/>
      <c r="C55" s="16"/>
      <c r="D55" s="16"/>
      <c r="E55" s="29"/>
      <c r="F55" s="16"/>
      <c r="G55" s="25"/>
      <c r="H55" s="16"/>
      <c r="I55" s="16"/>
      <c r="J55" s="29"/>
      <c r="K55" s="24"/>
      <c r="L55" s="25"/>
      <c r="M55" s="16"/>
      <c r="N55" s="29"/>
      <c r="O55" s="16"/>
      <c r="P55" s="25"/>
      <c r="Q55" s="16"/>
      <c r="R55" s="25"/>
      <c r="S55" s="16"/>
      <c r="T55" s="29"/>
      <c r="U55" s="16"/>
      <c r="V55" s="25"/>
      <c r="W55" s="22"/>
      <c r="X55" s="29"/>
      <c r="Y55" s="16"/>
      <c r="Z55" s="25"/>
      <c r="AA55" s="16"/>
      <c r="AB55" s="25"/>
      <c r="AC55" s="22"/>
      <c r="AD55" s="29"/>
      <c r="AE55" s="16"/>
      <c r="AF55" s="16"/>
      <c r="AG55" s="29"/>
      <c r="AH55" s="16"/>
      <c r="AI55" s="25"/>
    </row>
    <row r="56" spans="1:35" x14ac:dyDescent="0.25">
      <c r="A56" s="23">
        <v>42370.562499999869</v>
      </c>
      <c r="B56" s="25"/>
      <c r="C56" s="16"/>
      <c r="D56" s="16"/>
      <c r="E56" s="29"/>
      <c r="F56" s="16"/>
      <c r="G56" s="25"/>
      <c r="H56" s="16"/>
      <c r="I56" s="16"/>
      <c r="J56" s="29"/>
      <c r="K56" s="24"/>
      <c r="L56" s="25"/>
      <c r="M56" s="16"/>
      <c r="N56" s="29"/>
      <c r="O56" s="16"/>
      <c r="P56" s="25"/>
      <c r="Q56" s="16"/>
      <c r="R56" s="25"/>
      <c r="S56" s="16"/>
      <c r="T56" s="29"/>
      <c r="U56" s="16"/>
      <c r="V56" s="25"/>
      <c r="W56" s="22"/>
      <c r="X56" s="29"/>
      <c r="Y56" s="16"/>
      <c r="Z56" s="25"/>
      <c r="AA56" s="16"/>
      <c r="AB56" s="25"/>
      <c r="AC56" s="22"/>
      <c r="AD56" s="29"/>
      <c r="AE56" s="16"/>
      <c r="AF56" s="16"/>
      <c r="AG56" s="29"/>
      <c r="AH56" s="16"/>
      <c r="AI56" s="25"/>
    </row>
    <row r="57" spans="1:35" x14ac:dyDescent="0.25">
      <c r="A57" s="23">
        <v>42370.572916666533</v>
      </c>
      <c r="B57" s="25"/>
      <c r="C57" s="16"/>
      <c r="D57" s="16"/>
      <c r="E57" s="29"/>
      <c r="F57" s="16"/>
      <c r="G57" s="25"/>
      <c r="H57" s="16"/>
      <c r="I57" s="16"/>
      <c r="J57" s="29"/>
      <c r="K57" s="24"/>
      <c r="L57" s="25"/>
      <c r="M57" s="16"/>
      <c r="N57" s="29"/>
      <c r="O57" s="16"/>
      <c r="P57" s="25"/>
      <c r="Q57" s="16"/>
      <c r="R57" s="25"/>
      <c r="S57" s="16"/>
      <c r="T57" s="29"/>
      <c r="U57" s="16"/>
      <c r="V57" s="25"/>
      <c r="W57" s="22"/>
      <c r="X57" s="29"/>
      <c r="Y57" s="16"/>
      <c r="Z57" s="25"/>
      <c r="AA57" s="16"/>
      <c r="AB57" s="25"/>
      <c r="AC57" s="22"/>
      <c r="AD57" s="29"/>
      <c r="AE57" s="16"/>
      <c r="AF57" s="16"/>
      <c r="AG57" s="29"/>
      <c r="AH57" s="16"/>
      <c r="AI57" s="25"/>
    </row>
    <row r="58" spans="1:35" x14ac:dyDescent="0.25">
      <c r="A58" s="23">
        <v>42370.583333333198</v>
      </c>
      <c r="B58" s="25"/>
      <c r="C58" s="16"/>
      <c r="D58" s="16"/>
      <c r="E58" s="29"/>
      <c r="F58" s="16"/>
      <c r="G58" s="25"/>
      <c r="H58" s="16"/>
      <c r="I58" s="16"/>
      <c r="J58" s="29"/>
      <c r="K58" s="24"/>
      <c r="L58" s="25"/>
      <c r="M58" s="16"/>
      <c r="N58" s="29"/>
      <c r="O58" s="16"/>
      <c r="P58" s="25"/>
      <c r="Q58" s="16"/>
      <c r="R58" s="25"/>
      <c r="S58" s="16"/>
      <c r="T58" s="29"/>
      <c r="U58" s="16"/>
      <c r="V58" s="25"/>
      <c r="W58" s="22"/>
      <c r="X58" s="29"/>
      <c r="Y58" s="16"/>
      <c r="Z58" s="25"/>
      <c r="AA58" s="16"/>
      <c r="AB58" s="25"/>
      <c r="AC58" s="22"/>
      <c r="AD58" s="29"/>
      <c r="AE58" s="16"/>
      <c r="AF58" s="16"/>
      <c r="AG58" s="29"/>
      <c r="AH58" s="16"/>
      <c r="AI58" s="25"/>
    </row>
    <row r="59" spans="1:35" x14ac:dyDescent="0.25">
      <c r="A59" s="23">
        <v>42370.593749999862</v>
      </c>
      <c r="B59" s="25"/>
      <c r="C59" s="16"/>
      <c r="D59" s="16"/>
      <c r="E59" s="29"/>
      <c r="F59" s="16"/>
      <c r="G59" s="25"/>
      <c r="H59" s="16"/>
      <c r="I59" s="16"/>
      <c r="J59" s="29"/>
      <c r="K59" s="24"/>
      <c r="L59" s="25"/>
      <c r="M59" s="16"/>
      <c r="N59" s="29"/>
      <c r="O59" s="16"/>
      <c r="P59" s="25"/>
      <c r="Q59" s="16"/>
      <c r="R59" s="25"/>
      <c r="S59" s="16"/>
      <c r="T59" s="29"/>
      <c r="U59" s="16"/>
      <c r="V59" s="25"/>
      <c r="W59" s="22"/>
      <c r="X59" s="29"/>
      <c r="Y59" s="16"/>
      <c r="Z59" s="25"/>
      <c r="AA59" s="16"/>
      <c r="AB59" s="25"/>
      <c r="AC59" s="22"/>
      <c r="AD59" s="29"/>
      <c r="AE59" s="16"/>
      <c r="AF59" s="16"/>
      <c r="AG59" s="29"/>
      <c r="AH59" s="16"/>
      <c r="AI59" s="25"/>
    </row>
    <row r="60" spans="1:35" x14ac:dyDescent="0.25">
      <c r="A60" s="23">
        <v>42370.604166666526</v>
      </c>
      <c r="B60" s="25"/>
      <c r="C60" s="16"/>
      <c r="D60" s="16"/>
      <c r="E60" s="29"/>
      <c r="F60" s="16"/>
      <c r="G60" s="25"/>
      <c r="H60" s="16"/>
      <c r="I60" s="16"/>
      <c r="J60" s="29"/>
      <c r="K60" s="24"/>
      <c r="L60" s="25"/>
      <c r="M60" s="16"/>
      <c r="N60" s="29"/>
      <c r="O60" s="16"/>
      <c r="P60" s="25"/>
      <c r="Q60" s="16"/>
      <c r="R60" s="25"/>
      <c r="S60" s="16"/>
      <c r="T60" s="29"/>
      <c r="U60" s="16"/>
      <c r="V60" s="25"/>
      <c r="W60" s="22"/>
      <c r="X60" s="29"/>
      <c r="Y60" s="16"/>
      <c r="Z60" s="25"/>
      <c r="AA60" s="16"/>
      <c r="AB60" s="25"/>
      <c r="AC60" s="22"/>
      <c r="AD60" s="29"/>
      <c r="AE60" s="16"/>
      <c r="AF60" s="16"/>
      <c r="AG60" s="29"/>
      <c r="AH60" s="16"/>
      <c r="AI60" s="25"/>
    </row>
    <row r="61" spans="1:35" x14ac:dyDescent="0.25">
      <c r="A61" s="23">
        <v>42370.61458333319</v>
      </c>
      <c r="B61" s="25"/>
      <c r="C61" s="16"/>
      <c r="D61" s="16"/>
      <c r="E61" s="29"/>
      <c r="F61" s="16"/>
      <c r="G61" s="25"/>
      <c r="H61" s="16"/>
      <c r="I61" s="16"/>
      <c r="J61" s="29"/>
      <c r="K61" s="24"/>
      <c r="L61" s="25"/>
      <c r="M61" s="16"/>
      <c r="N61" s="29"/>
      <c r="O61" s="16"/>
      <c r="P61" s="25"/>
      <c r="Q61" s="16"/>
      <c r="R61" s="25"/>
      <c r="S61" s="16"/>
      <c r="T61" s="29"/>
      <c r="U61" s="16"/>
      <c r="V61" s="25"/>
      <c r="W61" s="22"/>
      <c r="X61" s="29"/>
      <c r="Y61" s="16"/>
      <c r="Z61" s="25"/>
      <c r="AA61" s="16"/>
      <c r="AB61" s="25"/>
      <c r="AC61" s="22"/>
      <c r="AD61" s="29"/>
      <c r="AE61" s="16"/>
      <c r="AF61" s="16"/>
      <c r="AG61" s="29"/>
      <c r="AH61" s="16"/>
      <c r="AI61" s="25"/>
    </row>
    <row r="62" spans="1:35" x14ac:dyDescent="0.25">
      <c r="A62" s="23">
        <v>42370.624999999854</v>
      </c>
      <c r="B62" s="25"/>
      <c r="C62" s="16"/>
      <c r="D62" s="16"/>
      <c r="E62" s="29"/>
      <c r="F62" s="16"/>
      <c r="G62" s="25"/>
      <c r="H62" s="16"/>
      <c r="I62" s="16"/>
      <c r="J62" s="29"/>
      <c r="K62" s="24"/>
      <c r="L62" s="25"/>
      <c r="M62" s="16"/>
      <c r="N62" s="29"/>
      <c r="O62" s="16"/>
      <c r="P62" s="25"/>
      <c r="Q62" s="16"/>
      <c r="R62" s="25"/>
      <c r="S62" s="16"/>
      <c r="T62" s="29"/>
      <c r="U62" s="16"/>
      <c r="V62" s="25"/>
      <c r="W62" s="22"/>
      <c r="X62" s="29"/>
      <c r="Y62" s="16"/>
      <c r="Z62" s="25"/>
      <c r="AA62" s="16"/>
      <c r="AB62" s="25"/>
      <c r="AC62" s="22"/>
      <c r="AD62" s="29"/>
      <c r="AE62" s="16"/>
      <c r="AF62" s="16"/>
      <c r="AG62" s="29"/>
      <c r="AH62" s="16"/>
      <c r="AI62" s="25"/>
    </row>
    <row r="63" spans="1:35" x14ac:dyDescent="0.25">
      <c r="A63" s="23">
        <v>42370.635416666519</v>
      </c>
      <c r="B63" s="25"/>
      <c r="C63" s="16"/>
      <c r="D63" s="16"/>
      <c r="E63" s="29"/>
      <c r="F63" s="16"/>
      <c r="G63" s="25"/>
      <c r="H63" s="16"/>
      <c r="I63" s="16"/>
      <c r="J63" s="29"/>
      <c r="K63" s="24"/>
      <c r="L63" s="25"/>
      <c r="M63" s="16"/>
      <c r="N63" s="29"/>
      <c r="O63" s="16"/>
      <c r="P63" s="25"/>
      <c r="Q63" s="16"/>
      <c r="R63" s="25"/>
      <c r="S63" s="16"/>
      <c r="T63" s="29"/>
      <c r="U63" s="16"/>
      <c r="V63" s="25"/>
      <c r="W63" s="22"/>
      <c r="X63" s="29"/>
      <c r="Y63" s="16"/>
      <c r="Z63" s="25"/>
      <c r="AA63" s="16"/>
      <c r="AB63" s="25"/>
      <c r="AC63" s="22"/>
      <c r="AD63" s="29"/>
      <c r="AE63" s="16"/>
      <c r="AF63" s="16"/>
      <c r="AG63" s="29"/>
      <c r="AH63" s="16"/>
      <c r="AI63" s="25"/>
    </row>
    <row r="64" spans="1:35" x14ac:dyDescent="0.25">
      <c r="A64" s="23">
        <v>42370.645833333183</v>
      </c>
      <c r="B64" s="25"/>
      <c r="C64" s="16"/>
      <c r="D64" s="16"/>
      <c r="E64" s="29"/>
      <c r="F64" s="16"/>
      <c r="G64" s="25"/>
      <c r="H64" s="16"/>
      <c r="I64" s="16"/>
      <c r="J64" s="29"/>
      <c r="K64" s="24"/>
      <c r="L64" s="25"/>
      <c r="M64" s="16"/>
      <c r="N64" s="29"/>
      <c r="O64" s="16"/>
      <c r="P64" s="25"/>
      <c r="Q64" s="16"/>
      <c r="R64" s="25"/>
      <c r="S64" s="16"/>
      <c r="T64" s="29"/>
      <c r="U64" s="16"/>
      <c r="V64" s="25"/>
      <c r="W64" s="22"/>
      <c r="X64" s="29"/>
      <c r="Y64" s="16"/>
      <c r="Z64" s="25"/>
      <c r="AA64" s="16"/>
      <c r="AB64" s="25"/>
      <c r="AC64" s="22"/>
      <c r="AD64" s="29"/>
      <c r="AE64" s="16"/>
      <c r="AF64" s="16"/>
      <c r="AG64" s="29"/>
      <c r="AH64" s="16"/>
      <c r="AI64" s="25"/>
    </row>
    <row r="65" spans="1:35" x14ac:dyDescent="0.25">
      <c r="A65" s="23">
        <v>42370.656249999847</v>
      </c>
      <c r="B65" s="25"/>
      <c r="C65" s="16"/>
      <c r="D65" s="16"/>
      <c r="E65" s="29"/>
      <c r="F65" s="16"/>
      <c r="G65" s="25"/>
      <c r="H65" s="16"/>
      <c r="I65" s="16"/>
      <c r="J65" s="29"/>
      <c r="K65" s="24"/>
      <c r="L65" s="25"/>
      <c r="M65" s="16"/>
      <c r="N65" s="29"/>
      <c r="O65" s="16"/>
      <c r="P65" s="25"/>
      <c r="Q65" s="16"/>
      <c r="R65" s="25"/>
      <c r="S65" s="16"/>
      <c r="T65" s="29"/>
      <c r="U65" s="16"/>
      <c r="V65" s="25"/>
      <c r="W65" s="22"/>
      <c r="X65" s="29"/>
      <c r="Y65" s="16"/>
      <c r="Z65" s="25"/>
      <c r="AA65" s="16"/>
      <c r="AB65" s="25"/>
      <c r="AC65" s="22"/>
      <c r="AD65" s="29"/>
      <c r="AE65" s="16"/>
      <c r="AF65" s="16"/>
      <c r="AG65" s="29"/>
      <c r="AH65" s="16"/>
      <c r="AI65" s="25"/>
    </row>
    <row r="66" spans="1:35" x14ac:dyDescent="0.25">
      <c r="A66" s="23">
        <v>42370.666666666511</v>
      </c>
      <c r="B66" s="25"/>
      <c r="C66" s="16"/>
      <c r="D66" s="16"/>
      <c r="E66" s="29"/>
      <c r="F66" s="16"/>
      <c r="G66" s="25"/>
      <c r="H66" s="16"/>
      <c r="I66" s="16"/>
      <c r="J66" s="29"/>
      <c r="K66" s="24"/>
      <c r="L66" s="25"/>
      <c r="M66" s="16"/>
      <c r="N66" s="29"/>
      <c r="O66" s="16"/>
      <c r="P66" s="25"/>
      <c r="Q66" s="16"/>
      <c r="R66" s="25"/>
      <c r="S66" s="16"/>
      <c r="T66" s="29"/>
      <c r="U66" s="16"/>
      <c r="V66" s="25"/>
      <c r="W66" s="22"/>
      <c r="X66" s="29"/>
      <c r="Y66" s="16"/>
      <c r="Z66" s="25"/>
      <c r="AA66" s="16"/>
      <c r="AB66" s="25"/>
      <c r="AC66" s="22"/>
      <c r="AD66" s="29"/>
      <c r="AE66" s="16"/>
      <c r="AF66" s="16"/>
      <c r="AG66" s="29"/>
      <c r="AH66" s="16"/>
      <c r="AI66" s="25"/>
    </row>
    <row r="67" spans="1:35" x14ac:dyDescent="0.25">
      <c r="A67" s="23">
        <v>42370.677083333176</v>
      </c>
      <c r="B67" s="25"/>
      <c r="C67" s="16"/>
      <c r="D67" s="16"/>
      <c r="E67" s="29"/>
      <c r="F67" s="16"/>
      <c r="G67" s="25"/>
      <c r="H67" s="16"/>
      <c r="I67" s="16"/>
      <c r="J67" s="29"/>
      <c r="K67" s="24"/>
      <c r="L67" s="25"/>
      <c r="M67" s="16"/>
      <c r="N67" s="29"/>
      <c r="O67" s="16"/>
      <c r="P67" s="25"/>
      <c r="Q67" s="16"/>
      <c r="R67" s="25"/>
      <c r="S67" s="16"/>
      <c r="T67" s="29"/>
      <c r="U67" s="16"/>
      <c r="V67" s="25"/>
      <c r="W67" s="22"/>
      <c r="X67" s="29"/>
      <c r="Y67" s="16"/>
      <c r="Z67" s="25"/>
      <c r="AA67" s="16"/>
      <c r="AB67" s="25"/>
      <c r="AC67" s="22"/>
      <c r="AD67" s="29"/>
      <c r="AE67" s="16"/>
      <c r="AF67" s="16"/>
      <c r="AG67" s="29"/>
      <c r="AH67" s="16"/>
      <c r="AI67" s="25"/>
    </row>
    <row r="68" spans="1:35" x14ac:dyDescent="0.25">
      <c r="A68" s="23">
        <v>42370.68749999984</v>
      </c>
      <c r="B68" s="25"/>
      <c r="C68" s="16"/>
      <c r="D68" s="16"/>
      <c r="E68" s="29"/>
      <c r="F68" s="16"/>
      <c r="G68" s="25"/>
      <c r="H68" s="16"/>
      <c r="I68" s="16"/>
      <c r="J68" s="29"/>
      <c r="K68" s="24"/>
      <c r="L68" s="25"/>
      <c r="M68" s="16"/>
      <c r="N68" s="29"/>
      <c r="O68" s="16"/>
      <c r="P68" s="25"/>
      <c r="Q68" s="16"/>
      <c r="R68" s="25"/>
      <c r="S68" s="16"/>
      <c r="T68" s="29"/>
      <c r="U68" s="16"/>
      <c r="V68" s="25"/>
      <c r="W68" s="22"/>
      <c r="X68" s="29"/>
      <c r="Y68" s="16"/>
      <c r="Z68" s="25"/>
      <c r="AA68" s="16"/>
      <c r="AB68" s="25"/>
      <c r="AC68" s="22"/>
      <c r="AD68" s="29"/>
      <c r="AE68" s="16"/>
      <c r="AF68" s="16"/>
      <c r="AG68" s="29"/>
      <c r="AH68" s="16"/>
      <c r="AI68" s="25"/>
    </row>
    <row r="69" spans="1:35" x14ac:dyDescent="0.25">
      <c r="A69" s="23">
        <v>42370.697916666504</v>
      </c>
      <c r="B69" s="25"/>
      <c r="C69" s="16"/>
      <c r="D69" s="16"/>
      <c r="E69" s="29"/>
      <c r="F69" s="16"/>
      <c r="G69" s="25"/>
      <c r="H69" s="16"/>
      <c r="I69" s="16"/>
      <c r="J69" s="29"/>
      <c r="K69" s="24"/>
      <c r="L69" s="25"/>
      <c r="M69" s="16"/>
      <c r="N69" s="29"/>
      <c r="O69" s="16"/>
      <c r="P69" s="25"/>
      <c r="Q69" s="16"/>
      <c r="R69" s="25"/>
      <c r="S69" s="16"/>
      <c r="T69" s="29"/>
      <c r="U69" s="16"/>
      <c r="V69" s="25"/>
      <c r="W69" s="22"/>
      <c r="X69" s="29"/>
      <c r="Y69" s="16"/>
      <c r="Z69" s="25"/>
      <c r="AA69" s="16"/>
      <c r="AB69" s="25"/>
      <c r="AC69" s="22"/>
      <c r="AD69" s="29"/>
      <c r="AE69" s="16"/>
      <c r="AF69" s="16"/>
      <c r="AG69" s="29"/>
      <c r="AH69" s="16"/>
      <c r="AI69" s="25"/>
    </row>
    <row r="70" spans="1:35" x14ac:dyDescent="0.25">
      <c r="A70" s="23">
        <v>42370.708333333168</v>
      </c>
      <c r="B70" s="25"/>
      <c r="C70" s="16"/>
      <c r="D70" s="16"/>
      <c r="E70" s="29"/>
      <c r="F70" s="16"/>
      <c r="G70" s="25"/>
      <c r="H70" s="16"/>
      <c r="I70" s="16"/>
      <c r="J70" s="29"/>
      <c r="K70" s="24"/>
      <c r="L70" s="25"/>
      <c r="M70" s="16"/>
      <c r="N70" s="29"/>
      <c r="O70" s="16"/>
      <c r="P70" s="25"/>
      <c r="Q70" s="16"/>
      <c r="R70" s="25"/>
      <c r="S70" s="16"/>
      <c r="T70" s="29"/>
      <c r="U70" s="16"/>
      <c r="V70" s="25"/>
      <c r="W70" s="22"/>
      <c r="X70" s="29"/>
      <c r="Y70" s="16"/>
      <c r="Z70" s="25"/>
      <c r="AA70" s="16"/>
      <c r="AB70" s="25"/>
      <c r="AC70" s="22"/>
      <c r="AD70" s="29"/>
      <c r="AE70" s="16"/>
      <c r="AF70" s="16"/>
      <c r="AG70" s="29"/>
      <c r="AH70" s="16"/>
      <c r="AI70" s="25"/>
    </row>
    <row r="71" spans="1:35" x14ac:dyDescent="0.25">
      <c r="A71" s="23">
        <v>42370.718749999833</v>
      </c>
      <c r="B71" s="25"/>
      <c r="C71" s="16"/>
      <c r="D71" s="16"/>
      <c r="E71" s="29"/>
      <c r="F71" s="16"/>
      <c r="G71" s="25"/>
      <c r="H71" s="16"/>
      <c r="I71" s="16"/>
      <c r="J71" s="29"/>
      <c r="K71" s="24"/>
      <c r="L71" s="25"/>
      <c r="M71" s="16"/>
      <c r="N71" s="29"/>
      <c r="O71" s="16"/>
      <c r="P71" s="25"/>
      <c r="Q71" s="16"/>
      <c r="R71" s="25"/>
      <c r="S71" s="16"/>
      <c r="T71" s="29"/>
      <c r="U71" s="16"/>
      <c r="V71" s="25"/>
      <c r="W71" s="22"/>
      <c r="X71" s="29"/>
      <c r="Y71" s="16"/>
      <c r="Z71" s="25"/>
      <c r="AA71" s="16"/>
      <c r="AB71" s="25"/>
      <c r="AC71" s="22"/>
      <c r="AD71" s="29"/>
      <c r="AE71" s="16"/>
      <c r="AF71" s="16"/>
      <c r="AG71" s="29"/>
      <c r="AH71" s="16"/>
      <c r="AI71" s="25"/>
    </row>
    <row r="72" spans="1:35" x14ac:dyDescent="0.25">
      <c r="A72" s="23">
        <v>42370.729166666497</v>
      </c>
      <c r="B72" s="25"/>
      <c r="C72" s="16"/>
      <c r="D72" s="16"/>
      <c r="E72" s="29"/>
      <c r="F72" s="16"/>
      <c r="G72" s="25"/>
      <c r="H72" s="16"/>
      <c r="I72" s="16"/>
      <c r="J72" s="29"/>
      <c r="K72" s="24"/>
      <c r="L72" s="25"/>
      <c r="M72" s="16"/>
      <c r="N72" s="29"/>
      <c r="O72" s="16"/>
      <c r="P72" s="25"/>
      <c r="Q72" s="16"/>
      <c r="R72" s="25"/>
      <c r="S72" s="16"/>
      <c r="T72" s="29"/>
      <c r="U72" s="16"/>
      <c r="V72" s="25"/>
      <c r="W72" s="22"/>
      <c r="X72" s="29"/>
      <c r="Y72" s="16"/>
      <c r="Z72" s="25"/>
      <c r="AA72" s="16"/>
      <c r="AB72" s="25"/>
      <c r="AC72" s="22"/>
      <c r="AD72" s="29"/>
      <c r="AE72" s="16"/>
      <c r="AF72" s="16"/>
      <c r="AG72" s="29"/>
      <c r="AH72" s="16"/>
      <c r="AI72" s="25"/>
    </row>
    <row r="73" spans="1:35" x14ac:dyDescent="0.25">
      <c r="A73" s="23">
        <v>42370.739583333161</v>
      </c>
      <c r="B73" s="25"/>
      <c r="C73" s="16"/>
      <c r="D73" s="16"/>
      <c r="E73" s="29"/>
      <c r="F73" s="16"/>
      <c r="G73" s="25"/>
      <c r="H73" s="16"/>
      <c r="I73" s="16"/>
      <c r="J73" s="29"/>
      <c r="K73" s="24"/>
      <c r="L73" s="25"/>
      <c r="M73" s="16"/>
      <c r="N73" s="29"/>
      <c r="O73" s="16"/>
      <c r="P73" s="25"/>
      <c r="Q73" s="16"/>
      <c r="R73" s="25"/>
      <c r="S73" s="16"/>
      <c r="T73" s="29"/>
      <c r="U73" s="16"/>
      <c r="V73" s="25"/>
      <c r="W73" s="22"/>
      <c r="X73" s="29"/>
      <c r="Y73" s="16"/>
      <c r="Z73" s="25"/>
      <c r="AA73" s="16"/>
      <c r="AB73" s="25"/>
      <c r="AC73" s="22"/>
      <c r="AD73" s="29"/>
      <c r="AE73" s="16"/>
      <c r="AF73" s="16"/>
      <c r="AG73" s="29"/>
      <c r="AH73" s="16"/>
      <c r="AI73" s="25"/>
    </row>
    <row r="74" spans="1:35" x14ac:dyDescent="0.25">
      <c r="A74" s="23">
        <v>42370.749999999825</v>
      </c>
      <c r="B74" s="25"/>
      <c r="C74" s="16"/>
      <c r="D74" s="16"/>
      <c r="E74" s="29"/>
      <c r="F74" s="16"/>
      <c r="G74" s="25"/>
      <c r="H74" s="16"/>
      <c r="I74" s="16"/>
      <c r="J74" s="29"/>
      <c r="K74" s="24"/>
      <c r="L74" s="25"/>
      <c r="M74" s="16"/>
      <c r="N74" s="29"/>
      <c r="O74" s="16"/>
      <c r="P74" s="25"/>
      <c r="Q74" s="16"/>
      <c r="R74" s="25"/>
      <c r="S74" s="16"/>
      <c r="T74" s="29"/>
      <c r="U74" s="16"/>
      <c r="V74" s="25"/>
      <c r="W74" s="22"/>
      <c r="X74" s="29"/>
      <c r="Y74" s="16"/>
      <c r="Z74" s="25"/>
      <c r="AA74" s="16"/>
      <c r="AB74" s="25"/>
      <c r="AC74" s="22"/>
      <c r="AD74" s="29"/>
      <c r="AE74" s="16"/>
      <c r="AF74" s="16"/>
      <c r="AG74" s="29"/>
      <c r="AH74" s="16"/>
      <c r="AI74" s="25"/>
    </row>
    <row r="75" spans="1:35" x14ac:dyDescent="0.25">
      <c r="A75" s="23">
        <v>42370.76041666649</v>
      </c>
      <c r="B75" s="25"/>
      <c r="C75" s="16"/>
      <c r="D75" s="16"/>
      <c r="E75" s="29"/>
      <c r="F75" s="16"/>
      <c r="G75" s="25"/>
      <c r="H75" s="16"/>
      <c r="I75" s="16"/>
      <c r="J75" s="29"/>
      <c r="K75" s="24"/>
      <c r="L75" s="25"/>
      <c r="M75" s="16"/>
      <c r="N75" s="29"/>
      <c r="O75" s="16"/>
      <c r="P75" s="25"/>
      <c r="Q75" s="16"/>
      <c r="R75" s="25"/>
      <c r="S75" s="16"/>
      <c r="T75" s="29"/>
      <c r="U75" s="16"/>
      <c r="V75" s="25"/>
      <c r="W75" s="22"/>
      <c r="X75" s="29"/>
      <c r="Y75" s="16"/>
      <c r="Z75" s="25"/>
      <c r="AA75" s="16"/>
      <c r="AB75" s="25"/>
      <c r="AC75" s="22"/>
      <c r="AD75" s="29"/>
      <c r="AE75" s="16"/>
      <c r="AF75" s="16"/>
      <c r="AG75" s="29"/>
      <c r="AH75" s="16"/>
      <c r="AI75" s="25"/>
    </row>
    <row r="76" spans="1:35" x14ac:dyDescent="0.25">
      <c r="A76" s="23">
        <v>42370.770833333154</v>
      </c>
      <c r="B76" s="25"/>
      <c r="C76" s="16"/>
      <c r="D76" s="16"/>
      <c r="E76" s="29"/>
      <c r="F76" s="16"/>
      <c r="G76" s="25"/>
      <c r="H76" s="16"/>
      <c r="I76" s="16"/>
      <c r="J76" s="29"/>
      <c r="K76" s="24"/>
      <c r="L76" s="25"/>
      <c r="M76" s="16"/>
      <c r="N76" s="29"/>
      <c r="O76" s="16"/>
      <c r="P76" s="25"/>
      <c r="Q76" s="16"/>
      <c r="R76" s="25"/>
      <c r="S76" s="16"/>
      <c r="T76" s="29"/>
      <c r="U76" s="16"/>
      <c r="V76" s="25"/>
      <c r="W76" s="22"/>
      <c r="X76" s="29"/>
      <c r="Y76" s="16"/>
      <c r="Z76" s="25"/>
      <c r="AA76" s="16"/>
      <c r="AB76" s="25"/>
      <c r="AC76" s="22"/>
      <c r="AD76" s="29"/>
      <c r="AE76" s="16"/>
      <c r="AF76" s="16"/>
      <c r="AG76" s="29"/>
      <c r="AH76" s="16"/>
      <c r="AI76" s="25"/>
    </row>
    <row r="77" spans="1:35" x14ac:dyDescent="0.25">
      <c r="A77" s="23">
        <v>42370.781249999818</v>
      </c>
      <c r="B77" s="25"/>
      <c r="C77" s="16"/>
      <c r="D77" s="16"/>
      <c r="E77" s="29"/>
      <c r="F77" s="16"/>
      <c r="G77" s="25"/>
      <c r="H77" s="16"/>
      <c r="I77" s="16"/>
      <c r="J77" s="29"/>
      <c r="K77" s="24"/>
      <c r="L77" s="25"/>
      <c r="M77" s="16"/>
      <c r="N77" s="29"/>
      <c r="O77" s="16"/>
      <c r="P77" s="25"/>
      <c r="Q77" s="16"/>
      <c r="R77" s="25"/>
      <c r="S77" s="16"/>
      <c r="T77" s="29"/>
      <c r="U77" s="16"/>
      <c r="V77" s="25"/>
      <c r="W77" s="22"/>
      <c r="X77" s="29"/>
      <c r="Y77" s="16"/>
      <c r="Z77" s="25"/>
      <c r="AA77" s="16"/>
      <c r="AB77" s="25"/>
      <c r="AC77" s="22"/>
      <c r="AD77" s="29"/>
      <c r="AE77" s="16"/>
      <c r="AF77" s="16"/>
      <c r="AG77" s="29"/>
      <c r="AH77" s="16"/>
      <c r="AI77" s="25"/>
    </row>
    <row r="78" spans="1:35" x14ac:dyDescent="0.25">
      <c r="A78" s="23">
        <v>42370.791666666482</v>
      </c>
      <c r="B78" s="25"/>
      <c r="C78" s="16"/>
      <c r="D78" s="16"/>
      <c r="E78" s="29"/>
      <c r="F78" s="16"/>
      <c r="G78" s="25"/>
      <c r="H78" s="16"/>
      <c r="I78" s="16"/>
      <c r="J78" s="29"/>
      <c r="K78" s="24"/>
      <c r="L78" s="25"/>
      <c r="M78" s="16"/>
      <c r="N78" s="29"/>
      <c r="O78" s="16"/>
      <c r="P78" s="25"/>
      <c r="Q78" s="16"/>
      <c r="R78" s="25"/>
      <c r="S78" s="16"/>
      <c r="T78" s="29"/>
      <c r="U78" s="16"/>
      <c r="V78" s="25"/>
      <c r="W78" s="22"/>
      <c r="X78" s="29"/>
      <c r="Y78" s="16"/>
      <c r="Z78" s="25"/>
      <c r="AA78" s="16"/>
      <c r="AB78" s="25"/>
      <c r="AC78" s="22"/>
      <c r="AD78" s="29"/>
      <c r="AE78" s="16"/>
      <c r="AF78" s="16"/>
      <c r="AG78" s="29"/>
      <c r="AH78" s="16"/>
      <c r="AI78" s="25"/>
    </row>
    <row r="79" spans="1:35" x14ac:dyDescent="0.25">
      <c r="A79" s="23">
        <v>42370.802083333147</v>
      </c>
      <c r="B79" s="25"/>
      <c r="C79" s="16"/>
      <c r="D79" s="16"/>
      <c r="E79" s="29"/>
      <c r="F79" s="16"/>
      <c r="G79" s="25"/>
      <c r="H79" s="16"/>
      <c r="I79" s="16"/>
      <c r="J79" s="29"/>
      <c r="K79" s="24"/>
      <c r="L79" s="25"/>
      <c r="M79" s="16"/>
      <c r="N79" s="29"/>
      <c r="O79" s="16"/>
      <c r="P79" s="25"/>
      <c r="Q79" s="16"/>
      <c r="R79" s="25"/>
      <c r="S79" s="16"/>
      <c r="T79" s="29"/>
      <c r="U79" s="16"/>
      <c r="V79" s="25"/>
      <c r="W79" s="22"/>
      <c r="X79" s="29"/>
      <c r="Y79" s="16"/>
      <c r="Z79" s="25"/>
      <c r="AA79" s="16"/>
      <c r="AB79" s="25"/>
      <c r="AC79" s="22"/>
      <c r="AD79" s="29"/>
      <c r="AE79" s="16"/>
      <c r="AF79" s="16"/>
      <c r="AG79" s="29"/>
      <c r="AH79" s="16"/>
      <c r="AI79" s="25"/>
    </row>
    <row r="80" spans="1:35" x14ac:dyDescent="0.25">
      <c r="A80" s="23">
        <v>42370.812499999811</v>
      </c>
      <c r="B80" s="25"/>
      <c r="C80" s="16"/>
      <c r="D80" s="16"/>
      <c r="E80" s="29"/>
      <c r="F80" s="16"/>
      <c r="G80" s="25"/>
      <c r="H80" s="16"/>
      <c r="I80" s="16"/>
      <c r="J80" s="29"/>
      <c r="K80" s="24"/>
      <c r="L80" s="25"/>
      <c r="M80" s="16"/>
      <c r="N80" s="29"/>
      <c r="O80" s="16"/>
      <c r="P80" s="25"/>
      <c r="Q80" s="16"/>
      <c r="R80" s="25"/>
      <c r="S80" s="16"/>
      <c r="T80" s="29"/>
      <c r="U80" s="16"/>
      <c r="V80" s="25"/>
      <c r="W80" s="22"/>
      <c r="X80" s="29"/>
      <c r="Y80" s="16"/>
      <c r="Z80" s="25"/>
      <c r="AA80" s="16"/>
      <c r="AB80" s="25"/>
      <c r="AC80" s="22"/>
      <c r="AD80" s="29"/>
      <c r="AE80" s="16"/>
      <c r="AF80" s="16"/>
      <c r="AG80" s="29"/>
      <c r="AH80" s="16"/>
      <c r="AI80" s="25"/>
    </row>
    <row r="81" spans="1:35" x14ac:dyDescent="0.25">
      <c r="A81" s="23">
        <v>42370.822916666475</v>
      </c>
      <c r="B81" s="25"/>
      <c r="C81" s="16"/>
      <c r="D81" s="16"/>
      <c r="E81" s="29"/>
      <c r="F81" s="16"/>
      <c r="G81" s="25"/>
      <c r="H81" s="16"/>
      <c r="I81" s="16"/>
      <c r="J81" s="29"/>
      <c r="K81" s="24"/>
      <c r="L81" s="25"/>
      <c r="M81" s="16"/>
      <c r="N81" s="29"/>
      <c r="O81" s="16"/>
      <c r="P81" s="25"/>
      <c r="Q81" s="16"/>
      <c r="R81" s="25"/>
      <c r="S81" s="16"/>
      <c r="T81" s="29"/>
      <c r="U81" s="16"/>
      <c r="V81" s="25"/>
      <c r="W81" s="22"/>
      <c r="X81" s="29"/>
      <c r="Y81" s="16"/>
      <c r="Z81" s="25"/>
      <c r="AA81" s="16"/>
      <c r="AB81" s="25"/>
      <c r="AC81" s="22"/>
      <c r="AD81" s="29"/>
      <c r="AE81" s="16"/>
      <c r="AF81" s="16"/>
      <c r="AG81" s="29"/>
      <c r="AH81" s="16"/>
      <c r="AI81" s="25"/>
    </row>
    <row r="82" spans="1:35" x14ac:dyDescent="0.25">
      <c r="A82" s="23">
        <v>42370.833333333139</v>
      </c>
      <c r="B82" s="25"/>
      <c r="C82" s="16"/>
      <c r="D82" s="16"/>
      <c r="E82" s="29"/>
      <c r="F82" s="16"/>
      <c r="G82" s="25"/>
      <c r="H82" s="16"/>
      <c r="I82" s="16"/>
      <c r="J82" s="29"/>
      <c r="K82" s="24"/>
      <c r="L82" s="25"/>
      <c r="M82" s="16"/>
      <c r="N82" s="29"/>
      <c r="O82" s="16"/>
      <c r="P82" s="25"/>
      <c r="Q82" s="16"/>
      <c r="R82" s="25"/>
      <c r="S82" s="16"/>
      <c r="T82" s="29"/>
      <c r="U82" s="16"/>
      <c r="V82" s="25"/>
      <c r="W82" s="22"/>
      <c r="X82" s="29"/>
      <c r="Y82" s="16"/>
      <c r="Z82" s="25"/>
      <c r="AA82" s="16"/>
      <c r="AB82" s="25"/>
      <c r="AC82" s="22"/>
      <c r="AD82" s="29"/>
      <c r="AE82" s="16"/>
      <c r="AF82" s="16"/>
      <c r="AG82" s="29"/>
      <c r="AH82" s="16"/>
      <c r="AI82" s="25"/>
    </row>
    <row r="83" spans="1:35" x14ac:dyDescent="0.25">
      <c r="A83" s="23">
        <v>42370.843749999804</v>
      </c>
      <c r="B83" s="25"/>
      <c r="C83" s="16"/>
      <c r="D83" s="16"/>
      <c r="E83" s="29"/>
      <c r="F83" s="16"/>
      <c r="G83" s="25"/>
      <c r="H83" s="16"/>
      <c r="I83" s="16"/>
      <c r="J83" s="29"/>
      <c r="K83" s="24"/>
      <c r="L83" s="25"/>
      <c r="M83" s="16"/>
      <c r="N83" s="29"/>
      <c r="O83" s="16"/>
      <c r="P83" s="25"/>
      <c r="Q83" s="16"/>
      <c r="R83" s="25"/>
      <c r="S83" s="16"/>
      <c r="T83" s="29"/>
      <c r="U83" s="16"/>
      <c r="V83" s="25"/>
      <c r="W83" s="22"/>
      <c r="X83" s="29"/>
      <c r="Y83" s="16"/>
      <c r="Z83" s="25"/>
      <c r="AA83" s="16"/>
      <c r="AB83" s="25"/>
      <c r="AC83" s="22"/>
      <c r="AD83" s="29"/>
      <c r="AE83" s="16"/>
      <c r="AF83" s="16"/>
      <c r="AG83" s="29"/>
      <c r="AH83" s="16"/>
      <c r="AI83" s="25"/>
    </row>
    <row r="84" spans="1:35" x14ac:dyDescent="0.25">
      <c r="A84" s="23">
        <v>42370.854166666468</v>
      </c>
      <c r="B84" s="25"/>
      <c r="C84" s="16"/>
      <c r="D84" s="16"/>
      <c r="E84" s="29"/>
      <c r="F84" s="16"/>
      <c r="G84" s="25"/>
      <c r="H84" s="16"/>
      <c r="I84" s="16"/>
      <c r="J84" s="29"/>
      <c r="K84" s="24"/>
      <c r="L84" s="25"/>
      <c r="M84" s="16"/>
      <c r="N84" s="29"/>
      <c r="O84" s="16"/>
      <c r="P84" s="25"/>
      <c r="Q84" s="16"/>
      <c r="R84" s="25"/>
      <c r="S84" s="16"/>
      <c r="T84" s="29"/>
      <c r="U84" s="16"/>
      <c r="V84" s="25"/>
      <c r="W84" s="22"/>
      <c r="X84" s="29"/>
      <c r="Y84" s="16"/>
      <c r="Z84" s="25"/>
      <c r="AA84" s="16"/>
      <c r="AB84" s="25"/>
      <c r="AC84" s="22"/>
      <c r="AD84" s="29"/>
      <c r="AE84" s="16"/>
      <c r="AF84" s="16"/>
      <c r="AG84" s="29"/>
      <c r="AH84" s="16"/>
      <c r="AI84" s="25"/>
    </row>
    <row r="85" spans="1:35" x14ac:dyDescent="0.25">
      <c r="A85" s="23">
        <v>42370.864583333132</v>
      </c>
      <c r="B85" s="25"/>
      <c r="C85" s="16"/>
      <c r="D85" s="16"/>
      <c r="E85" s="29"/>
      <c r="F85" s="16"/>
      <c r="G85" s="25"/>
      <c r="H85" s="16"/>
      <c r="I85" s="16"/>
      <c r="J85" s="29"/>
      <c r="K85" s="24"/>
      <c r="L85" s="25"/>
      <c r="M85" s="16"/>
      <c r="N85" s="29"/>
      <c r="O85" s="16"/>
      <c r="P85" s="25"/>
      <c r="Q85" s="16"/>
      <c r="R85" s="25"/>
      <c r="S85" s="16"/>
      <c r="T85" s="29"/>
      <c r="U85" s="16"/>
      <c r="V85" s="25"/>
      <c r="W85" s="22"/>
      <c r="X85" s="29"/>
      <c r="Y85" s="16"/>
      <c r="Z85" s="25"/>
      <c r="AA85" s="16"/>
      <c r="AB85" s="25"/>
      <c r="AC85" s="22"/>
      <c r="AD85" s="29"/>
      <c r="AE85" s="16"/>
      <c r="AF85" s="16"/>
      <c r="AG85" s="29"/>
      <c r="AH85" s="16"/>
      <c r="AI85" s="25"/>
    </row>
    <row r="86" spans="1:35" x14ac:dyDescent="0.25">
      <c r="A86" s="23">
        <v>42370.874999999796</v>
      </c>
      <c r="B86" s="25"/>
      <c r="C86" s="16"/>
      <c r="D86" s="16"/>
      <c r="E86" s="29"/>
      <c r="F86" s="16"/>
      <c r="G86" s="25"/>
      <c r="H86" s="16"/>
      <c r="I86" s="16"/>
      <c r="J86" s="29"/>
      <c r="K86" s="24"/>
      <c r="L86" s="25"/>
      <c r="M86" s="16"/>
      <c r="N86" s="29"/>
      <c r="O86" s="16"/>
      <c r="P86" s="25"/>
      <c r="Q86" s="16"/>
      <c r="R86" s="25"/>
      <c r="S86" s="16"/>
      <c r="T86" s="29"/>
      <c r="U86" s="16"/>
      <c r="V86" s="25"/>
      <c r="W86" s="22"/>
      <c r="X86" s="29"/>
      <c r="Y86" s="16"/>
      <c r="Z86" s="25"/>
      <c r="AA86" s="16"/>
      <c r="AB86" s="25"/>
      <c r="AC86" s="22"/>
      <c r="AD86" s="29"/>
      <c r="AE86" s="16"/>
      <c r="AF86" s="16"/>
      <c r="AG86" s="29"/>
      <c r="AH86" s="16"/>
      <c r="AI86" s="25"/>
    </row>
    <row r="87" spans="1:35" x14ac:dyDescent="0.25">
      <c r="A87" s="23">
        <v>42370.885416666461</v>
      </c>
      <c r="B87" s="25"/>
      <c r="C87" s="16"/>
      <c r="D87" s="16"/>
      <c r="E87" s="29"/>
      <c r="F87" s="16"/>
      <c r="G87" s="25"/>
      <c r="H87" s="16"/>
      <c r="I87" s="16"/>
      <c r="J87" s="29"/>
      <c r="K87" s="24"/>
      <c r="L87" s="25"/>
      <c r="M87" s="16"/>
      <c r="N87" s="29"/>
      <c r="O87" s="16"/>
      <c r="P87" s="25"/>
      <c r="Q87" s="16"/>
      <c r="R87" s="25"/>
      <c r="S87" s="16"/>
      <c r="T87" s="29"/>
      <c r="U87" s="16"/>
      <c r="V87" s="25"/>
      <c r="W87" s="22"/>
      <c r="X87" s="29"/>
      <c r="Y87" s="16"/>
      <c r="Z87" s="25"/>
      <c r="AA87" s="16"/>
      <c r="AB87" s="25"/>
      <c r="AC87" s="22"/>
      <c r="AD87" s="29"/>
      <c r="AE87" s="16"/>
      <c r="AF87" s="16"/>
      <c r="AG87" s="29"/>
      <c r="AH87" s="16"/>
      <c r="AI87" s="25"/>
    </row>
    <row r="88" spans="1:35" x14ac:dyDescent="0.25">
      <c r="A88" s="23">
        <v>42370.895833333125</v>
      </c>
      <c r="B88" s="25"/>
      <c r="C88" s="16"/>
      <c r="D88" s="16"/>
      <c r="E88" s="29"/>
      <c r="F88" s="16"/>
      <c r="G88" s="25"/>
      <c r="H88" s="16"/>
      <c r="I88" s="16"/>
      <c r="J88" s="29"/>
      <c r="K88" s="24"/>
      <c r="L88" s="25"/>
      <c r="M88" s="16"/>
      <c r="N88" s="29"/>
      <c r="O88" s="16"/>
      <c r="P88" s="25"/>
      <c r="Q88" s="16"/>
      <c r="R88" s="25"/>
      <c r="S88" s="16"/>
      <c r="T88" s="29"/>
      <c r="U88" s="16"/>
      <c r="V88" s="25"/>
      <c r="W88" s="22"/>
      <c r="X88" s="29"/>
      <c r="Y88" s="16"/>
      <c r="Z88" s="25"/>
      <c r="AA88" s="16"/>
      <c r="AB88" s="25"/>
      <c r="AC88" s="22"/>
      <c r="AD88" s="29"/>
      <c r="AE88" s="16"/>
      <c r="AF88" s="16"/>
      <c r="AG88" s="29"/>
      <c r="AH88" s="16"/>
      <c r="AI88" s="25"/>
    </row>
    <row r="89" spans="1:35" x14ac:dyDescent="0.25">
      <c r="A89" s="23">
        <v>42370.906249999789</v>
      </c>
      <c r="B89" s="25"/>
      <c r="C89" s="16"/>
      <c r="D89" s="16"/>
      <c r="E89" s="29"/>
      <c r="F89" s="16"/>
      <c r="G89" s="25"/>
      <c r="H89" s="16"/>
      <c r="I89" s="16"/>
      <c r="J89" s="29"/>
      <c r="K89" s="24"/>
      <c r="L89" s="25"/>
      <c r="M89" s="16"/>
      <c r="N89" s="29"/>
      <c r="O89" s="16"/>
      <c r="P89" s="25"/>
      <c r="Q89" s="16"/>
      <c r="R89" s="25"/>
      <c r="S89" s="16"/>
      <c r="T89" s="29"/>
      <c r="U89" s="16"/>
      <c r="V89" s="25"/>
      <c r="W89" s="22"/>
      <c r="X89" s="29"/>
      <c r="Y89" s="16"/>
      <c r="Z89" s="25"/>
      <c r="AA89" s="16"/>
      <c r="AB89" s="25"/>
      <c r="AC89" s="22"/>
      <c r="AD89" s="29"/>
      <c r="AE89" s="16"/>
      <c r="AF89" s="16"/>
      <c r="AG89" s="29"/>
      <c r="AH89" s="16"/>
      <c r="AI89" s="25"/>
    </row>
    <row r="90" spans="1:35" x14ac:dyDescent="0.25">
      <c r="A90" s="23">
        <v>42370.916666666453</v>
      </c>
      <c r="B90" s="25"/>
      <c r="C90" s="16"/>
      <c r="D90" s="16"/>
      <c r="E90" s="29"/>
      <c r="F90" s="16"/>
      <c r="G90" s="25"/>
      <c r="H90" s="16"/>
      <c r="I90" s="16"/>
      <c r="J90" s="29"/>
      <c r="K90" s="24"/>
      <c r="L90" s="25"/>
      <c r="M90" s="16"/>
      <c r="N90" s="29"/>
      <c r="O90" s="16"/>
      <c r="P90" s="25"/>
      <c r="Q90" s="16"/>
      <c r="R90" s="25"/>
      <c r="S90" s="16"/>
      <c r="T90" s="29"/>
      <c r="U90" s="16"/>
      <c r="V90" s="25"/>
      <c r="W90" s="22"/>
      <c r="X90" s="29"/>
      <c r="Y90" s="16"/>
      <c r="Z90" s="25"/>
      <c r="AA90" s="16"/>
      <c r="AB90" s="25"/>
      <c r="AC90" s="22"/>
      <c r="AD90" s="29"/>
      <c r="AE90" s="16"/>
      <c r="AF90" s="16"/>
      <c r="AG90" s="29"/>
      <c r="AH90" s="16"/>
      <c r="AI90" s="25"/>
    </row>
    <row r="91" spans="1:35" x14ac:dyDescent="0.25">
      <c r="A91" s="23">
        <v>42370.927083333117</v>
      </c>
      <c r="B91" s="25"/>
      <c r="C91" s="16"/>
      <c r="D91" s="16"/>
      <c r="E91" s="29"/>
      <c r="F91" s="16"/>
      <c r="G91" s="25"/>
      <c r="H91" s="16"/>
      <c r="I91" s="16"/>
      <c r="J91" s="29"/>
      <c r="K91" s="24"/>
      <c r="L91" s="25"/>
      <c r="M91" s="16"/>
      <c r="N91" s="29"/>
      <c r="O91" s="16"/>
      <c r="P91" s="25"/>
      <c r="Q91" s="16"/>
      <c r="R91" s="25"/>
      <c r="S91" s="16"/>
      <c r="T91" s="29"/>
      <c r="U91" s="16"/>
      <c r="V91" s="25"/>
      <c r="W91" s="22"/>
      <c r="X91" s="29"/>
      <c r="Y91" s="16"/>
      <c r="Z91" s="25"/>
      <c r="AA91" s="16"/>
      <c r="AB91" s="25"/>
      <c r="AC91" s="22"/>
      <c r="AD91" s="29"/>
      <c r="AE91" s="16"/>
      <c r="AF91" s="16"/>
      <c r="AG91" s="29"/>
      <c r="AH91" s="16"/>
      <c r="AI91" s="25"/>
    </row>
    <row r="92" spans="1:35" x14ac:dyDescent="0.25">
      <c r="A92" s="23">
        <v>42370.937499999782</v>
      </c>
      <c r="B92" s="25"/>
      <c r="C92" s="16"/>
      <c r="D92" s="16"/>
      <c r="E92" s="29"/>
      <c r="F92" s="16"/>
      <c r="G92" s="25"/>
      <c r="H92" s="16"/>
      <c r="I92" s="16"/>
      <c r="J92" s="29"/>
      <c r="K92" s="24"/>
      <c r="L92" s="25"/>
      <c r="M92" s="16"/>
      <c r="N92" s="29"/>
      <c r="O92" s="16"/>
      <c r="P92" s="25"/>
      <c r="Q92" s="16"/>
      <c r="R92" s="25"/>
      <c r="S92" s="16"/>
      <c r="T92" s="29"/>
      <c r="U92" s="16"/>
      <c r="V92" s="25"/>
      <c r="W92" s="22"/>
      <c r="X92" s="29"/>
      <c r="Y92" s="16"/>
      <c r="Z92" s="25"/>
      <c r="AA92" s="16"/>
      <c r="AB92" s="25"/>
      <c r="AC92" s="22"/>
      <c r="AD92" s="29"/>
      <c r="AE92" s="16"/>
      <c r="AF92" s="16"/>
      <c r="AG92" s="29"/>
      <c r="AH92" s="16"/>
      <c r="AI92" s="25"/>
    </row>
    <row r="93" spans="1:35" x14ac:dyDescent="0.25">
      <c r="A93" s="23">
        <v>42370.947916666446</v>
      </c>
      <c r="B93" s="25"/>
      <c r="C93" s="16"/>
      <c r="D93" s="16"/>
      <c r="E93" s="29"/>
      <c r="F93" s="16"/>
      <c r="G93" s="25"/>
      <c r="H93" s="16"/>
      <c r="I93" s="16"/>
      <c r="J93" s="29"/>
      <c r="K93" s="24"/>
      <c r="L93" s="25"/>
      <c r="M93" s="16"/>
      <c r="N93" s="29"/>
      <c r="O93" s="16"/>
      <c r="P93" s="25"/>
      <c r="Q93" s="16"/>
      <c r="R93" s="25"/>
      <c r="S93" s="16"/>
      <c r="T93" s="29"/>
      <c r="U93" s="16"/>
      <c r="V93" s="25"/>
      <c r="W93" s="22"/>
      <c r="X93" s="29"/>
      <c r="Y93" s="16"/>
      <c r="Z93" s="25"/>
      <c r="AA93" s="16"/>
      <c r="AB93" s="25"/>
      <c r="AC93" s="22"/>
      <c r="AD93" s="29"/>
      <c r="AE93" s="16"/>
      <c r="AF93" s="16"/>
      <c r="AG93" s="29"/>
      <c r="AH93" s="16"/>
      <c r="AI93" s="25"/>
    </row>
    <row r="94" spans="1:35" x14ac:dyDescent="0.25">
      <c r="A94" s="23">
        <v>42370.95833333311</v>
      </c>
      <c r="B94" s="25"/>
      <c r="C94" s="16"/>
      <c r="D94" s="16"/>
      <c r="E94" s="29"/>
      <c r="F94" s="16"/>
      <c r="G94" s="25"/>
      <c r="H94" s="16"/>
      <c r="I94" s="16"/>
      <c r="J94" s="29"/>
      <c r="K94" s="24"/>
      <c r="L94" s="25"/>
      <c r="M94" s="16"/>
      <c r="N94" s="29"/>
      <c r="O94" s="16"/>
      <c r="P94" s="25"/>
      <c r="Q94" s="16"/>
      <c r="R94" s="25"/>
      <c r="S94" s="16"/>
      <c r="T94" s="29"/>
      <c r="U94" s="16"/>
      <c r="V94" s="25"/>
      <c r="W94" s="22"/>
      <c r="X94" s="29"/>
      <c r="Y94" s="16"/>
      <c r="Z94" s="25"/>
      <c r="AA94" s="16"/>
      <c r="AB94" s="25"/>
      <c r="AC94" s="22"/>
      <c r="AD94" s="29"/>
      <c r="AE94" s="16"/>
      <c r="AF94" s="16"/>
      <c r="AG94" s="29"/>
      <c r="AH94" s="16"/>
      <c r="AI94" s="25"/>
    </row>
    <row r="95" spans="1:35" x14ac:dyDescent="0.25">
      <c r="A95" s="23">
        <v>42370.968749999774</v>
      </c>
      <c r="B95" s="25"/>
      <c r="C95" s="16"/>
      <c r="D95" s="16"/>
      <c r="E95" s="29"/>
      <c r="F95" s="16"/>
      <c r="G95" s="25"/>
      <c r="H95" s="16"/>
      <c r="I95" s="16"/>
      <c r="J95" s="29"/>
      <c r="K95" s="24"/>
      <c r="L95" s="25"/>
      <c r="M95" s="16"/>
      <c r="N95" s="29"/>
      <c r="O95" s="16"/>
      <c r="P95" s="25"/>
      <c r="Q95" s="16"/>
      <c r="R95" s="25"/>
      <c r="S95" s="16"/>
      <c r="T95" s="29"/>
      <c r="U95" s="16"/>
      <c r="V95" s="25"/>
      <c r="W95" s="22"/>
      <c r="X95" s="29"/>
      <c r="Y95" s="16"/>
      <c r="Z95" s="25"/>
      <c r="AA95" s="16"/>
      <c r="AB95" s="25"/>
      <c r="AC95" s="22"/>
      <c r="AD95" s="29"/>
      <c r="AE95" s="16"/>
      <c r="AF95" s="16"/>
      <c r="AG95" s="29"/>
      <c r="AH95" s="16"/>
      <c r="AI95" s="25"/>
    </row>
    <row r="96" spans="1:35" x14ac:dyDescent="0.25">
      <c r="A96" s="23">
        <v>42370.979166666439</v>
      </c>
      <c r="B96" s="25"/>
      <c r="C96" s="16"/>
      <c r="D96" s="16"/>
      <c r="E96" s="29"/>
      <c r="F96" s="16"/>
      <c r="G96" s="25"/>
      <c r="H96" s="16"/>
      <c r="I96" s="16"/>
      <c r="J96" s="29"/>
      <c r="K96" s="24"/>
      <c r="L96" s="25"/>
      <c r="M96" s="16"/>
      <c r="N96" s="29"/>
      <c r="O96" s="16"/>
      <c r="P96" s="25"/>
      <c r="Q96" s="16"/>
      <c r="R96" s="25"/>
      <c r="S96" s="16"/>
      <c r="T96" s="29"/>
      <c r="U96" s="16"/>
      <c r="V96" s="25"/>
      <c r="W96" s="22"/>
      <c r="X96" s="29"/>
      <c r="Y96" s="16"/>
      <c r="Z96" s="25"/>
      <c r="AA96" s="16"/>
      <c r="AB96" s="25"/>
      <c r="AC96" s="22"/>
      <c r="AD96" s="29"/>
      <c r="AE96" s="16"/>
      <c r="AF96" s="16"/>
      <c r="AG96" s="29"/>
      <c r="AH96" s="16"/>
      <c r="AI96" s="25"/>
    </row>
    <row r="97" spans="1:35" s="14" customFormat="1" x14ac:dyDescent="0.25">
      <c r="A97" s="23">
        <v>42370.989583333103</v>
      </c>
      <c r="B97" s="25"/>
      <c r="C97" s="16"/>
      <c r="D97" s="16"/>
      <c r="E97" s="29"/>
      <c r="F97" s="16"/>
      <c r="G97" s="25"/>
      <c r="H97" s="16"/>
      <c r="I97" s="16"/>
      <c r="J97" s="29"/>
      <c r="K97" s="24"/>
      <c r="L97" s="25"/>
      <c r="M97" s="16"/>
      <c r="N97" s="29"/>
      <c r="O97" s="16"/>
      <c r="P97" s="25"/>
      <c r="Q97" s="16"/>
      <c r="R97" s="25"/>
      <c r="S97" s="16"/>
      <c r="T97" s="29"/>
      <c r="U97" s="16"/>
      <c r="V97" s="25"/>
      <c r="W97" s="22"/>
      <c r="X97" s="29"/>
      <c r="Y97" s="16"/>
      <c r="Z97" s="25"/>
      <c r="AA97" s="16"/>
      <c r="AB97" s="25"/>
      <c r="AC97" s="22"/>
      <c r="AD97" s="29"/>
      <c r="AE97" s="16"/>
      <c r="AF97" s="16"/>
      <c r="AG97" s="29"/>
      <c r="AH97" s="16"/>
      <c r="AI97" s="25"/>
    </row>
    <row r="98" spans="1:35" s="14" customFormat="1" x14ac:dyDescent="0.25">
      <c r="A98" s="23">
        <v>42370.999999999767</v>
      </c>
      <c r="B98" s="25"/>
      <c r="C98" s="16"/>
      <c r="D98" s="16"/>
      <c r="E98" s="29"/>
      <c r="F98" s="16"/>
      <c r="G98" s="25"/>
      <c r="H98" s="16"/>
      <c r="I98" s="16"/>
      <c r="J98" s="29"/>
      <c r="K98" s="24"/>
      <c r="L98" s="25"/>
      <c r="M98" s="16"/>
      <c r="N98" s="29"/>
      <c r="O98" s="16"/>
      <c r="P98" s="25"/>
      <c r="Q98" s="16"/>
      <c r="R98" s="25"/>
      <c r="S98" s="16"/>
      <c r="T98" s="29"/>
      <c r="U98" s="16"/>
      <c r="V98" s="25"/>
      <c r="W98" s="22"/>
      <c r="X98" s="29"/>
      <c r="Y98" s="16"/>
      <c r="Z98" s="25"/>
      <c r="AA98" s="16"/>
      <c r="AB98" s="25"/>
      <c r="AC98" s="22"/>
      <c r="AD98" s="29"/>
      <c r="AE98" s="16"/>
      <c r="AF98" s="16"/>
      <c r="AG98" s="29"/>
      <c r="AH98" s="16"/>
      <c r="AI98" s="25"/>
    </row>
    <row r="99" spans="1:35" s="14" customFormat="1" x14ac:dyDescent="0.25">
      <c r="A99" s="23">
        <v>42371.010416666431</v>
      </c>
      <c r="B99" s="25"/>
      <c r="C99" s="16"/>
      <c r="D99" s="16"/>
      <c r="E99" s="29"/>
      <c r="F99" s="16"/>
      <c r="G99" s="25"/>
      <c r="H99" s="16"/>
      <c r="I99" s="16"/>
      <c r="J99" s="29"/>
      <c r="K99" s="24"/>
      <c r="L99" s="25"/>
      <c r="M99" s="16"/>
      <c r="N99" s="29"/>
      <c r="O99" s="16"/>
      <c r="P99" s="25"/>
      <c r="Q99" s="16"/>
      <c r="R99" s="25"/>
      <c r="S99" s="16"/>
      <c r="T99" s="29"/>
      <c r="U99" s="16"/>
      <c r="V99" s="25"/>
      <c r="W99" s="22"/>
      <c r="X99" s="29"/>
      <c r="Y99" s="16"/>
      <c r="Z99" s="25"/>
      <c r="AA99" s="16"/>
      <c r="AB99" s="25"/>
      <c r="AC99" s="22"/>
      <c r="AD99" s="29"/>
      <c r="AE99" s="16"/>
      <c r="AF99" s="16"/>
      <c r="AG99" s="29"/>
      <c r="AH99" s="16"/>
      <c r="AI99" s="25"/>
    </row>
    <row r="100" spans="1:35" s="14" customFormat="1" x14ac:dyDescent="0.25">
      <c r="A100" s="23">
        <v>42371.020833333096</v>
      </c>
      <c r="B100" s="25"/>
      <c r="C100" s="16"/>
      <c r="D100" s="16"/>
      <c r="E100" s="29"/>
      <c r="F100" s="16"/>
      <c r="G100" s="25"/>
      <c r="H100" s="16"/>
      <c r="I100" s="16"/>
      <c r="J100" s="29"/>
      <c r="K100" s="24"/>
      <c r="L100" s="25"/>
      <c r="M100" s="16"/>
      <c r="N100" s="29"/>
      <c r="O100" s="16"/>
      <c r="P100" s="25"/>
      <c r="Q100" s="16"/>
      <c r="R100" s="25"/>
      <c r="S100" s="16"/>
      <c r="T100" s="29"/>
      <c r="U100" s="16"/>
      <c r="V100" s="25"/>
      <c r="W100" s="22"/>
      <c r="X100" s="29"/>
      <c r="Y100" s="16"/>
      <c r="Z100" s="25"/>
      <c r="AA100" s="16"/>
      <c r="AB100" s="25"/>
      <c r="AC100" s="22"/>
      <c r="AD100" s="29"/>
      <c r="AE100" s="16"/>
      <c r="AF100" s="16"/>
      <c r="AG100" s="29"/>
      <c r="AH100" s="16"/>
      <c r="AI100" s="25"/>
    </row>
    <row r="101" spans="1:35" s="14" customFormat="1" x14ac:dyDescent="0.25">
      <c r="A101" s="23">
        <v>42371.03124999976</v>
      </c>
      <c r="B101" s="25"/>
      <c r="C101" s="16"/>
      <c r="D101" s="16"/>
      <c r="E101" s="29"/>
      <c r="F101" s="16"/>
      <c r="G101" s="25"/>
      <c r="H101" s="16"/>
      <c r="I101" s="16"/>
      <c r="J101" s="29"/>
      <c r="K101" s="24"/>
      <c r="L101" s="25"/>
      <c r="M101" s="16"/>
      <c r="N101" s="29"/>
      <c r="O101" s="16"/>
      <c r="P101" s="25"/>
      <c r="Q101" s="16"/>
      <c r="R101" s="25"/>
      <c r="S101" s="16"/>
      <c r="T101" s="29"/>
      <c r="U101" s="16"/>
      <c r="V101" s="25"/>
      <c r="W101" s="22"/>
      <c r="X101" s="29"/>
      <c r="Y101" s="16"/>
      <c r="Z101" s="25"/>
      <c r="AA101" s="16"/>
      <c r="AB101" s="25"/>
      <c r="AC101" s="22"/>
      <c r="AD101" s="29"/>
      <c r="AE101" s="16"/>
      <c r="AF101" s="16"/>
      <c r="AG101" s="29"/>
      <c r="AH101" s="16"/>
      <c r="AI101" s="25"/>
    </row>
    <row r="102" spans="1:35" s="14" customFormat="1" x14ac:dyDescent="0.25">
      <c r="A102" s="23">
        <v>42371.041666666424</v>
      </c>
      <c r="B102" s="25"/>
      <c r="C102" s="16"/>
      <c r="D102" s="16"/>
      <c r="E102" s="29"/>
      <c r="F102" s="16"/>
      <c r="G102" s="25"/>
      <c r="H102" s="16"/>
      <c r="I102" s="16"/>
      <c r="J102" s="29"/>
      <c r="K102" s="24"/>
      <c r="L102" s="25"/>
      <c r="M102" s="16"/>
      <c r="N102" s="29"/>
      <c r="O102" s="16"/>
      <c r="P102" s="25"/>
      <c r="Q102" s="16"/>
      <c r="R102" s="25"/>
      <c r="S102" s="16"/>
      <c r="T102" s="29"/>
      <c r="U102" s="16"/>
      <c r="V102" s="25"/>
      <c r="W102" s="22"/>
      <c r="X102" s="29"/>
      <c r="Y102" s="16"/>
      <c r="Z102" s="25"/>
      <c r="AA102" s="16"/>
      <c r="AB102" s="25"/>
      <c r="AC102" s="22"/>
      <c r="AD102" s="29"/>
      <c r="AE102" s="16"/>
      <c r="AF102" s="16"/>
      <c r="AG102" s="29"/>
      <c r="AH102" s="16"/>
      <c r="AI102" s="25"/>
    </row>
    <row r="103" spans="1:35" s="14" customFormat="1" x14ac:dyDescent="0.25">
      <c r="A103" s="23">
        <v>42371.052083333088</v>
      </c>
      <c r="B103" s="25"/>
      <c r="C103" s="16"/>
      <c r="D103" s="16"/>
      <c r="E103" s="29"/>
      <c r="F103" s="16"/>
      <c r="G103" s="25"/>
      <c r="H103" s="16"/>
      <c r="I103" s="16"/>
      <c r="J103" s="29"/>
      <c r="K103" s="24"/>
      <c r="L103" s="25"/>
      <c r="M103" s="16"/>
      <c r="N103" s="29"/>
      <c r="O103" s="16"/>
      <c r="P103" s="25"/>
      <c r="Q103" s="16"/>
      <c r="R103" s="25"/>
      <c r="S103" s="16"/>
      <c r="T103" s="29"/>
      <c r="U103" s="16"/>
      <c r="V103" s="25"/>
      <c r="W103" s="22"/>
      <c r="X103" s="29"/>
      <c r="Y103" s="16"/>
      <c r="Z103" s="25"/>
      <c r="AA103" s="16"/>
      <c r="AB103" s="25"/>
      <c r="AC103" s="22"/>
      <c r="AD103" s="29"/>
      <c r="AE103" s="16"/>
      <c r="AF103" s="16"/>
      <c r="AG103" s="29"/>
      <c r="AH103" s="16"/>
      <c r="AI103" s="25"/>
    </row>
    <row r="104" spans="1:35" s="14" customFormat="1" x14ac:dyDescent="0.25">
      <c r="A104" s="23">
        <v>42371.062499999753</v>
      </c>
      <c r="B104" s="25"/>
      <c r="C104" s="16"/>
      <c r="D104" s="16"/>
      <c r="E104" s="29"/>
      <c r="F104" s="16"/>
      <c r="G104" s="25"/>
      <c r="H104" s="16"/>
      <c r="I104" s="16"/>
      <c r="J104" s="29"/>
      <c r="K104" s="24"/>
      <c r="L104" s="25"/>
      <c r="M104" s="16"/>
      <c r="N104" s="29"/>
      <c r="O104" s="16"/>
      <c r="P104" s="25"/>
      <c r="Q104" s="16"/>
      <c r="R104" s="25"/>
      <c r="S104" s="16"/>
      <c r="T104" s="29"/>
      <c r="U104" s="16"/>
      <c r="V104" s="25"/>
      <c r="W104" s="22"/>
      <c r="X104" s="29"/>
      <c r="Y104" s="16"/>
      <c r="Z104" s="25"/>
      <c r="AA104" s="16"/>
      <c r="AB104" s="25"/>
      <c r="AC104" s="22"/>
      <c r="AD104" s="29"/>
      <c r="AE104" s="16"/>
      <c r="AF104" s="16"/>
      <c r="AG104" s="29"/>
      <c r="AH104" s="16"/>
      <c r="AI104" s="25"/>
    </row>
    <row r="105" spans="1:35" s="14" customFormat="1" x14ac:dyDescent="0.25">
      <c r="A105" s="23">
        <v>42371.072916666417</v>
      </c>
      <c r="B105" s="25"/>
      <c r="C105" s="16"/>
      <c r="D105" s="16"/>
      <c r="E105" s="29"/>
      <c r="F105" s="16"/>
      <c r="G105" s="25"/>
      <c r="H105" s="16"/>
      <c r="I105" s="16"/>
      <c r="J105" s="29"/>
      <c r="K105" s="24"/>
      <c r="L105" s="25"/>
      <c r="M105" s="16"/>
      <c r="N105" s="29"/>
      <c r="O105" s="16"/>
      <c r="P105" s="25"/>
      <c r="Q105" s="16"/>
      <c r="R105" s="25"/>
      <c r="S105" s="16"/>
      <c r="T105" s="29"/>
      <c r="U105" s="16"/>
      <c r="V105" s="25"/>
      <c r="W105" s="22"/>
      <c r="X105" s="29"/>
      <c r="Y105" s="16"/>
      <c r="Z105" s="25"/>
      <c r="AA105" s="16"/>
      <c r="AB105" s="25"/>
      <c r="AC105" s="22"/>
      <c r="AD105" s="29"/>
      <c r="AE105" s="16"/>
      <c r="AF105" s="16"/>
      <c r="AG105" s="29"/>
      <c r="AH105" s="16"/>
      <c r="AI105" s="25"/>
    </row>
    <row r="106" spans="1:35" s="14" customFormat="1" x14ac:dyDescent="0.25">
      <c r="A106" s="23">
        <v>42371.083333333081</v>
      </c>
      <c r="B106" s="25"/>
      <c r="C106" s="16"/>
      <c r="D106" s="16"/>
      <c r="E106" s="29"/>
      <c r="F106" s="16"/>
      <c r="G106" s="25"/>
      <c r="H106" s="16"/>
      <c r="I106" s="16"/>
      <c r="J106" s="29"/>
      <c r="K106" s="24"/>
      <c r="L106" s="25"/>
      <c r="M106" s="16"/>
      <c r="N106" s="29"/>
      <c r="O106" s="16"/>
      <c r="P106" s="25"/>
      <c r="Q106" s="16"/>
      <c r="R106" s="25"/>
      <c r="S106" s="16"/>
      <c r="T106" s="29"/>
      <c r="U106" s="16"/>
      <c r="V106" s="25"/>
      <c r="W106" s="22"/>
      <c r="X106" s="29"/>
      <c r="Y106" s="16"/>
      <c r="Z106" s="25"/>
      <c r="AA106" s="16"/>
      <c r="AB106" s="25"/>
      <c r="AC106" s="22"/>
      <c r="AD106" s="29"/>
      <c r="AE106" s="16"/>
      <c r="AF106" s="16"/>
      <c r="AG106" s="29"/>
      <c r="AH106" s="16"/>
      <c r="AI106" s="25"/>
    </row>
    <row r="107" spans="1:35" s="14" customFormat="1" x14ac:dyDescent="0.25">
      <c r="A107" s="23">
        <v>42371.093749999745</v>
      </c>
      <c r="B107" s="25"/>
      <c r="C107" s="16"/>
      <c r="D107" s="16"/>
      <c r="E107" s="29"/>
      <c r="F107" s="16"/>
      <c r="G107" s="25"/>
      <c r="H107" s="16"/>
      <c r="I107" s="16"/>
      <c r="J107" s="29"/>
      <c r="K107" s="24"/>
      <c r="L107" s="25"/>
      <c r="M107" s="16"/>
      <c r="N107" s="29"/>
      <c r="O107" s="16"/>
      <c r="P107" s="25"/>
      <c r="Q107" s="16"/>
      <c r="R107" s="25"/>
      <c r="S107" s="16"/>
      <c r="T107" s="29"/>
      <c r="U107" s="16"/>
      <c r="V107" s="25"/>
      <c r="W107" s="22"/>
      <c r="X107" s="29"/>
      <c r="Y107" s="16"/>
      <c r="Z107" s="25"/>
      <c r="AA107" s="16"/>
      <c r="AB107" s="25"/>
      <c r="AC107" s="22"/>
      <c r="AD107" s="29"/>
      <c r="AE107" s="16"/>
      <c r="AF107" s="16"/>
      <c r="AG107" s="29"/>
      <c r="AH107" s="16"/>
      <c r="AI107" s="25"/>
    </row>
    <row r="108" spans="1:35" s="14" customFormat="1" x14ac:dyDescent="0.25">
      <c r="A108" s="23">
        <v>42371.10416666641</v>
      </c>
      <c r="B108" s="25"/>
      <c r="C108" s="16"/>
      <c r="D108" s="16"/>
      <c r="E108" s="29"/>
      <c r="F108" s="16"/>
      <c r="G108" s="25"/>
      <c r="H108" s="16"/>
      <c r="I108" s="16"/>
      <c r="J108" s="29"/>
      <c r="K108" s="24"/>
      <c r="L108" s="25"/>
      <c r="M108" s="16"/>
      <c r="N108" s="29"/>
      <c r="O108" s="16"/>
      <c r="P108" s="25"/>
      <c r="Q108" s="16"/>
      <c r="R108" s="25"/>
      <c r="S108" s="16"/>
      <c r="T108" s="29"/>
      <c r="U108" s="16"/>
      <c r="V108" s="25"/>
      <c r="W108" s="22"/>
      <c r="X108" s="29"/>
      <c r="Y108" s="16"/>
      <c r="Z108" s="25"/>
      <c r="AA108" s="16"/>
      <c r="AB108" s="25"/>
      <c r="AC108" s="22"/>
      <c r="AD108" s="29"/>
      <c r="AE108" s="16"/>
      <c r="AF108" s="16"/>
      <c r="AG108" s="29"/>
      <c r="AH108" s="16"/>
      <c r="AI108" s="25"/>
    </row>
    <row r="109" spans="1:35" s="14" customFormat="1" x14ac:dyDescent="0.25">
      <c r="A109" s="23">
        <v>42371.114583333074</v>
      </c>
      <c r="B109" s="25"/>
      <c r="C109" s="16"/>
      <c r="D109" s="16"/>
      <c r="E109" s="29"/>
      <c r="F109" s="16"/>
      <c r="G109" s="25"/>
      <c r="H109" s="16"/>
      <c r="I109" s="16"/>
      <c r="J109" s="29"/>
      <c r="K109" s="24"/>
      <c r="L109" s="25"/>
      <c r="M109" s="16"/>
      <c r="N109" s="29"/>
      <c r="O109" s="16"/>
      <c r="P109" s="25"/>
      <c r="Q109" s="16"/>
      <c r="R109" s="25"/>
      <c r="S109" s="16"/>
      <c r="T109" s="29"/>
      <c r="U109" s="16"/>
      <c r="V109" s="25"/>
      <c r="W109" s="22"/>
      <c r="X109" s="29"/>
      <c r="Y109" s="16"/>
      <c r="Z109" s="25"/>
      <c r="AA109" s="16"/>
      <c r="AB109" s="25"/>
      <c r="AC109" s="22"/>
      <c r="AD109" s="29"/>
      <c r="AE109" s="16"/>
      <c r="AF109" s="16"/>
      <c r="AG109" s="29"/>
      <c r="AH109" s="16"/>
      <c r="AI109" s="25"/>
    </row>
    <row r="110" spans="1:35" x14ac:dyDescent="0.25">
      <c r="A110" s="23">
        <v>42371.124999999738</v>
      </c>
      <c r="B110" s="25"/>
      <c r="C110" s="16"/>
      <c r="D110" s="16"/>
      <c r="E110" s="29"/>
      <c r="F110" s="16"/>
      <c r="G110" s="25"/>
      <c r="H110" s="16"/>
      <c r="I110" s="16"/>
      <c r="J110" s="29"/>
      <c r="K110" s="24"/>
      <c r="L110" s="25"/>
      <c r="M110" s="16"/>
      <c r="N110" s="29"/>
      <c r="O110" s="16"/>
      <c r="P110" s="25"/>
      <c r="Q110" s="16"/>
      <c r="R110" s="25"/>
      <c r="S110" s="16"/>
      <c r="T110" s="29"/>
      <c r="U110" s="16"/>
      <c r="V110" s="25"/>
      <c r="W110" s="22"/>
      <c r="X110" s="29"/>
      <c r="Y110" s="16"/>
      <c r="Z110" s="25"/>
      <c r="AA110" s="16"/>
      <c r="AB110" s="25"/>
      <c r="AC110" s="22"/>
      <c r="AD110" s="29"/>
      <c r="AE110" s="16"/>
      <c r="AF110" s="16"/>
      <c r="AG110" s="29"/>
      <c r="AH110" s="16"/>
      <c r="AI110" s="25"/>
    </row>
    <row r="111" spans="1:35" x14ac:dyDescent="0.25">
      <c r="A111" s="23">
        <v>42371.135416666402</v>
      </c>
      <c r="B111" s="26"/>
      <c r="C111" s="16"/>
      <c r="D111" s="16"/>
      <c r="E111" s="30"/>
      <c r="F111" s="16"/>
      <c r="G111" s="26"/>
      <c r="H111" s="16"/>
      <c r="I111" s="16"/>
      <c r="J111" s="30"/>
      <c r="K111" s="24"/>
      <c r="L111" s="26"/>
      <c r="M111" s="16"/>
      <c r="N111" s="30"/>
      <c r="O111" s="16"/>
      <c r="P111" s="26"/>
      <c r="Q111" s="16"/>
      <c r="R111" s="26"/>
      <c r="S111" s="16"/>
      <c r="T111" s="30"/>
      <c r="U111" s="16"/>
      <c r="V111" s="26"/>
      <c r="W111" s="22"/>
      <c r="X111" s="30"/>
      <c r="Y111" s="16"/>
      <c r="Z111" s="26"/>
      <c r="AA111" s="16"/>
      <c r="AB111" s="26"/>
      <c r="AC111" s="22"/>
      <c r="AD111" s="30"/>
      <c r="AE111" s="16"/>
      <c r="AF111" s="16"/>
      <c r="AG111" s="30"/>
      <c r="AH111" s="16"/>
      <c r="AI111" s="26"/>
    </row>
    <row r="112" spans="1:35" x14ac:dyDescent="0.25">
      <c r="A112" s="23">
        <v>42371.145833333067</v>
      </c>
      <c r="B112" s="27"/>
      <c r="C112" s="16"/>
      <c r="D112" s="16"/>
      <c r="E112" s="31"/>
      <c r="F112" s="16"/>
      <c r="G112" s="27"/>
      <c r="H112" s="16"/>
      <c r="I112" s="16"/>
      <c r="J112" s="31"/>
      <c r="K112" s="24"/>
      <c r="L112" s="27"/>
      <c r="M112" s="16"/>
      <c r="N112" s="31"/>
      <c r="O112" s="16"/>
      <c r="P112" s="27"/>
      <c r="Q112" s="16"/>
      <c r="R112" s="27"/>
      <c r="S112" s="16"/>
      <c r="T112" s="31"/>
      <c r="U112" s="16"/>
      <c r="V112" s="27"/>
      <c r="W112" s="22"/>
      <c r="X112" s="31"/>
      <c r="Y112" s="16"/>
      <c r="Z112" s="27"/>
      <c r="AA112" s="16"/>
      <c r="AB112" s="27"/>
      <c r="AC112" s="22"/>
      <c r="AD112" s="31"/>
      <c r="AE112" s="16"/>
      <c r="AF112" s="16"/>
      <c r="AG112" s="31"/>
      <c r="AH112" s="16"/>
      <c r="AI112" s="27"/>
    </row>
    <row r="113" spans="1:35" x14ac:dyDescent="0.25">
      <c r="A113" s="23">
        <v>42371.156249999731</v>
      </c>
      <c r="B113" s="27"/>
      <c r="C113" s="16"/>
      <c r="D113" s="16"/>
      <c r="E113" s="31"/>
      <c r="F113" s="16"/>
      <c r="G113" s="27"/>
      <c r="H113" s="16"/>
      <c r="I113" s="16"/>
      <c r="J113" s="31"/>
      <c r="K113" s="16"/>
      <c r="L113" s="27"/>
      <c r="M113" s="16"/>
      <c r="N113" s="31"/>
      <c r="O113" s="16"/>
      <c r="P113" s="27"/>
      <c r="Q113" s="16"/>
      <c r="R113" s="27"/>
      <c r="S113" s="16"/>
      <c r="T113" s="31"/>
      <c r="U113" s="16"/>
      <c r="V113" s="27"/>
      <c r="W113" s="22"/>
      <c r="X113" s="31"/>
      <c r="Y113" s="16"/>
      <c r="Z113" s="27"/>
      <c r="AA113" s="16"/>
      <c r="AB113" s="27"/>
      <c r="AC113" s="22"/>
      <c r="AD113" s="31"/>
      <c r="AE113" s="16"/>
      <c r="AF113" s="16"/>
      <c r="AG113" s="31"/>
      <c r="AH113" s="16"/>
      <c r="AI113" s="27"/>
    </row>
    <row r="114" spans="1:35" x14ac:dyDescent="0.25">
      <c r="A114" s="23">
        <v>42371.166666666395</v>
      </c>
      <c r="B114" s="28"/>
      <c r="C114" s="16"/>
      <c r="D114" s="16"/>
      <c r="E114" s="32"/>
      <c r="F114" s="16"/>
      <c r="G114" s="28"/>
      <c r="J114" s="32"/>
      <c r="K114" s="16"/>
      <c r="L114" s="28"/>
      <c r="M114" s="16"/>
      <c r="N114" s="32"/>
      <c r="O114" s="16"/>
      <c r="P114" s="28"/>
      <c r="Q114" s="16"/>
      <c r="R114" s="28"/>
      <c r="S114" s="16"/>
      <c r="T114" s="32"/>
      <c r="U114" s="16"/>
      <c r="V114" s="28"/>
      <c r="W114" s="22"/>
      <c r="X114" s="32"/>
      <c r="Y114" s="16"/>
      <c r="Z114" s="28"/>
      <c r="AA114" s="16"/>
      <c r="AB114" s="28"/>
      <c r="AC114" s="22"/>
      <c r="AD114" s="32"/>
      <c r="AE114" s="16"/>
      <c r="AF114" s="16"/>
      <c r="AG114" s="32"/>
      <c r="AH114" s="16"/>
      <c r="AI114" s="28"/>
    </row>
    <row r="115" spans="1:35" hidden="1" x14ac:dyDescent="0.25">
      <c r="O115" s="16"/>
    </row>
    <row r="116" spans="1:35" hidden="1" x14ac:dyDescent="0.25">
      <c r="O116" s="16"/>
    </row>
    <row r="117" spans="1:35" hidden="1" x14ac:dyDescent="0.25">
      <c r="O117" s="16"/>
    </row>
    <row r="118" spans="1:35" hidden="1" x14ac:dyDescent="0.25"/>
  </sheetData>
  <sortState ref="AC2:AC12">
    <sortCondition ref="AC2:AC12"/>
  </sortState>
  <mergeCells count="1">
    <mergeCell ref="AE1:AF1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33</vt:i4>
      </vt:variant>
    </vt:vector>
  </HeadingPairs>
  <TitlesOfParts>
    <vt:vector size="37" baseType="lpstr">
      <vt:lpstr>Output</vt:lpstr>
      <vt:lpstr>Overtime</vt:lpstr>
      <vt:lpstr>Rate Matrix</vt:lpstr>
      <vt:lpstr>Pick Sheet</vt:lpstr>
      <vt:lpstr>Clear1</vt:lpstr>
      <vt:lpstr>Clear10</vt:lpstr>
      <vt:lpstr>Clear11</vt:lpstr>
      <vt:lpstr>Clear12</vt:lpstr>
      <vt:lpstr>Clear13</vt:lpstr>
      <vt:lpstr>Clear14</vt:lpstr>
      <vt:lpstr>Clear15</vt:lpstr>
      <vt:lpstr>Clear16</vt:lpstr>
      <vt:lpstr>Clear17</vt:lpstr>
      <vt:lpstr>Clear18</vt:lpstr>
      <vt:lpstr>Clear19</vt:lpstr>
      <vt:lpstr>Clear2</vt:lpstr>
      <vt:lpstr>Clear20</vt:lpstr>
      <vt:lpstr>Clear21</vt:lpstr>
      <vt:lpstr>Clear23</vt:lpstr>
      <vt:lpstr>Clear3</vt:lpstr>
      <vt:lpstr>Clear4</vt:lpstr>
      <vt:lpstr>Clear5</vt:lpstr>
      <vt:lpstr>Clear6</vt:lpstr>
      <vt:lpstr>Clear7</vt:lpstr>
      <vt:lpstr>Clear8</vt:lpstr>
      <vt:lpstr>Clear9</vt:lpstr>
      <vt:lpstr>DateField</vt:lpstr>
      <vt:lpstr>FileName</vt:lpstr>
      <vt:lpstr>Mandatory1</vt:lpstr>
      <vt:lpstr>Mandatory2</vt:lpstr>
      <vt:lpstr>Mandatory3</vt:lpstr>
      <vt:lpstr>Mandatory4</vt:lpstr>
      <vt:lpstr>Mandatory5</vt:lpstr>
      <vt:lpstr>Mandatory6</vt:lpstr>
      <vt:lpstr>Output!Print_Area</vt:lpstr>
      <vt:lpstr>ServiceMan</vt:lpstr>
      <vt:lpstr>SoNo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Mohamad Masri</dc:creator>
  <cp:lastModifiedBy>CB</cp:lastModifiedBy>
  <cp:lastPrinted>2016-01-15T19:02:47Z</cp:lastPrinted>
  <dcterms:created xsi:type="dcterms:W3CDTF">2015-11-23T17:22:57Z</dcterms:created>
  <dcterms:modified xsi:type="dcterms:W3CDTF">2016-05-12T17:33:13Z</dcterms:modified>
</cp:coreProperties>
</file>