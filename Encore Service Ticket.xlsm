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6170" windowHeight="6135"/>
  </bookViews>
  <sheets>
    <sheet name="Output" sheetId="4" r:id="rId1"/>
    <sheet name="Overtime" sheetId="9" r:id="rId2"/>
    <sheet name="Rate Matrix" sheetId="7" state="hidden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Sheet'!$K$3,0,0,COUNTA('Pick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25725"/>
</workbook>
</file>

<file path=xl/calcChain.xml><?xml version="1.0" encoding="utf-8"?>
<calcChain xmlns="http://schemas.openxmlformats.org/spreadsheetml/2006/main">
  <c r="AP7" i="4"/>
  <c r="AA18"/>
  <c r="E5" i="9"/>
  <c r="B5"/>
  <c r="E4"/>
  <c r="B4"/>
  <c r="E3"/>
  <c r="B3"/>
  <c r="G8" l="1"/>
  <c r="F8"/>
  <c r="E8"/>
  <c r="I5"/>
  <c r="I3"/>
  <c r="K9" s="1"/>
  <c r="I4"/>
  <c r="F13"/>
  <c r="G13"/>
  <c r="E13"/>
  <c r="K10" l="1"/>
  <c r="I6"/>
  <c r="I9" s="1"/>
  <c r="L9" s="1"/>
  <c r="M9" s="1"/>
  <c r="E9" s="1"/>
  <c r="K11"/>
  <c r="M10" l="1"/>
  <c r="F9" s="1"/>
  <c r="L10"/>
  <c r="I3" i="5"/>
  <c r="I4" s="1"/>
  <c r="I5" s="1"/>
  <c r="I6" s="1"/>
  <c r="I7" s="1"/>
  <c r="I8" s="1"/>
  <c r="I9" s="1"/>
  <c r="I10" s="1"/>
  <c r="L11" i="9" l="1"/>
  <c r="M11" s="1"/>
  <c r="G9" s="1"/>
  <c r="B15" i="4"/>
  <c r="O2" l="1"/>
  <c r="AR25" l="1"/>
  <c r="AR24"/>
  <c r="AR23"/>
  <c r="AP29"/>
  <c r="AP32"/>
  <c r="AR32" s="1"/>
  <c r="AP31"/>
  <c r="AR31" s="1"/>
  <c r="AP30"/>
  <c r="AR30" s="1"/>
  <c r="AR29"/>
  <c r="AX40"/>
  <c r="AX20"/>
  <c r="AX21" l="1"/>
  <c r="AX19"/>
  <c r="AX31" s="1"/>
  <c r="AX18"/>
  <c r="AX15"/>
  <c r="AX37" l="1"/>
  <c r="AX35"/>
  <c r="AX33"/>
  <c r="AX29"/>
  <c r="AX26"/>
  <c r="AX11"/>
  <c r="AA21" l="1"/>
  <c r="AA22" s="1"/>
  <c r="AO3"/>
  <c r="AX17" l="1"/>
  <c r="AX42" s="1"/>
  <c r="AX43" s="1"/>
  <c r="E10" i="9" l="1"/>
  <c r="E11" s="1"/>
  <c r="E12" s="1"/>
  <c r="F10"/>
  <c r="F11" s="1"/>
  <c r="F12" s="1"/>
  <c r="G10"/>
  <c r="G11" s="1"/>
  <c r="G12" s="1"/>
  <c r="K22" i="4" l="1"/>
  <c r="K21"/>
  <c r="K23"/>
  <c r="Q23" s="1"/>
  <c r="H23"/>
  <c r="N23" s="1"/>
  <c r="H21"/>
  <c r="N21" s="1"/>
  <c r="Q22" l="1"/>
  <c r="H22"/>
  <c r="Q21"/>
  <c r="K24"/>
  <c r="AX24" s="1"/>
  <c r="H24" l="1"/>
  <c r="AX23" s="1"/>
  <c r="AX22" s="1"/>
  <c r="AX38" s="1"/>
  <c r="N22"/>
  <c r="Q24" s="1"/>
</calcChain>
</file>

<file path=xl/sharedStrings.xml><?xml version="1.0" encoding="utf-8"?>
<sst xmlns="http://schemas.openxmlformats.org/spreadsheetml/2006/main" count="409" uniqueCount="348">
  <si>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</si>
  <si>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</si>
  <si>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</si>
  <si>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</si>
  <si>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</si>
  <si>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</si>
  <si>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</si>
  <si>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</si>
  <si>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</si>
  <si>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</si>
  <si>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</si>
  <si>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</si>
  <si>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</si>
  <si>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</si>
  <si>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</si>
  <si>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</si>
  <si>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</si>
  <si>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</si>
  <si>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</si>
  <si>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</si>
  <si>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</si>
  <si>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</si>
  <si>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</si>
  <si>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</si>
  <si>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</si>
  <si>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</si>
  <si>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</si>
  <si>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</si>
  <si>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</si>
  <si>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</si>
  <si>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</si>
  <si>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</si>
  <si>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</si>
  <si>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</si>
  <si>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</si>
  <si>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</si>
  <si>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</si>
  <si>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</si>
  <si>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</si>
  <si>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</si>
  <si>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</si>
  <si>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</si>
  <si>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</si>
  <si>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</si>
  <si>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</si>
  <si>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</si>
  <si>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</si>
  <si>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</si>
  <si>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</si>
  <si>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</si>
  <si>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</si>
  <si>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</si>
  <si>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</si>
  <si>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</si>
  <si>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</si>
  <si>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</si>
  <si>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</si>
  <si>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</si>
  <si>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</si>
  <si>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</si>
  <si>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</si>
  <si>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</si>
  <si>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</si>
  <si>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</si>
  <si>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</si>
  <si>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</si>
  <si>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</si>
  <si>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</si>
  <si>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</si>
  <si>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</si>
  <si>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</si>
  <si>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</si>
  <si>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</si>
  <si>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</si>
  <si>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</si>
  <si>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</si>
  <si>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</si>
  <si>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</si>
  <si>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</si>
  <si>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</si>
  <si>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</si>
  <si>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</si>
  <si>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</si>
  <si>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</si>
  <si>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</si>
  <si>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</si>
  <si>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</si>
  <si>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</si>
  <si>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</si>
  <si>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</si>
  <si>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</si>
  <si>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</si>
  <si>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</si>
  <si>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</si>
  <si>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</si>
  <si>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</si>
  <si>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</si>
  <si>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</si>
  <si>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</si>
  <si>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</si>
  <si>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</si>
  <si>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</si>
  <si>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</si>
  <si>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</si>
  <si>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</si>
  <si>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</si>
  <si>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</si>
  <si>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</si>
  <si>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</si>
  <si>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</si>
  <si>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</si>
  <si>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</si>
  <si>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</si>
  <si>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</si>
  <si>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</si>
  <si>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</si>
  <si>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</si>
  <si>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</si>
  <si>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</si>
  <si>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</si>
  <si>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</si>
  <si>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</si>
  <si>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</si>
  <si>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</si>
  <si>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</si>
  <si>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</si>
  <si>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</si>
  <si>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</si>
  <si>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</si>
  <si>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</si>
  <si>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</si>
  <si>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</si>
  <si>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</si>
  <si>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</si>
  <si>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</si>
  <si>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</si>
  <si>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</si>
  <si>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</si>
  <si>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</si>
  <si>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</si>
  <si>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</si>
  <si>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</si>
  <si>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</si>
  <si>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</si>
  <si>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</si>
  <si>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</si>
  <si>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</si>
  <si>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</si>
  <si>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</si>
  <si>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</si>
  <si>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</si>
  <si>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</si>
  <si>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</si>
  <si>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</si>
  <si>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</si>
  <si>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</si>
  <si>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</si>
  <si>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</si>
  <si>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</si>
  <si>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</si>
  <si>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</si>
  <si>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</si>
  <si>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</si>
  <si>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</si>
  <si>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</si>
  <si>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</si>
  <si>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</si>
  <si>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</si>
  <si>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</si>
  <si>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</si>
  <si>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</si>
  <si>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</si>
  <si>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</si>
  <si>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</si>
  <si>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</si>
  <si>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</si>
  <si>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</si>
  <si>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</si>
  <si>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</si>
  <si>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</si>
  <si>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</si>
  <si>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</si>
  <si>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</si>
  <si>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</si>
  <si>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</si>
  <si>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</si>
  <si>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</si>
  <si>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</si>
  <si>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</si>
  <si>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</si>
  <si>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</si>
  <si>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</si>
  <si>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</si>
  <si>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</si>
  <si>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</si>
  <si>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</si>
  <si>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</si>
  <si>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</si>
  <si>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</si>
  <si>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</si>
  <si>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</si>
  <si>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</si>
  <si>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</si>
  <si>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</si>
  <si>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</si>
  <si>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</si>
  <si>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</si>
  <si>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</si>
  <si>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</si>
  <si>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</si>
  <si>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Hazard Tech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</si>
  <si>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</si>
  <si>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</si>
  <si>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</si>
  <si>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</si>
  <si>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</si>
  <si>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</si>
  <si>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</si>
  <si>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</si>
  <si>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</si>
  <si>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</si>
  <si>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</si>
  <si>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</si>
  <si>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</si>
  <si>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</si>
  <si>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</si>
  <si>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</si>
  <si>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</si>
  <si>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</si>
  <si>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</si>
  <si>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</si>
  <si>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</si>
  <si>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</si>
  <si>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</si>
  <si>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</si>
  <si>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</si>
  <si>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</si>
  <si>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</si>
  <si>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</si>
  <si>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</si>
  <si>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</si>
  <si>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</si>
  <si>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</si>
  <si>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</si>
  <si>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</si>
  <si>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</si>
  <si>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</si>
  <si>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</si>
  <si>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</si>
  <si>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</si>
  <si>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</si>
  <si>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</si>
  <si>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</si>
  <si>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</si>
  <si>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</si>
  <si>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</si>
  <si>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</si>
  <si>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</si>
  <si>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</si>
  <si>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</si>
  <si>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</si>
  <si>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</si>
  <si>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</si>
  <si>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</si>
  <si>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</si>
  <si>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</si>
  <si>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</si>
  <si>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</si>
  <si>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</si>
  <si>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</si>
  <si>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</si>
  <si>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</si>
  <si>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</si>
  <si>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</si>
  <si>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</si>
  <si>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</si>
  <si>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</si>
  <si>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</si>
  <si>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</si>
  <si>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</si>
  <si>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</si>
  <si>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</si>
  <si>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</si>
  <si>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</si>
  <si>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</si>
  <si>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</si>
  <si>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</si>
  <si>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</si>
  <si>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</si>
  <si>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</si>
  <si>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</si>
  <si>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</si>
  <si>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</si>
  <si>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</si>
  <si>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</si>
  <si>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</si>
  <si>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</si>
  <si>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</si>
  <si>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</si>
  <si>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</si>
  <si>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</si>
  <si>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</si>
  <si>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</si>
  <si>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</si>
  <si>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</si>
  <si>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</si>
  <si>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</si>
  <si>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</si>
  <si>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</si>
  <si>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</si>
  <si>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</si>
  <si>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</si>
  <si>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</si>
  <si>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</si>
  <si>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</si>
  <si>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</si>
  <si>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</si>
  <si>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</si>
  <si>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</si>
  <si>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</si>
  <si>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</si>
  <si>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</si>
  <si>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</si>
  <si>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</si>
  <si>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</si>
  <si>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</si>
  <si>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</si>
  <si>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</si>
  <si>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</si>
  <si>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</si>
  <si>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Justin Blakeney</t>
  </si>
  <si>
    <t>Gilbert Sanchez</t>
  </si>
  <si>
    <t>Trk 3972</t>
  </si>
  <si>
    <t>Trl 9140</t>
  </si>
  <si>
    <t>Joey Gregston</t>
  </si>
  <si>
    <t>N/A</t>
  </si>
  <si>
    <t>Keith Trimpe</t>
  </si>
  <si>
    <t>Valve Tech, Helper &amp; Truck</t>
  </si>
  <si>
    <t>Production Equip Tech</t>
  </si>
  <si>
    <t>John Lynch</t>
  </si>
  <si>
    <t>Duration</t>
  </si>
  <si>
    <t>Overtime Threshold</t>
  </si>
  <si>
    <t>Excess Overtime</t>
  </si>
  <si>
    <t>Rem OTT</t>
  </si>
  <si>
    <t>Rem EOT</t>
  </si>
  <si>
    <t>OTA</t>
  </si>
  <si>
    <t>Field Service Tech (Weekly)</t>
  </si>
  <si>
    <t>Rate Per Mile (Weekly)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</si>
</sst>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  <numFmt numFmtId="169" formatCode="##0\ &quot;hrs&quot;"/>
  </numFmts>
  <fonts count="14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3" fillId="13" borderId="0" applyNumberFormat="0" applyBorder="0" applyAlignment="0" applyProtection="0"/>
    <xf numFmtId="0" fontId="4" fillId="14" borderId="0" applyNumberFormat="0" applyBorder="0" applyAlignment="0" applyProtection="0"/>
    <xf numFmtId="0" fontId="13" fillId="17" borderId="0" applyNumberFormat="0" applyBorder="0" applyAlignment="0" applyProtection="0"/>
    <xf numFmtId="0" fontId="4" fillId="18" borderId="0" applyNumberFormat="0" applyBorder="0" applyAlignment="0" applyProtection="0"/>
  </cellStyleXfs>
  <cellXfs count="176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165" fontId="13" fillId="13" borderId="2" xfId="5" applyNumberFormat="1" applyBorder="1" applyAlignment="1">
      <alignment horizontal="centerContinuous"/>
    </xf>
    <xf numFmtId="165" fontId="13" fillId="13" borderId="1" xfId="5" applyNumberFormat="1" applyBorder="1" applyAlignment="1">
      <alignment horizontal="centerContinuous"/>
    </xf>
    <xf numFmtId="165" fontId="0" fillId="0" borderId="0" xfId="0" applyNumberFormat="1"/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65" fontId="13" fillId="13" borderId="4" xfId="5" applyNumberFormat="1" applyBorder="1" applyAlignment="1">
      <alignment horizontal="centerContinuous"/>
    </xf>
    <xf numFmtId="165" fontId="13" fillId="13" borderId="3" xfId="5" applyNumberFormat="1" applyBorder="1" applyAlignment="1">
      <alignment horizontal="centerContinuous"/>
    </xf>
    <xf numFmtId="165" fontId="4" fillId="14" borderId="2" xfId="6" applyNumberFormat="1" applyBorder="1"/>
    <xf numFmtId="165" fontId="4" fillId="14" borderId="4" xfId="6" applyNumberFormat="1" applyBorder="1"/>
    <xf numFmtId="165" fontId="4" fillId="14" borderId="3" xfId="6" applyNumberFormat="1" applyBorder="1"/>
    <xf numFmtId="165" fontId="13" fillId="17" borderId="1" xfId="7" applyNumberFormat="1" applyBorder="1" applyAlignment="1">
      <alignment horizontal="centerContinuous"/>
    </xf>
    <xf numFmtId="43" fontId="4" fillId="18" borderId="1" xfId="8" applyNumberFormat="1" applyBorder="1" applyAlignment="1">
      <alignment horizont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3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  <protection locked="0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165" fontId="4" fillId="14" borderId="2" xfId="6" applyNumberFormat="1" applyBorder="1" applyAlignment="1" applyProtection="1">
      <alignment horizontal="center" vertical="center"/>
      <protection locked="0"/>
    </xf>
    <xf numFmtId="165" fontId="4" fillId="14" borderId="4" xfId="6" applyNumberFormat="1" applyBorder="1" applyAlignment="1" applyProtection="1">
      <alignment horizontal="center" vertical="center"/>
      <protection locked="0"/>
    </xf>
    <xf numFmtId="165" fontId="4" fillId="14" borderId="3" xfId="6" applyNumberFormat="1" applyBorder="1" applyAlignment="1" applyProtection="1">
      <alignment horizontal="center" vertical="center"/>
      <protection locked="0"/>
    </xf>
    <xf numFmtId="165" fontId="2" fillId="2" borderId="1" xfId="0" applyNumberFormat="1" applyFont="1" applyFill="1" applyBorder="1" applyAlignment="1">
      <alignment horizontal="center" vertical="center"/>
    </xf>
    <xf numFmtId="165" fontId="3" fillId="16" borderId="2" xfId="0" applyNumberFormat="1" applyFont="1" applyFill="1" applyBorder="1" applyAlignment="1" applyProtection="1">
      <alignment horizontal="center" vertical="center"/>
      <protection locked="0"/>
    </xf>
    <xf numFmtId="165" fontId="3" fillId="16" borderId="4" xfId="0" applyNumberFormat="1" applyFont="1" applyFill="1" applyBorder="1" applyAlignment="1" applyProtection="1">
      <alignment horizontal="center" vertical="center"/>
      <protection locked="0"/>
    </xf>
    <xf numFmtId="165" fontId="3" fillId="16" borderId="3" xfId="0" applyNumberFormat="1" applyFont="1" applyFill="1" applyBorder="1" applyAlignment="1" applyProtection="1">
      <alignment horizontal="center" vertical="center"/>
      <protection locked="0"/>
    </xf>
    <xf numFmtId="169" fontId="3" fillId="16" borderId="2" xfId="0" applyNumberFormat="1" applyFont="1" applyFill="1" applyBorder="1" applyAlignment="1" applyProtection="1">
      <alignment horizontal="center" vertical="center"/>
      <protection locked="0"/>
    </xf>
    <xf numFmtId="169" fontId="3" fillId="16" borderId="4" xfId="0" applyNumberFormat="1" applyFont="1" applyFill="1" applyBorder="1" applyAlignment="1" applyProtection="1">
      <alignment horizontal="center" vertical="center"/>
      <protection locked="0"/>
    </xf>
    <xf numFmtId="169" fontId="3" fillId="16" borderId="3" xfId="0" applyNumberFormat="1" applyFont="1" applyFill="1" applyBorder="1" applyAlignment="1" applyProtection="1">
      <alignment horizontal="center" vertical="center"/>
      <protection locked="0"/>
    </xf>
    <xf numFmtId="0" fontId="12" fillId="7" borderId="4" xfId="0" applyFont="1" applyFill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X116"/>
  <sheetViews>
    <sheetView tabSelected="1" zoomScale="86" zoomScaleNormal="86" workbookViewId="0">
      <selection activeCell="Q24" sqref="Q24:S24"/>
    </sheetView>
  </sheetViews>
  <sheetFormatPr defaultColWidth="0" defaultRowHeight="15" zeroHeight="1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03" t="s">
        <v>182</v>
      </c>
      <c r="AX1" s="103"/>
    </row>
    <row r="2" spans="1:50" ht="18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59" t="str">
        <f>IF(B11="","Report Template",VLOOKUP($B$11,'Pick Sheet'!$AE$2:$AF$22,2,FALSE))</f>
        <v>Report Template</v>
      </c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160"/>
      <c r="AG2" s="160"/>
      <c r="AH2" s="160"/>
      <c r="AI2" s="160"/>
      <c r="AJ2" s="160"/>
      <c r="AK2" s="160"/>
      <c r="AL2" s="160"/>
      <c r="AM2" s="161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62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4"/>
      <c r="AN3" s="2"/>
      <c r="AO3" s="158" t="str">
        <f ca="1">CONCATENATE(YEAR($AP$7)," ",MONTH(AP$7)," ",DAY($AP$7)," ",$AX$11," ",$AX$18," ","0",$AX$40," ",$AX$20,)</f>
        <v>2016 5 19 6 0 00 3</v>
      </c>
      <c r="AP3" s="158"/>
      <c r="AQ3" s="158"/>
      <c r="AR3" s="158"/>
      <c r="AS3" s="158"/>
      <c r="AT3" s="158"/>
      <c r="AU3" s="158"/>
      <c r="AV3" s="2"/>
      <c r="AW3" s="8"/>
      <c r="AX3" s="8"/>
    </row>
    <row r="4" spans="1:5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>
      <c r="A5" s="3"/>
      <c r="B5" s="154" t="s">
        <v>0</v>
      </c>
      <c r="C5" s="154"/>
      <c r="D5" s="154"/>
      <c r="E5" s="154"/>
      <c r="F5" s="154"/>
      <c r="G5" s="154"/>
      <c r="H5" s="114" t="s">
        <v>1</v>
      </c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6"/>
      <c r="U5" s="114" t="s">
        <v>2</v>
      </c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6"/>
      <c r="AK5" s="114" t="s">
        <v>3</v>
      </c>
      <c r="AL5" s="115"/>
      <c r="AM5" s="115"/>
      <c r="AN5" s="115"/>
      <c r="AO5" s="116"/>
      <c r="AP5" s="114" t="s">
        <v>4</v>
      </c>
      <c r="AQ5" s="115"/>
      <c r="AR5" s="115"/>
      <c r="AS5" s="115"/>
      <c r="AT5" s="115"/>
      <c r="AU5" s="116"/>
      <c r="AV5" s="3"/>
      <c r="AW5" s="8"/>
      <c r="AX5" s="8"/>
    </row>
    <row r="6" spans="1:50" ht="5.0999999999999996" customHeight="1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>
      <c r="A7" s="3"/>
      <c r="B7" s="102"/>
      <c r="C7" s="102"/>
      <c r="D7" s="102"/>
      <c r="E7" s="102"/>
      <c r="F7" s="102"/>
      <c r="G7" s="102"/>
      <c r="H7" s="128" t="s">
        <v>251</v>
      </c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53">
        <f ca="1">TODAY()</f>
        <v>42509</v>
      </c>
      <c r="AQ7" s="102"/>
      <c r="AR7" s="102"/>
      <c r="AS7" s="102"/>
      <c r="AT7" s="102"/>
      <c r="AU7" s="102"/>
      <c r="AV7" s="3"/>
      <c r="AW7" s="8"/>
      <c r="AX7" s="8"/>
    </row>
    <row r="8" spans="1:50" ht="5.0999999999999996" customHeight="1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>
      <c r="A9" s="3"/>
      <c r="B9" s="154" t="s">
        <v>43</v>
      </c>
      <c r="C9" s="154"/>
      <c r="D9" s="154"/>
      <c r="E9" s="154"/>
      <c r="F9" s="154"/>
      <c r="G9" s="154"/>
      <c r="H9" s="154" t="s">
        <v>169</v>
      </c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  <c r="U9" s="154" t="s">
        <v>5</v>
      </c>
      <c r="V9" s="154"/>
      <c r="W9" s="154"/>
      <c r="X9" s="154"/>
      <c r="Y9" s="154"/>
      <c r="Z9" s="154"/>
      <c r="AA9" s="154"/>
      <c r="AB9" s="154"/>
      <c r="AC9" s="154"/>
      <c r="AD9" s="154"/>
      <c r="AE9" s="154"/>
      <c r="AF9" s="154"/>
      <c r="AG9" s="154"/>
      <c r="AH9" s="154"/>
      <c r="AI9" s="154"/>
      <c r="AJ9" s="154"/>
      <c r="AK9" s="154" t="s">
        <v>6</v>
      </c>
      <c r="AL9" s="154"/>
      <c r="AM9" s="154"/>
      <c r="AN9" s="154"/>
      <c r="AO9" s="154"/>
      <c r="AP9" s="154" t="s">
        <v>7</v>
      </c>
      <c r="AQ9" s="154"/>
      <c r="AR9" s="154"/>
      <c r="AS9" s="154"/>
      <c r="AT9" s="154"/>
      <c r="AU9" s="154"/>
      <c r="AV9" s="3"/>
      <c r="AW9" s="8"/>
      <c r="AX9" s="8"/>
    </row>
    <row r="10" spans="1:50" ht="5.0999999999999996" customHeight="1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>
      <c r="A11" s="3"/>
      <c r="B11" s="128"/>
      <c r="C11" s="128"/>
      <c r="D11" s="128"/>
      <c r="E11" s="128"/>
      <c r="F11" s="128"/>
      <c r="G11" s="128"/>
      <c r="H11" s="128" t="s">
        <v>91</v>
      </c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28"/>
      <c r="AL11" s="128"/>
      <c r="AM11" s="128"/>
      <c r="AN11" s="128"/>
      <c r="AO11" s="128"/>
      <c r="AP11" s="117"/>
      <c r="AQ11" s="118"/>
      <c r="AR11" s="118"/>
      <c r="AS11" s="118"/>
      <c r="AT11" s="118"/>
      <c r="AU11" s="152"/>
      <c r="AV11" s="3"/>
      <c r="AW11" s="8" t="s">
        <v>44</v>
      </c>
      <c r="AX11" s="8">
        <f ca="1">IF($B$15="",0,$B$15)</f>
        <v>6</v>
      </c>
    </row>
    <row r="12" spans="1:50" ht="5.0999999999999996" customHeight="1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>
      <c r="A13" s="3"/>
      <c r="B13" s="154" t="s">
        <v>44</v>
      </c>
      <c r="C13" s="154"/>
      <c r="D13" s="154"/>
      <c r="E13" s="154"/>
      <c r="F13" s="154"/>
      <c r="G13" s="154"/>
      <c r="H13" s="154" t="s">
        <v>38</v>
      </c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14" t="s">
        <v>8</v>
      </c>
      <c r="V13" s="115"/>
      <c r="W13" s="115"/>
      <c r="X13" s="115"/>
      <c r="Y13" s="115"/>
      <c r="Z13" s="115"/>
      <c r="AA13" s="115"/>
      <c r="AB13" s="116"/>
      <c r="AC13" s="151"/>
      <c r="AD13" s="151"/>
      <c r="AE13" s="151"/>
      <c r="AF13" s="151"/>
      <c r="AG13" s="151"/>
      <c r="AH13" s="151"/>
      <c r="AI13" s="151"/>
      <c r="AJ13" s="151"/>
      <c r="AK13" s="154" t="s">
        <v>45</v>
      </c>
      <c r="AL13" s="154"/>
      <c r="AM13" s="154"/>
      <c r="AN13" s="154"/>
      <c r="AO13" s="154"/>
      <c r="AP13" s="154" t="s">
        <v>46</v>
      </c>
      <c r="AQ13" s="154"/>
      <c r="AR13" s="154"/>
      <c r="AS13" s="154"/>
      <c r="AT13" s="154"/>
      <c r="AU13" s="154"/>
      <c r="AV13" s="3"/>
      <c r="AW13" s="8" t="s">
        <v>187</v>
      </c>
      <c r="AX13" s="8"/>
    </row>
    <row r="14" spans="1:50" ht="5.0999999999999996" customHeight="1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>
      <c r="A15" s="3"/>
      <c r="B15" s="147">
        <f ca="1">IFERROR(VLOOKUP(ServiceMan,EmpLookup,2,FALSE),"")</f>
        <v>6</v>
      </c>
      <c r="C15" s="147"/>
      <c r="D15" s="147"/>
      <c r="E15" s="147"/>
      <c r="F15" s="147"/>
      <c r="G15" s="147"/>
      <c r="H15" s="148" t="s">
        <v>136</v>
      </c>
      <c r="I15" s="149"/>
      <c r="J15" s="149"/>
      <c r="K15" s="149"/>
      <c r="L15" s="149"/>
      <c r="M15" s="149"/>
      <c r="N15" s="149"/>
      <c r="O15" s="149"/>
      <c r="P15" s="149"/>
      <c r="Q15" s="149"/>
      <c r="R15" s="149"/>
      <c r="S15" s="149"/>
      <c r="T15" s="150"/>
      <c r="U15" s="117"/>
      <c r="V15" s="118"/>
      <c r="W15" s="118"/>
      <c r="X15" s="118"/>
      <c r="Y15" s="118"/>
      <c r="Z15" s="118"/>
      <c r="AA15" s="118"/>
      <c r="AB15" s="152"/>
      <c r="AC15" s="151"/>
      <c r="AD15" s="151"/>
      <c r="AE15" s="151"/>
      <c r="AF15" s="151"/>
      <c r="AG15" s="151"/>
      <c r="AH15" s="151"/>
      <c r="AI15" s="151"/>
      <c r="AJ15" s="151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3"/>
      <c r="AW15" s="8" t="s">
        <v>38</v>
      </c>
      <c r="AX15" s="10" t="str">
        <f>IF($H$15="",0,$H$15)</f>
        <v>Jack Benke</v>
      </c>
    </row>
    <row r="16" spans="1:50" ht="5.0999999999999996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>
      <c r="A17" s="2"/>
      <c r="B17" s="114" t="s">
        <v>48</v>
      </c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6"/>
      <c r="T17" s="3"/>
      <c r="U17" s="114" t="s">
        <v>49</v>
      </c>
      <c r="V17" s="115"/>
      <c r="W17" s="115"/>
      <c r="X17" s="115"/>
      <c r="Y17" s="115"/>
      <c r="Z17" s="115"/>
      <c r="AA17" s="115"/>
      <c r="AB17" s="115"/>
      <c r="AC17" s="116"/>
      <c r="AD17" s="2"/>
      <c r="AE17" s="114" t="s">
        <v>37</v>
      </c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6"/>
      <c r="AV17" s="2"/>
      <c r="AW17" s="8" t="s">
        <v>4</v>
      </c>
      <c r="AX17" s="11">
        <f ca="1">AP7</f>
        <v>42509</v>
      </c>
    </row>
    <row r="18" spans="1:50" ht="18" customHeight="1">
      <c r="A18" s="2"/>
      <c r="B18" s="146" t="s">
        <v>171</v>
      </c>
      <c r="C18" s="146"/>
      <c r="D18" s="146"/>
      <c r="E18" s="146"/>
      <c r="F18" s="146"/>
      <c r="G18" s="146"/>
      <c r="H18" s="128" t="s">
        <v>346</v>
      </c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4"/>
      <c r="U18" s="112" t="s">
        <v>16</v>
      </c>
      <c r="V18" s="112"/>
      <c r="W18" s="112"/>
      <c r="X18" s="112"/>
      <c r="Y18" s="112"/>
      <c r="Z18" s="112"/>
      <c r="AA18" s="133">
        <f>IF(IF(Clear4="Field Service Tech (Weekly)",1,0),IFERROR(INDEX('Rate Matrix'!$C$2:$W$70,MATCH(Mandatory1,'Rate Matrix'!$B$2:$B$70,0),MATCH("Rate Per Mile (Weekly)",'Rate Matrix'!$C$1:$W$1,0)),0),IFERROR(INDEX('Rate Matrix'!$C$2:$W$70,MATCH(Mandatory1,'Rate Matrix'!$B$2:$B$70,0),MATCH("Rate Per Mile",'Rate Matrix'!$C$1:$W$1,0)),0))</f>
        <v>1.85</v>
      </c>
      <c r="AB18" s="134"/>
      <c r="AC18" s="135"/>
      <c r="AD18" s="2"/>
      <c r="AE18" s="108" t="s">
        <v>23</v>
      </c>
      <c r="AF18" s="109"/>
      <c r="AG18" s="109"/>
      <c r="AH18" s="109"/>
      <c r="AI18" s="109"/>
      <c r="AJ18" s="109"/>
      <c r="AK18" s="109"/>
      <c r="AL18" s="109"/>
      <c r="AM18" s="110"/>
      <c r="AN18" s="108" t="s">
        <v>24</v>
      </c>
      <c r="AO18" s="110"/>
      <c r="AP18" s="108" t="s">
        <v>25</v>
      </c>
      <c r="AQ18" s="109"/>
      <c r="AR18" s="109"/>
      <c r="AS18" s="109"/>
      <c r="AT18" s="109"/>
      <c r="AU18" s="110"/>
      <c r="AV18" s="2"/>
      <c r="AW18" s="8" t="s">
        <v>0</v>
      </c>
      <c r="AX18" s="10">
        <f>IF($B$7="",0,$B$7)</f>
        <v>0</v>
      </c>
    </row>
    <row r="19" spans="1:50" ht="18" customHeight="1">
      <c r="A19" s="2"/>
      <c r="B19" s="119" t="s">
        <v>9</v>
      </c>
      <c r="C19" s="119"/>
      <c r="D19" s="119"/>
      <c r="E19" s="119"/>
      <c r="F19" s="119"/>
      <c r="G19" s="119"/>
      <c r="H19" s="119" t="s">
        <v>10</v>
      </c>
      <c r="I19" s="119"/>
      <c r="J19" s="119"/>
      <c r="K19" s="119"/>
      <c r="L19" s="119"/>
      <c r="M19" s="119"/>
      <c r="N19" s="119" t="s">
        <v>15</v>
      </c>
      <c r="O19" s="119"/>
      <c r="P19" s="119"/>
      <c r="Q19" s="119"/>
      <c r="R19" s="119"/>
      <c r="S19" s="119"/>
      <c r="T19" s="5"/>
      <c r="U19" s="112" t="s">
        <v>50</v>
      </c>
      <c r="V19" s="112"/>
      <c r="W19" s="112"/>
      <c r="X19" s="112"/>
      <c r="Y19" s="112"/>
      <c r="Z19" s="112"/>
      <c r="AA19" s="102"/>
      <c r="AB19" s="102"/>
      <c r="AC19" s="102"/>
      <c r="AD19" s="2"/>
      <c r="AE19" s="104"/>
      <c r="AF19" s="105"/>
      <c r="AG19" s="105"/>
      <c r="AH19" s="105"/>
      <c r="AI19" s="105"/>
      <c r="AJ19" s="105"/>
      <c r="AK19" s="105"/>
      <c r="AL19" s="105"/>
      <c r="AM19" s="106"/>
      <c r="AN19" s="104"/>
      <c r="AO19" s="106"/>
      <c r="AP19" s="104"/>
      <c r="AQ19" s="105"/>
      <c r="AR19" s="105"/>
      <c r="AS19" s="105"/>
      <c r="AT19" s="105"/>
      <c r="AU19" s="106"/>
      <c r="AV19" s="2"/>
      <c r="AW19" s="8" t="s">
        <v>43</v>
      </c>
      <c r="AX19" s="10">
        <f>IF($B$11="",0,$B$11)</f>
        <v>0</v>
      </c>
    </row>
    <row r="20" spans="1:50" ht="18" customHeight="1">
      <c r="A20" s="2"/>
      <c r="B20" s="119" t="s">
        <v>13</v>
      </c>
      <c r="C20" s="119"/>
      <c r="D20" s="119"/>
      <c r="E20" s="119" t="s">
        <v>14</v>
      </c>
      <c r="F20" s="119"/>
      <c r="G20" s="119"/>
      <c r="H20" s="119" t="s">
        <v>11</v>
      </c>
      <c r="I20" s="119"/>
      <c r="J20" s="119"/>
      <c r="K20" s="119" t="s">
        <v>12</v>
      </c>
      <c r="L20" s="119"/>
      <c r="M20" s="119"/>
      <c r="N20" s="119" t="s">
        <v>11</v>
      </c>
      <c r="O20" s="119"/>
      <c r="P20" s="119"/>
      <c r="Q20" s="119" t="s">
        <v>12</v>
      </c>
      <c r="R20" s="119"/>
      <c r="S20" s="119"/>
      <c r="T20" s="3"/>
      <c r="U20" s="112" t="s">
        <v>51</v>
      </c>
      <c r="V20" s="112"/>
      <c r="W20" s="112"/>
      <c r="X20" s="112"/>
      <c r="Y20" s="112"/>
      <c r="Z20" s="112"/>
      <c r="AA20" s="102"/>
      <c r="AB20" s="102"/>
      <c r="AC20" s="102"/>
      <c r="AD20" s="2"/>
      <c r="AE20" s="119" t="s">
        <v>26</v>
      </c>
      <c r="AF20" s="119"/>
      <c r="AG20" s="108" t="s">
        <v>53</v>
      </c>
      <c r="AH20" s="109"/>
      <c r="AI20" s="110"/>
      <c r="AJ20" s="119" t="s">
        <v>54</v>
      </c>
      <c r="AK20" s="119"/>
      <c r="AL20" s="119"/>
      <c r="AM20" s="119"/>
      <c r="AN20" s="119"/>
      <c r="AO20" s="119"/>
      <c r="AP20" s="131" t="s">
        <v>27</v>
      </c>
      <c r="AQ20" s="131"/>
      <c r="AR20" s="130" t="s">
        <v>55</v>
      </c>
      <c r="AS20" s="130"/>
      <c r="AT20" s="130"/>
      <c r="AU20" s="130"/>
      <c r="AV20" s="2"/>
      <c r="AW20" s="8" t="s">
        <v>169</v>
      </c>
      <c r="AX20" s="10">
        <f ca="1">IF($H$11="",0,VLOOKUP($H$11,ChargeToLookup,2))</f>
        <v>3</v>
      </c>
    </row>
    <row r="21" spans="1:50" ht="18" customHeight="1">
      <c r="A21" s="3"/>
      <c r="B21" s="138">
        <v>42370.010416666664</v>
      </c>
      <c r="C21" s="139"/>
      <c r="D21" s="140"/>
      <c r="E21" s="138">
        <v>42370.177083333292</v>
      </c>
      <c r="F21" s="139"/>
      <c r="G21" s="140"/>
      <c r="H21" s="133" t="str">
        <f ca="1">IF(Overtime!$E$12,Overtime!$E$12,"")</f>
        <v/>
      </c>
      <c r="I21" s="134"/>
      <c r="J21" s="135"/>
      <c r="K21" s="133">
        <f ca="1">IF(Overtime!$E$11,Overtime!$E$11,"")</f>
        <v>3.9999999990686774</v>
      </c>
      <c r="L21" s="134"/>
      <c r="M21" s="135"/>
      <c r="N21" s="141" t="str">
        <f ca="1">IFERROR(IF($B21="","",INDEX(ServiceRates,MATCH(Output!$H$7,CustomerNames,0),MATCH(Output!$H$18,ServiceRate,0))*$H21),"")</f>
        <v/>
      </c>
      <c r="O21" s="141"/>
      <c r="P21" s="141"/>
      <c r="Q21" s="142">
        <f ca="1">IFERROR(IF($B21="","",INDEX(ServiceRates,MATCH(Output!$H$7,CustomerNames,0),MATCH(Output!$H$18,ServiceRate,0))*INDEX(OTCalc,MATCH($H$7,CustomerNames,0))*$K21),"")</f>
        <v>494.99999988474883</v>
      </c>
      <c r="R21" s="143"/>
      <c r="S21" s="144"/>
      <c r="T21" s="3"/>
      <c r="U21" s="112" t="s">
        <v>17</v>
      </c>
      <c r="V21" s="112"/>
      <c r="W21" s="112"/>
      <c r="X21" s="112"/>
      <c r="Y21" s="112"/>
      <c r="Z21" s="112"/>
      <c r="AA21" s="136">
        <f>SUM(AA19:AC20)</f>
        <v>0</v>
      </c>
      <c r="AB21" s="136"/>
      <c r="AC21" s="136"/>
      <c r="AD21" s="3"/>
      <c r="AE21" s="132" t="s">
        <v>28</v>
      </c>
      <c r="AF21" s="13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3"/>
      <c r="AW21" s="8" t="s">
        <v>214</v>
      </c>
      <c r="AX21" s="10">
        <f>IF(Clear15="",0,Clear15)</f>
        <v>0</v>
      </c>
    </row>
    <row r="22" spans="1:50" ht="18" customHeight="1">
      <c r="A22" s="3"/>
      <c r="B22" s="138">
        <v>42370.333333333256</v>
      </c>
      <c r="C22" s="139"/>
      <c r="D22" s="140"/>
      <c r="E22" s="138">
        <v>42370.749999999825</v>
      </c>
      <c r="F22" s="139"/>
      <c r="G22" s="140"/>
      <c r="H22" s="133">
        <f ca="1">IF(Overtime!$F$12,Overtime!$F$12,"")</f>
        <v>8</v>
      </c>
      <c r="I22" s="134"/>
      <c r="J22" s="135"/>
      <c r="K22" s="133">
        <f ca="1">IF(Overtime!$F$11,Overtime!$F$11,"")</f>
        <v>1.9999999976716936</v>
      </c>
      <c r="L22" s="134"/>
      <c r="M22" s="135"/>
      <c r="N22" s="141">
        <f ca="1">IFERROR(IF($B22="","",INDEX(ServiceRates,MATCH(Output!$H$7,CustomerNames,0),MATCH(Output!$H$18,ServiceRate,0))*$H22),"")</f>
        <v>660</v>
      </c>
      <c r="O22" s="141"/>
      <c r="P22" s="141"/>
      <c r="Q22" s="142">
        <f ca="1">IFERROR(IF($B22="","",INDEX(ServiceRates,MATCH(Output!$H$7,CustomerNames,0),MATCH(Output!$H$18,ServiceRate,0))*INDEX(OTCalc,MATCH($H$7,CustomerNames,0))*$K22),"")</f>
        <v>247.49999971187208</v>
      </c>
      <c r="R22" s="143"/>
      <c r="S22" s="144"/>
      <c r="T22" s="3"/>
      <c r="U22" s="112" t="s">
        <v>18</v>
      </c>
      <c r="V22" s="112"/>
      <c r="W22" s="112"/>
      <c r="X22" s="112"/>
      <c r="Y22" s="112"/>
      <c r="Z22" s="112"/>
      <c r="AA22" s="137">
        <f>IF($AA$18="","",AA21*AA18)</f>
        <v>0</v>
      </c>
      <c r="AB22" s="137"/>
      <c r="AC22" s="137"/>
      <c r="AD22" s="3"/>
      <c r="AE22" s="132" t="s">
        <v>29</v>
      </c>
      <c r="AF22" s="132"/>
      <c r="AG22" s="102"/>
      <c r="AH22" s="102"/>
      <c r="AI22" s="102"/>
      <c r="AJ22" s="102"/>
      <c r="AK22" s="102"/>
      <c r="AL22" s="102"/>
      <c r="AM22" s="102"/>
      <c r="AN22" s="102"/>
      <c r="AO22" s="102"/>
      <c r="AP22" s="130" t="s">
        <v>180</v>
      </c>
      <c r="AQ22" s="130"/>
      <c r="AR22" s="130" t="s">
        <v>181</v>
      </c>
      <c r="AS22" s="130"/>
      <c r="AT22" s="130"/>
      <c r="AU22" s="130"/>
      <c r="AV22" s="3"/>
      <c r="AW22" s="8" t="s">
        <v>215</v>
      </c>
      <c r="AX22" s="8">
        <f ca="1">SUM(AX23:AX24)</f>
        <v>16.999999996041879</v>
      </c>
    </row>
    <row r="23" spans="1:50" ht="18" customHeight="1">
      <c r="A23" s="3"/>
      <c r="B23" s="138">
        <v>42370.833333333139</v>
      </c>
      <c r="C23" s="139"/>
      <c r="D23" s="140"/>
      <c r="E23" s="138">
        <v>42370.95833333311</v>
      </c>
      <c r="F23" s="139"/>
      <c r="G23" s="140"/>
      <c r="H23" s="133" t="str">
        <f ca="1">IF(Overtime!$G$12,Overtime!$G$12,"")</f>
        <v/>
      </c>
      <c r="I23" s="134"/>
      <c r="J23" s="135"/>
      <c r="K23" s="133">
        <f ca="1">IF(Overtime!$G$11,Overtime!$G$11,"")</f>
        <v>2.9999999993015081</v>
      </c>
      <c r="L23" s="134"/>
      <c r="M23" s="135"/>
      <c r="N23" s="141" t="str">
        <f ca="1">IFERROR(IF($B23="","",INDEX(ServiceRates,MATCH(Output!$H$7,CustomerNames,0),MATCH(Output!$H$18,ServiceRate,0))*$H23),"")</f>
        <v/>
      </c>
      <c r="O23" s="141"/>
      <c r="P23" s="141"/>
      <c r="Q23" s="142">
        <f ca="1">IFERROR(IF($B23="","",INDEX(ServiceRates,MATCH(Output!$H$7,CustomerNames,0),MATCH(Output!$H$18,ServiceRate,0))*INDEX(OTCalc,MATCH($H$7,CustomerNames,0))*$K23),"")</f>
        <v>371.24999991356162</v>
      </c>
      <c r="R23" s="143"/>
      <c r="S23" s="144"/>
      <c r="T23" s="3"/>
      <c r="U23" s="123"/>
      <c r="V23" s="124"/>
      <c r="W23" s="124"/>
      <c r="X23" s="124"/>
      <c r="Y23" s="124"/>
      <c r="Z23" s="124"/>
      <c r="AA23" s="124"/>
      <c r="AB23" s="124"/>
      <c r="AC23" s="125"/>
      <c r="AD23" s="3"/>
      <c r="AE23" s="132" t="s">
        <v>56</v>
      </c>
      <c r="AF23" s="13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22" t="str">
        <f>IF(AG23="","",((AG23+15)*((AP23/2)^2)*PI())-((AG22+15)*(((AP23/2)^2)*PI()-(($AP$21/2)^2)*PI())))</f>
        <v/>
      </c>
      <c r="AS23" s="122"/>
      <c r="AT23" s="122"/>
      <c r="AU23" s="122"/>
      <c r="AV23" s="3"/>
      <c r="AW23" s="8" t="s">
        <v>11</v>
      </c>
      <c r="AX23" s="8">
        <f ca="1">IF($H$24="",0,$H$24)</f>
        <v>8</v>
      </c>
    </row>
    <row r="24" spans="1:50" ht="18" customHeight="1">
      <c r="A24" s="3"/>
      <c r="B24" s="126" t="s">
        <v>20</v>
      </c>
      <c r="C24" s="127"/>
      <c r="D24" s="127"/>
      <c r="E24" s="127"/>
      <c r="F24" s="127"/>
      <c r="G24" s="145"/>
      <c r="H24" s="136">
        <f ca="1">SUM(H$21:J$23)</f>
        <v>8</v>
      </c>
      <c r="I24" s="132"/>
      <c r="J24" s="132"/>
      <c r="K24" s="136">
        <f ca="1">SUM(K$21:M$23)</f>
        <v>8.9999999960418791</v>
      </c>
      <c r="L24" s="132"/>
      <c r="M24" s="132"/>
      <c r="N24" s="119" t="s">
        <v>47</v>
      </c>
      <c r="O24" s="119"/>
      <c r="P24" s="119"/>
      <c r="Q24" s="141">
        <f ca="1">SUM(N21:S23)</f>
        <v>1773.7499995101825</v>
      </c>
      <c r="R24" s="132"/>
      <c r="S24" s="132"/>
      <c r="T24" s="3"/>
      <c r="U24" s="126" t="s">
        <v>19</v>
      </c>
      <c r="V24" s="127"/>
      <c r="W24" s="127"/>
      <c r="X24" s="127"/>
      <c r="Y24" s="127"/>
      <c r="Z24" s="128"/>
      <c r="AA24" s="128"/>
      <c r="AB24" s="128"/>
      <c r="AC24" s="128"/>
      <c r="AD24" s="3"/>
      <c r="AE24" s="132" t="s">
        <v>30</v>
      </c>
      <c r="AF24" s="13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22" t="str">
        <f t="shared" ref="AR24:AR25" si="0">IF(AG24="","",((AG24+15)*((AP24/2)^2)*PI())-((AG23+15)*(((AP24/2)^2)*PI()-(($AP$21/2)^2)*PI())))</f>
        <v/>
      </c>
      <c r="AS24" s="122"/>
      <c r="AT24" s="122"/>
      <c r="AU24" s="122"/>
      <c r="AV24" s="3"/>
      <c r="AW24" s="8" t="s">
        <v>12</v>
      </c>
      <c r="AX24" s="8">
        <f ca="1">IF($K$24="",0,$K$24)</f>
        <v>8.9999999960418791</v>
      </c>
    </row>
    <row r="25" spans="1:50" ht="18" customHeight="1">
      <c r="A25" s="3"/>
      <c r="B25" s="112" t="s">
        <v>22</v>
      </c>
      <c r="C25" s="112"/>
      <c r="D25" s="112"/>
      <c r="E25" s="112"/>
      <c r="F25" s="112"/>
      <c r="G25" s="112"/>
      <c r="H25" s="112"/>
      <c r="I25" s="112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3"/>
      <c r="U25" s="126" t="s">
        <v>52</v>
      </c>
      <c r="V25" s="127"/>
      <c r="W25" s="127"/>
      <c r="X25" s="127"/>
      <c r="Y25" s="127"/>
      <c r="Z25" s="128"/>
      <c r="AA25" s="128"/>
      <c r="AB25" s="128"/>
      <c r="AC25" s="128"/>
      <c r="AD25" s="3"/>
      <c r="AE25" s="132" t="s">
        <v>31</v>
      </c>
      <c r="AF25" s="132"/>
      <c r="AG25" s="102"/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22" t="str">
        <f t="shared" si="0"/>
        <v/>
      </c>
      <c r="AS25" s="122"/>
      <c r="AT25" s="122"/>
      <c r="AU25" s="122"/>
      <c r="AV25" s="3"/>
      <c r="AW25" s="8" t="s">
        <v>188</v>
      </c>
      <c r="AX25" s="8"/>
    </row>
    <row r="26" spans="1:50" ht="18" customHeight="1">
      <c r="A26" s="3"/>
      <c r="B26" s="112" t="s">
        <v>21</v>
      </c>
      <c r="C26" s="112"/>
      <c r="D26" s="112"/>
      <c r="E26" s="112"/>
      <c r="F26" s="112"/>
      <c r="G26" s="112"/>
      <c r="H26" s="112"/>
      <c r="I26" s="112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3"/>
      <c r="U26" s="126" t="s">
        <v>170</v>
      </c>
      <c r="V26" s="127"/>
      <c r="W26" s="127"/>
      <c r="X26" s="127"/>
      <c r="Y26" s="127"/>
      <c r="Z26" s="129"/>
      <c r="AA26" s="129"/>
      <c r="AB26" s="129"/>
      <c r="AC26" s="129"/>
      <c r="AD26" s="3"/>
      <c r="AE26" s="123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5"/>
      <c r="AV26" s="3"/>
      <c r="AW26" s="8" t="s">
        <v>94</v>
      </c>
      <c r="AX26" s="8">
        <f>IF($AX$19=$AW26,$AX$22,0)</f>
        <v>0</v>
      </c>
    </row>
    <row r="27" spans="1:50" ht="5.0999999999999996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>
      <c r="A28" s="3"/>
      <c r="B28" s="114" t="s">
        <v>63</v>
      </c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6"/>
      <c r="AD28" s="3"/>
      <c r="AE28" s="119" t="s">
        <v>61</v>
      </c>
      <c r="AF28" s="119"/>
      <c r="AG28" s="119"/>
      <c r="AH28" s="119"/>
      <c r="AI28" s="119" t="s">
        <v>57</v>
      </c>
      <c r="AJ28" s="119"/>
      <c r="AK28" s="119" t="s">
        <v>58</v>
      </c>
      <c r="AL28" s="119"/>
      <c r="AM28" s="119"/>
      <c r="AN28" s="119" t="s">
        <v>59</v>
      </c>
      <c r="AO28" s="119"/>
      <c r="AP28" s="119" t="s">
        <v>60</v>
      </c>
      <c r="AQ28" s="119"/>
      <c r="AR28" s="119" t="s">
        <v>32</v>
      </c>
      <c r="AS28" s="119"/>
      <c r="AT28" s="119"/>
      <c r="AU28" s="119"/>
      <c r="AV28" s="3"/>
      <c r="AW28" s="8" t="s">
        <v>189</v>
      </c>
      <c r="AX28" s="8"/>
    </row>
    <row r="29" spans="1:50" ht="18" customHeight="1">
      <c r="A29" s="3"/>
      <c r="B29" s="119" t="s">
        <v>39</v>
      </c>
      <c r="C29" s="119"/>
      <c r="D29" s="119"/>
      <c r="E29" s="108" t="s">
        <v>72</v>
      </c>
      <c r="F29" s="109"/>
      <c r="G29" s="109"/>
      <c r="H29" s="109"/>
      <c r="I29" s="108" t="s">
        <v>73</v>
      </c>
      <c r="J29" s="109"/>
      <c r="K29" s="109"/>
      <c r="L29" s="109"/>
      <c r="M29" s="109"/>
      <c r="N29" s="108" t="s">
        <v>74</v>
      </c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10"/>
      <c r="Z29" s="109" t="s">
        <v>219</v>
      </c>
      <c r="AA29" s="109"/>
      <c r="AB29" s="109"/>
      <c r="AC29" s="110"/>
      <c r="AD29" s="3"/>
      <c r="AE29" s="119" t="s">
        <v>62</v>
      </c>
      <c r="AF29" s="119"/>
      <c r="AG29" s="102"/>
      <c r="AH29" s="102"/>
      <c r="AI29" s="102"/>
      <c r="AJ29" s="102"/>
      <c r="AK29" s="102"/>
      <c r="AL29" s="102"/>
      <c r="AM29" s="102"/>
      <c r="AN29" s="102"/>
      <c r="AO29" s="102"/>
      <c r="AP29" s="121" t="str">
        <f>IF(AG29="","",(CHOOSE(AG29,(AG$23+15)/(AG$22+15),(AG$24+15)/(AG$23+15),(AG$25+15)/(AG$24+15))))</f>
        <v/>
      </c>
      <c r="AQ29" s="121"/>
      <c r="AR29" s="120" t="str">
        <f>IF(AG29="","",((AI29+460)*(AP29^0.206))-460)</f>
        <v/>
      </c>
      <c r="AS29" s="120"/>
      <c r="AT29" s="120"/>
      <c r="AU29" s="120"/>
      <c r="AV29" s="3"/>
      <c r="AW29" s="8" t="s">
        <v>106</v>
      </c>
      <c r="AX29" s="8">
        <f>IF($AX$19=$AW29,$AX$22,0)</f>
        <v>0</v>
      </c>
    </row>
    <row r="30" spans="1:50" ht="18" customHeight="1">
      <c r="A30" s="3"/>
      <c r="B30" s="113"/>
      <c r="C30" s="113"/>
      <c r="D30" s="113"/>
      <c r="E30" s="117"/>
      <c r="F30" s="118"/>
      <c r="G30" s="118"/>
      <c r="H30" s="118"/>
      <c r="I30" s="102"/>
      <c r="J30" s="102"/>
      <c r="K30" s="102"/>
      <c r="L30" s="102"/>
      <c r="M30" s="102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1"/>
      <c r="Z30" s="102"/>
      <c r="AA30" s="102"/>
      <c r="AB30" s="102"/>
      <c r="AC30" s="102"/>
      <c r="AD30" s="3"/>
      <c r="AE30" s="119" t="s">
        <v>62</v>
      </c>
      <c r="AF30" s="119"/>
      <c r="AG30" s="102"/>
      <c r="AH30" s="102"/>
      <c r="AI30" s="102"/>
      <c r="AJ30" s="102"/>
      <c r="AK30" s="102"/>
      <c r="AL30" s="102"/>
      <c r="AM30" s="102"/>
      <c r="AN30" s="102"/>
      <c r="AO30" s="102"/>
      <c r="AP30" s="121" t="str">
        <f t="shared" ref="AP30:AP32" si="1">IF(AG30="","",(CHOOSE(AG30,(AG$23+15)/(AG$22+15),(AG$24+15)/(AG$23+15),(AG$25+15)/(AG$24+15))))</f>
        <v/>
      </c>
      <c r="AQ30" s="121"/>
      <c r="AR30" s="120" t="str">
        <f t="shared" ref="AR30:AR32" si="2">IF(AG30="","",((AI30+460)*(AP30^0.206))-460)</f>
        <v/>
      </c>
      <c r="AS30" s="120"/>
      <c r="AT30" s="120"/>
      <c r="AU30" s="120"/>
      <c r="AV30" s="3"/>
      <c r="AW30" s="8" t="s">
        <v>190</v>
      </c>
      <c r="AX30" s="8"/>
    </row>
    <row r="31" spans="1:50" ht="18" customHeight="1">
      <c r="A31" s="3"/>
      <c r="B31" s="113"/>
      <c r="C31" s="113"/>
      <c r="D31" s="113"/>
      <c r="E31" s="117"/>
      <c r="F31" s="118"/>
      <c r="G31" s="118"/>
      <c r="H31" s="118"/>
      <c r="I31" s="102"/>
      <c r="J31" s="102"/>
      <c r="K31" s="102"/>
      <c r="L31" s="102"/>
      <c r="M31" s="102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1"/>
      <c r="Z31" s="102"/>
      <c r="AA31" s="102"/>
      <c r="AB31" s="102"/>
      <c r="AC31" s="102"/>
      <c r="AD31" s="3"/>
      <c r="AE31" s="119" t="s">
        <v>62</v>
      </c>
      <c r="AF31" s="119"/>
      <c r="AG31" s="102"/>
      <c r="AH31" s="102"/>
      <c r="AI31" s="102"/>
      <c r="AJ31" s="102"/>
      <c r="AK31" s="102"/>
      <c r="AL31" s="102"/>
      <c r="AM31" s="102"/>
      <c r="AN31" s="102"/>
      <c r="AO31" s="102"/>
      <c r="AP31" s="121" t="str">
        <f t="shared" si="1"/>
        <v/>
      </c>
      <c r="AQ31" s="121"/>
      <c r="AR31" s="120" t="str">
        <f t="shared" si="2"/>
        <v/>
      </c>
      <c r="AS31" s="120"/>
      <c r="AT31" s="120"/>
      <c r="AU31" s="120"/>
      <c r="AV31" s="3"/>
      <c r="AW31" s="8" t="s">
        <v>216</v>
      </c>
      <c r="AX31" s="8">
        <f>IF($AX$19="Personal/Time Off",$AX$22,0)</f>
        <v>0</v>
      </c>
    </row>
    <row r="32" spans="1:50" ht="18" customHeight="1">
      <c r="A32" s="3"/>
      <c r="B32" s="113"/>
      <c r="C32" s="113"/>
      <c r="D32" s="113"/>
      <c r="E32" s="117"/>
      <c r="F32" s="118"/>
      <c r="G32" s="118"/>
      <c r="H32" s="118"/>
      <c r="I32" s="102"/>
      <c r="J32" s="102"/>
      <c r="K32" s="102"/>
      <c r="L32" s="102"/>
      <c r="M32" s="102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1"/>
      <c r="Z32" s="102"/>
      <c r="AA32" s="102"/>
      <c r="AB32" s="102"/>
      <c r="AC32" s="102"/>
      <c r="AD32" s="3"/>
      <c r="AE32" s="119" t="s">
        <v>62</v>
      </c>
      <c r="AF32" s="119"/>
      <c r="AG32" s="102"/>
      <c r="AH32" s="102"/>
      <c r="AI32" s="102"/>
      <c r="AJ32" s="102"/>
      <c r="AK32" s="102"/>
      <c r="AL32" s="102"/>
      <c r="AM32" s="102"/>
      <c r="AN32" s="102"/>
      <c r="AO32" s="102"/>
      <c r="AP32" s="121" t="str">
        <f t="shared" si="1"/>
        <v/>
      </c>
      <c r="AQ32" s="121"/>
      <c r="AR32" s="120" t="str">
        <f t="shared" si="2"/>
        <v/>
      </c>
      <c r="AS32" s="120"/>
      <c r="AT32" s="120"/>
      <c r="AU32" s="120"/>
      <c r="AV32" s="3"/>
      <c r="AW32" s="8" t="s">
        <v>191</v>
      </c>
      <c r="AX32" s="8"/>
    </row>
    <row r="33" spans="1:50" ht="18" customHeight="1">
      <c r="A33" s="3"/>
      <c r="B33" s="113"/>
      <c r="C33" s="113"/>
      <c r="D33" s="113"/>
      <c r="E33" s="117"/>
      <c r="F33" s="118"/>
      <c r="G33" s="118"/>
      <c r="H33" s="118"/>
      <c r="I33" s="102"/>
      <c r="J33" s="102"/>
      <c r="K33" s="102"/>
      <c r="L33" s="102"/>
      <c r="M33" s="102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1"/>
      <c r="Z33" s="102"/>
      <c r="AA33" s="102"/>
      <c r="AB33" s="102"/>
      <c r="AC33" s="102"/>
      <c r="AD33" s="3"/>
      <c r="AE33" s="119" t="s">
        <v>64</v>
      </c>
      <c r="AF33" s="119"/>
      <c r="AG33" s="119"/>
      <c r="AH33" s="119"/>
      <c r="AI33" s="119"/>
      <c r="AJ33" s="119" t="s">
        <v>65</v>
      </c>
      <c r="AK33" s="119"/>
      <c r="AL33" s="119"/>
      <c r="AM33" s="119" t="s">
        <v>59</v>
      </c>
      <c r="AN33" s="119"/>
      <c r="AO33" s="119"/>
      <c r="AP33" s="119" t="s">
        <v>66</v>
      </c>
      <c r="AQ33" s="119"/>
      <c r="AR33" s="119"/>
      <c r="AS33" s="119" t="s">
        <v>59</v>
      </c>
      <c r="AT33" s="119"/>
      <c r="AU33" s="119"/>
      <c r="AV33" s="3"/>
      <c r="AW33" s="8" t="s">
        <v>115</v>
      </c>
      <c r="AX33" s="8">
        <f>IF($AX$19=$AW33,$AX$22,0)</f>
        <v>0</v>
      </c>
    </row>
    <row r="34" spans="1:50" ht="18" customHeight="1">
      <c r="A34" s="3"/>
      <c r="B34" s="113"/>
      <c r="C34" s="113"/>
      <c r="D34" s="113"/>
      <c r="E34" s="117"/>
      <c r="F34" s="118"/>
      <c r="G34" s="118"/>
      <c r="H34" s="118"/>
      <c r="I34" s="102"/>
      <c r="J34" s="102"/>
      <c r="K34" s="102"/>
      <c r="L34" s="102"/>
      <c r="M34" s="102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1"/>
      <c r="Z34" s="102"/>
      <c r="AA34" s="102"/>
      <c r="AB34" s="102"/>
      <c r="AC34" s="102"/>
      <c r="AD34" s="3"/>
      <c r="AE34" s="119" t="s">
        <v>67</v>
      </c>
      <c r="AF34" s="119"/>
      <c r="AG34" s="119"/>
      <c r="AH34" s="119"/>
      <c r="AI34" s="119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3"/>
      <c r="AW34" s="8" t="s">
        <v>192</v>
      </c>
      <c r="AX34" s="8"/>
    </row>
    <row r="35" spans="1:50" ht="18" customHeight="1">
      <c r="A35" s="3"/>
      <c r="B35" s="113"/>
      <c r="C35" s="113"/>
      <c r="D35" s="113"/>
      <c r="E35" s="117"/>
      <c r="F35" s="118"/>
      <c r="G35" s="118"/>
      <c r="H35" s="118"/>
      <c r="I35" s="102"/>
      <c r="J35" s="102"/>
      <c r="K35" s="102"/>
      <c r="L35" s="102"/>
      <c r="M35" s="102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1"/>
      <c r="Z35" s="102"/>
      <c r="AA35" s="102"/>
      <c r="AB35" s="102"/>
      <c r="AC35" s="102"/>
      <c r="AD35" s="3"/>
      <c r="AE35" s="119" t="s">
        <v>68</v>
      </c>
      <c r="AF35" s="119" t="s">
        <v>33</v>
      </c>
      <c r="AG35" s="119"/>
      <c r="AH35" s="119"/>
      <c r="AI35" s="119"/>
      <c r="AJ35" s="102"/>
      <c r="AK35" s="102"/>
      <c r="AL35" s="102"/>
      <c r="AM35" s="102"/>
      <c r="AN35" s="102"/>
      <c r="AO35" s="102"/>
      <c r="AP35" s="102"/>
      <c r="AQ35" s="102"/>
      <c r="AR35" s="102"/>
      <c r="AS35" s="102"/>
      <c r="AT35" s="102"/>
      <c r="AU35" s="102"/>
      <c r="AV35" s="3"/>
      <c r="AW35" s="8" t="s">
        <v>193</v>
      </c>
      <c r="AX35" s="8">
        <f>IF($AX$19="Personal/Time Off",$AX$22,0)</f>
        <v>0</v>
      </c>
    </row>
    <row r="36" spans="1:50" ht="18" customHeight="1">
      <c r="A36" s="3"/>
      <c r="B36" s="113"/>
      <c r="C36" s="113"/>
      <c r="D36" s="113"/>
      <c r="E36" s="117"/>
      <c r="F36" s="118"/>
      <c r="G36" s="118"/>
      <c r="H36" s="118"/>
      <c r="I36" s="102"/>
      <c r="J36" s="102"/>
      <c r="K36" s="102"/>
      <c r="L36" s="102"/>
      <c r="M36" s="102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1"/>
      <c r="Z36" s="102"/>
      <c r="AA36" s="102"/>
      <c r="AB36" s="102"/>
      <c r="AC36" s="102"/>
      <c r="AD36" s="3"/>
      <c r="AE36" s="119" t="s">
        <v>69</v>
      </c>
      <c r="AF36" s="119" t="s">
        <v>34</v>
      </c>
      <c r="AG36" s="119"/>
      <c r="AH36" s="119"/>
      <c r="AI36" s="119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3"/>
      <c r="AW36" s="8" t="s">
        <v>194</v>
      </c>
      <c r="AX36" s="8"/>
    </row>
    <row r="37" spans="1:50" ht="18" customHeight="1">
      <c r="A37" s="3"/>
      <c r="B37" s="113"/>
      <c r="C37" s="113"/>
      <c r="D37" s="113"/>
      <c r="E37" s="117"/>
      <c r="F37" s="118"/>
      <c r="G37" s="118"/>
      <c r="H37" s="118"/>
      <c r="I37" s="102"/>
      <c r="J37" s="102"/>
      <c r="K37" s="102"/>
      <c r="L37" s="102"/>
      <c r="M37" s="102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1"/>
      <c r="Z37" s="102"/>
      <c r="AA37" s="102"/>
      <c r="AB37" s="102"/>
      <c r="AC37" s="102"/>
      <c r="AD37" s="3"/>
      <c r="AE37" s="119" t="s">
        <v>70</v>
      </c>
      <c r="AF37" s="119" t="s">
        <v>35</v>
      </c>
      <c r="AG37" s="119"/>
      <c r="AH37" s="119"/>
      <c r="AI37" s="119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3"/>
      <c r="AW37" s="8" t="s">
        <v>119</v>
      </c>
      <c r="AX37" s="8">
        <f>IF($AX$19=$AW37,$AX$22,0)</f>
        <v>0</v>
      </c>
    </row>
    <row r="38" spans="1:50" ht="18" customHeight="1">
      <c r="A38" s="3"/>
      <c r="B38" s="113"/>
      <c r="C38" s="113"/>
      <c r="D38" s="113"/>
      <c r="E38" s="117"/>
      <c r="F38" s="118"/>
      <c r="G38" s="118"/>
      <c r="H38" s="118"/>
      <c r="I38" s="102"/>
      <c r="J38" s="102"/>
      <c r="K38" s="102"/>
      <c r="L38" s="102"/>
      <c r="M38" s="102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6"/>
      <c r="Z38" s="102"/>
      <c r="AA38" s="102"/>
      <c r="AB38" s="102"/>
      <c r="AC38" s="102"/>
      <c r="AD38" s="3"/>
      <c r="AE38" s="119" t="s">
        <v>71</v>
      </c>
      <c r="AF38" s="119" t="s">
        <v>36</v>
      </c>
      <c r="AG38" s="119"/>
      <c r="AH38" s="119"/>
      <c r="AI38" s="119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3"/>
      <c r="AW38" s="8" t="s">
        <v>217</v>
      </c>
      <c r="AX38" s="8">
        <f ca="1">AX22</f>
        <v>16.999999996041879</v>
      </c>
    </row>
    <row r="39" spans="1:50" ht="5.0999999999999996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>
      <c r="A40" s="3"/>
      <c r="B40" s="114" t="s">
        <v>75</v>
      </c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6"/>
      <c r="AV40" s="3"/>
      <c r="AW40" s="8" t="s">
        <v>218</v>
      </c>
      <c r="AX40" s="15">
        <f>IF($AC$15="",0,VLOOKUP($AC$15,DistrictLookup,2))</f>
        <v>0</v>
      </c>
    </row>
    <row r="41" spans="1:50" ht="5.0999999999999996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>
      <c r="A42" s="3"/>
      <c r="B42" s="82" t="s">
        <v>76</v>
      </c>
      <c r="C42" s="83"/>
      <c r="D42" s="83"/>
      <c r="E42" s="83"/>
      <c r="F42" s="83"/>
      <c r="G42" s="83"/>
      <c r="H42" s="84"/>
      <c r="I42" s="76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8"/>
      <c r="AV42" s="3"/>
      <c r="AW42" s="8" t="s">
        <v>318</v>
      </c>
      <c r="AX42" s="8">
        <f ca="1">WEEKDAY($AX$17)</f>
        <v>5</v>
      </c>
    </row>
    <row r="43" spans="1:50" ht="18" customHeight="1">
      <c r="A43" s="3"/>
      <c r="B43" s="85"/>
      <c r="C43" s="86"/>
      <c r="D43" s="86"/>
      <c r="E43" s="86"/>
      <c r="F43" s="86"/>
      <c r="G43" s="86"/>
      <c r="H43" s="87"/>
      <c r="I43" s="79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1"/>
      <c r="AV43" s="3"/>
      <c r="AW43" s="8" t="s">
        <v>319</v>
      </c>
      <c r="AX43" s="8">
        <f ca="1">IF(OR(IF(OR($AX$42=1,$AX$42=7),1,0),COUNTIF(rHolidays,$AX$17)),1,0)</f>
        <v>0</v>
      </c>
    </row>
    <row r="44" spans="1:50" ht="5.0999999999999996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>
      <c r="A45" s="3"/>
      <c r="B45" s="82" t="s">
        <v>77</v>
      </c>
      <c r="C45" s="83"/>
      <c r="D45" s="83"/>
      <c r="E45" s="83"/>
      <c r="F45" s="83"/>
      <c r="G45" s="83"/>
      <c r="H45" s="84"/>
      <c r="I45" s="76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8"/>
      <c r="AV45" s="3"/>
      <c r="AW45" s="8"/>
      <c r="AX45" s="8"/>
    </row>
    <row r="46" spans="1:50" ht="18" customHeight="1">
      <c r="A46" s="3"/>
      <c r="B46" s="85"/>
      <c r="C46" s="86"/>
      <c r="D46" s="86"/>
      <c r="E46" s="86"/>
      <c r="F46" s="86"/>
      <c r="G46" s="86"/>
      <c r="H46" s="87"/>
      <c r="I46" s="79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1"/>
      <c r="AV46" s="3"/>
      <c r="AW46" s="8"/>
      <c r="AX46" s="8"/>
    </row>
    <row r="47" spans="1:50" ht="5.0999999999999996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>
      <c r="A48" s="3"/>
      <c r="B48" s="82" t="s">
        <v>78</v>
      </c>
      <c r="C48" s="83"/>
      <c r="D48" s="83"/>
      <c r="E48" s="83"/>
      <c r="F48" s="83"/>
      <c r="G48" s="83"/>
      <c r="H48" s="84"/>
      <c r="I48" s="88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90"/>
      <c r="AV48" s="3"/>
      <c r="AW48" s="8"/>
      <c r="AX48" s="8"/>
    </row>
    <row r="49" spans="1:50" ht="18" customHeight="1">
      <c r="A49" s="3"/>
      <c r="B49" s="97"/>
      <c r="C49" s="98"/>
      <c r="D49" s="98"/>
      <c r="E49" s="98"/>
      <c r="F49" s="98"/>
      <c r="G49" s="98"/>
      <c r="H49" s="99"/>
      <c r="I49" s="91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3"/>
      <c r="AV49" s="3"/>
      <c r="AW49" s="8"/>
      <c r="AX49" s="8"/>
    </row>
    <row r="50" spans="1:50" ht="18" customHeight="1">
      <c r="A50" s="3"/>
      <c r="B50" s="97"/>
      <c r="C50" s="98"/>
      <c r="D50" s="98"/>
      <c r="E50" s="98"/>
      <c r="F50" s="98"/>
      <c r="G50" s="98"/>
      <c r="H50" s="99"/>
      <c r="I50" s="91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3"/>
      <c r="AV50" s="3"/>
      <c r="AW50" s="8"/>
      <c r="AX50" s="8"/>
    </row>
    <row r="51" spans="1:50" ht="18" customHeight="1">
      <c r="A51" s="3"/>
      <c r="B51" s="97"/>
      <c r="C51" s="98"/>
      <c r="D51" s="98"/>
      <c r="E51" s="98"/>
      <c r="F51" s="98"/>
      <c r="G51" s="98"/>
      <c r="H51" s="99"/>
      <c r="I51" s="91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3"/>
      <c r="AV51" s="3"/>
      <c r="AW51" s="8"/>
      <c r="AX51" s="8"/>
    </row>
    <row r="52" spans="1:50" ht="18" customHeight="1">
      <c r="A52" s="3"/>
      <c r="B52" s="97"/>
      <c r="C52" s="98"/>
      <c r="D52" s="98"/>
      <c r="E52" s="98"/>
      <c r="F52" s="98"/>
      <c r="G52" s="98"/>
      <c r="H52" s="99"/>
      <c r="I52" s="91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3"/>
      <c r="AV52" s="3"/>
      <c r="AW52" s="8"/>
      <c r="AX52" s="8"/>
    </row>
    <row r="53" spans="1:50" ht="18" customHeight="1">
      <c r="A53" s="3"/>
      <c r="B53" s="97"/>
      <c r="C53" s="98"/>
      <c r="D53" s="98"/>
      <c r="E53" s="98"/>
      <c r="F53" s="98"/>
      <c r="G53" s="98"/>
      <c r="H53" s="99"/>
      <c r="I53" s="91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3"/>
      <c r="AV53" s="3"/>
      <c r="AW53" s="8"/>
      <c r="AX53" s="8"/>
    </row>
    <row r="54" spans="1:50" ht="18" customHeight="1">
      <c r="A54" s="3"/>
      <c r="B54" s="97"/>
      <c r="C54" s="98"/>
      <c r="D54" s="98"/>
      <c r="E54" s="98"/>
      <c r="F54" s="98"/>
      <c r="G54" s="98"/>
      <c r="H54" s="99"/>
      <c r="I54" s="91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3"/>
      <c r="AV54" s="3"/>
      <c r="AW54" s="8"/>
      <c r="AX54" s="8"/>
    </row>
    <row r="55" spans="1:50" ht="18" customHeight="1">
      <c r="A55" s="3"/>
      <c r="B55" s="97"/>
      <c r="C55" s="98"/>
      <c r="D55" s="98"/>
      <c r="E55" s="98"/>
      <c r="F55" s="98"/>
      <c r="G55" s="98"/>
      <c r="H55" s="99"/>
      <c r="I55" s="91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3"/>
      <c r="AV55" s="3"/>
      <c r="AW55" s="8"/>
      <c r="AX55" s="8"/>
    </row>
    <row r="56" spans="1:50" ht="18" customHeight="1">
      <c r="A56" s="3"/>
      <c r="B56" s="97"/>
      <c r="C56" s="98"/>
      <c r="D56" s="98"/>
      <c r="E56" s="98"/>
      <c r="F56" s="98"/>
      <c r="G56" s="98"/>
      <c r="H56" s="99"/>
      <c r="I56" s="91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3"/>
      <c r="AV56" s="3"/>
      <c r="AW56" s="8"/>
      <c r="AX56" s="8"/>
    </row>
    <row r="57" spans="1:50" ht="5.0999999999999996" customHeight="1">
      <c r="A57" s="3"/>
      <c r="B57" s="97"/>
      <c r="C57" s="98"/>
      <c r="D57" s="98"/>
      <c r="E57" s="98"/>
      <c r="F57" s="98"/>
      <c r="G57" s="98"/>
      <c r="H57" s="99"/>
      <c r="I57" s="91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3"/>
      <c r="AV57" s="3"/>
      <c r="AW57" s="8"/>
      <c r="AX57" s="8"/>
    </row>
    <row r="58" spans="1:50" ht="18" customHeight="1">
      <c r="A58" s="3"/>
      <c r="B58" s="97"/>
      <c r="C58" s="98"/>
      <c r="D58" s="98"/>
      <c r="E58" s="98"/>
      <c r="F58" s="98"/>
      <c r="G58" s="98"/>
      <c r="H58" s="99"/>
      <c r="I58" s="91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3"/>
      <c r="AV58" s="6"/>
      <c r="AW58" s="9"/>
      <c r="AX58" s="8"/>
    </row>
    <row r="59" spans="1:50" ht="18" customHeight="1">
      <c r="A59" s="3"/>
      <c r="B59" s="85"/>
      <c r="C59" s="86"/>
      <c r="D59" s="86"/>
      <c r="E59" s="86"/>
      <c r="F59" s="86"/>
      <c r="G59" s="86"/>
      <c r="H59" s="87"/>
      <c r="I59" s="94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  <c r="AT59" s="95"/>
      <c r="AU59" s="96"/>
      <c r="AV59" s="6"/>
      <c r="AW59" s="9"/>
      <c r="AX59" s="8"/>
    </row>
    <row r="60" spans="1:50" ht="5.0999999999999996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>
      <c r="A61" s="3"/>
      <c r="B61" s="70" t="s">
        <v>79</v>
      </c>
      <c r="C61" s="71"/>
      <c r="D61" s="71"/>
      <c r="E61" s="71"/>
      <c r="F61" s="71"/>
      <c r="G61" s="71"/>
      <c r="H61" s="72"/>
      <c r="I61" s="76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8"/>
      <c r="AV61" s="3"/>
      <c r="AW61" s="8"/>
      <c r="AX61" s="8"/>
    </row>
    <row r="62" spans="1:50" ht="18" customHeight="1">
      <c r="A62" s="3"/>
      <c r="B62" s="73"/>
      <c r="C62" s="74"/>
      <c r="D62" s="74"/>
      <c r="E62" s="74"/>
      <c r="F62" s="74"/>
      <c r="G62" s="74"/>
      <c r="H62" s="75"/>
      <c r="I62" s="79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1"/>
      <c r="AV62" s="3"/>
      <c r="AW62" s="8"/>
      <c r="AX62" s="8"/>
    </row>
    <row r="63" spans="1:50" ht="5.0999999999999996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>
      <c r="A64" s="3"/>
      <c r="B64" s="157" t="s">
        <v>220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28"/>
      <c r="N64" s="128"/>
      <c r="O64" s="128"/>
      <c r="P64" s="128"/>
      <c r="Q64" s="128"/>
      <c r="R64" s="128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11" t="s">
        <v>179</v>
      </c>
      <c r="AG64" s="111"/>
      <c r="AH64" s="111"/>
      <c r="AI64" s="111"/>
      <c r="AJ64" s="111"/>
      <c r="AK64" s="111"/>
      <c r="AL64" s="112" t="s">
        <v>40</v>
      </c>
      <c r="AM64" s="112"/>
      <c r="AN64" s="112"/>
      <c r="AO64" s="112"/>
      <c r="AP64" s="113"/>
      <c r="AQ64" s="113"/>
      <c r="AR64" s="113"/>
      <c r="AS64" s="107" t="s">
        <v>41</v>
      </c>
      <c r="AT64" s="107"/>
      <c r="AU64" s="107"/>
      <c r="AV64" s="3"/>
      <c r="AW64" s="8"/>
      <c r="AX64" s="8"/>
    </row>
    <row r="65" spans="1:50" ht="18" customHeight="1">
      <c r="A65" s="3"/>
      <c r="B65" s="155" t="s">
        <v>221</v>
      </c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28"/>
      <c r="N65" s="128"/>
      <c r="O65" s="128"/>
      <c r="P65" s="128"/>
      <c r="Q65" s="128"/>
      <c r="R65" s="128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11"/>
      <c r="AG65" s="111"/>
      <c r="AH65" s="111"/>
      <c r="AI65" s="111"/>
      <c r="AJ65" s="111"/>
      <c r="AK65" s="111"/>
      <c r="AL65" s="112" t="s">
        <v>42</v>
      </c>
      <c r="AM65" s="112"/>
      <c r="AN65" s="112"/>
      <c r="AO65" s="112"/>
      <c r="AP65" s="113"/>
      <c r="AQ65" s="113"/>
      <c r="AR65" s="113"/>
      <c r="AS65" s="107" t="s">
        <v>41</v>
      </c>
      <c r="AT65" s="107"/>
      <c r="AU65" s="107"/>
      <c r="AV65" s="3"/>
      <c r="AW65" s="8"/>
      <c r="AX65" s="8"/>
    </row>
    <row r="66" spans="1:50" ht="18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>
      <c r="A67" s="3"/>
      <c r="B67" s="126" t="s">
        <v>80</v>
      </c>
      <c r="C67" s="127"/>
      <c r="D67" s="127"/>
      <c r="E67" s="127"/>
      <c r="F67" s="127"/>
      <c r="G67" s="145"/>
      <c r="H67" s="117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118"/>
      <c r="T67" s="118"/>
      <c r="U67" s="118"/>
      <c r="V67" s="118"/>
      <c r="W67" s="152"/>
      <c r="X67" s="3"/>
      <c r="Y67" s="108" t="s">
        <v>222</v>
      </c>
      <c r="Z67" s="109"/>
      <c r="AA67" s="109"/>
      <c r="AB67" s="109"/>
      <c r="AC67" s="109"/>
      <c r="AD67" s="109"/>
      <c r="AE67" s="110"/>
      <c r="AF67" s="104"/>
      <c r="AG67" s="105"/>
      <c r="AH67" s="105"/>
      <c r="AI67" s="105"/>
      <c r="AJ67" s="105"/>
      <c r="AK67" s="105"/>
      <c r="AL67" s="105"/>
      <c r="AM67" s="105"/>
      <c r="AN67" s="105"/>
      <c r="AO67" s="105"/>
      <c r="AP67" s="105"/>
      <c r="AQ67" s="105"/>
      <c r="AR67" s="105"/>
      <c r="AS67" s="105"/>
      <c r="AT67" s="105"/>
      <c r="AU67" s="106"/>
      <c r="AV67" s="3"/>
      <c r="AW67" s="8"/>
      <c r="AX67" s="8"/>
    </row>
    <row r="68" spans="1:50" ht="5.0999999999999996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108" t="s">
        <v>223</v>
      </c>
      <c r="Z69" s="109"/>
      <c r="AA69" s="109"/>
      <c r="AB69" s="109"/>
      <c r="AC69" s="109"/>
      <c r="AD69" s="109"/>
      <c r="AE69" s="110"/>
      <c r="AF69" s="104"/>
      <c r="AG69" s="105"/>
      <c r="AH69" s="105"/>
      <c r="AI69" s="105"/>
      <c r="AJ69" s="105"/>
      <c r="AK69" s="105"/>
      <c r="AL69" s="105"/>
      <c r="AM69" s="105"/>
      <c r="AN69" s="105"/>
      <c r="AO69" s="105"/>
      <c r="AP69" s="105"/>
      <c r="AQ69" s="105"/>
      <c r="AR69" s="105"/>
      <c r="AS69" s="105"/>
      <c r="AT69" s="105"/>
      <c r="AU69" s="106"/>
      <c r="AV69" s="3"/>
      <c r="AW69" s="8"/>
      <c r="AX69" s="8"/>
    </row>
    <row r="70" spans="1:50" ht="18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/>
    <row r="108" spans="1:50" hidden="1"/>
    <row r="109" spans="1:50" hidden="1"/>
    <row r="110" spans="1:50" hidden="1"/>
    <row r="111" spans="1:50" hidden="1"/>
    <row r="112" spans="1:50" hidden="1"/>
    <row r="113" hidden="1"/>
    <row r="114" hidden="1"/>
    <row r="115" hidden="1"/>
    <row r="116" hidden="1"/>
  </sheetData>
  <sheetProtection sheet="1" objects="1" scenarios="1"/>
  <mergeCells count="276"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2:S13"/>
  <sheetViews>
    <sheetView showGridLines="0" workbookViewId="0">
      <selection activeCell="E8" sqref="E8"/>
    </sheetView>
  </sheetViews>
  <sheetFormatPr defaultRowHeight="15"/>
  <cols>
    <col min="1" max="1" width="2.85546875" style="60" customWidth="1"/>
    <col min="2" max="4" width="9.140625" style="60"/>
    <col min="5" max="5" width="12" style="60" bestFit="1" customWidth="1"/>
    <col min="6" max="8" width="9.140625" style="60"/>
    <col min="9" max="9" width="15.7109375" style="60" bestFit="1" customWidth="1"/>
    <col min="10" max="10" width="9.140625" style="60"/>
    <col min="11" max="11" width="16.7109375" style="60" bestFit="1" customWidth="1"/>
    <col min="12" max="16384" width="9.140625" style="60"/>
  </cols>
  <sheetData>
    <row r="2" spans="2:19">
      <c r="B2" s="58" t="s">
        <v>13</v>
      </c>
      <c r="C2" s="58"/>
      <c r="D2" s="58"/>
      <c r="E2" s="58" t="s">
        <v>14</v>
      </c>
      <c r="F2" s="58"/>
      <c r="G2" s="59"/>
      <c r="I2" s="59" t="s">
        <v>340</v>
      </c>
      <c r="K2" s="168" t="s">
        <v>322</v>
      </c>
      <c r="L2" s="168"/>
      <c r="M2" s="168"/>
      <c r="N2" s="168" t="s">
        <v>323</v>
      </c>
      <c r="O2" s="168"/>
      <c r="P2" s="168"/>
      <c r="Q2" s="168" t="s">
        <v>341</v>
      </c>
      <c r="R2" s="168"/>
      <c r="S2" s="168"/>
    </row>
    <row r="3" spans="2:19">
      <c r="B3" s="165">
        <f>IF(Output!$B21,Output!$B21,"")</f>
        <v>42370.010416666664</v>
      </c>
      <c r="C3" s="166"/>
      <c r="D3" s="167"/>
      <c r="E3" s="165">
        <f>IF(Output!$E21,Output!$E21,"")</f>
        <v>42370.177083333292</v>
      </c>
      <c r="F3" s="166"/>
      <c r="G3" s="167"/>
      <c r="I3" s="61">
        <f t="shared" ref="I3:I4" si="0">IFERROR((E3-B3)*24,0)</f>
        <v>3.9999999990686774</v>
      </c>
      <c r="K3" s="169">
        <v>42370.208333333285</v>
      </c>
      <c r="L3" s="170"/>
      <c r="M3" s="171"/>
      <c r="N3" s="169">
        <v>42370.708333333168</v>
      </c>
      <c r="O3" s="170"/>
      <c r="P3" s="171"/>
      <c r="Q3" s="172">
        <v>8</v>
      </c>
      <c r="R3" s="173"/>
      <c r="S3" s="174"/>
    </row>
    <row r="4" spans="2:19">
      <c r="B4" s="165">
        <f>IF(Output!$B22,Output!$B22,"")</f>
        <v>42370.333333333256</v>
      </c>
      <c r="C4" s="166"/>
      <c r="D4" s="167"/>
      <c r="E4" s="165">
        <f>IF(Output!$E22,Output!$E22,"")</f>
        <v>42370.749999999825</v>
      </c>
      <c r="F4" s="166"/>
      <c r="G4" s="167"/>
      <c r="I4" s="61">
        <f t="shared" si="0"/>
        <v>9.9999999976716936</v>
      </c>
    </row>
    <row r="5" spans="2:19">
      <c r="B5" s="165">
        <f>IF(Output!$B23,Output!$B23,"")</f>
        <v>42370.833333333139</v>
      </c>
      <c r="C5" s="166"/>
      <c r="D5" s="167"/>
      <c r="E5" s="165">
        <f>IF(Output!$E23,Output!$E23,"")</f>
        <v>42370.95833333311</v>
      </c>
      <c r="F5" s="166"/>
      <c r="G5" s="167"/>
      <c r="I5" s="61">
        <f>IFERROR((E5-B5)*24,0)</f>
        <v>2.9999999993015081</v>
      </c>
    </row>
    <row r="6" spans="2:19">
      <c r="I6" s="62">
        <f>SUM(I3:I5)</f>
        <v>16.999999996041879</v>
      </c>
    </row>
    <row r="7" spans="2:19">
      <c r="B7" s="58" t="s">
        <v>12</v>
      </c>
      <c r="C7" s="63"/>
      <c r="D7" s="64"/>
      <c r="E7" s="59" t="s">
        <v>325</v>
      </c>
      <c r="F7" s="59" t="s">
        <v>325</v>
      </c>
      <c r="G7" s="59" t="s">
        <v>325</v>
      </c>
    </row>
    <row r="8" spans="2:19">
      <c r="B8" s="65" t="s">
        <v>324</v>
      </c>
      <c r="C8" s="66"/>
      <c r="D8" s="67"/>
      <c r="E8" s="55">
        <f>IFERROR((IF($B$3&lt;$K$3,MIN($K$3,$E$3)-$B$3,0) + IF($E$3&gt;$N$3,$E$3-MAX($N$3,$B$3),0))*24,0)</f>
        <v>3.9999999990686774</v>
      </c>
      <c r="F8" s="55">
        <f>IFERROR((IF($B$4&lt;$K$3,MIN($K$3,$E$4)-$B$4,0) + IF($E$4&gt;$N$3,$E$4-MAX($N$3,$B$4),0))*24,0)</f>
        <v>0.99999999976716936</v>
      </c>
      <c r="G8" s="55">
        <f>IFERROR((IF($B$5&lt;$K$3,MIN($K$3,$E$5)-$B$5,0) + IF($E$5&gt;$N$3,$E$5-MAX($N$3,$B$5),0))*24,0)</f>
        <v>2.9999999993015081</v>
      </c>
      <c r="I8" s="59" t="s">
        <v>342</v>
      </c>
      <c r="K8" s="68" t="s">
        <v>343</v>
      </c>
      <c r="L8" s="68" t="s">
        <v>344</v>
      </c>
      <c r="M8" s="68" t="s">
        <v>345</v>
      </c>
    </row>
    <row r="9" spans="2:19">
      <c r="B9" s="65" t="s">
        <v>321</v>
      </c>
      <c r="C9" s="66"/>
      <c r="D9" s="67"/>
      <c r="E9" s="55">
        <f>M9</f>
        <v>0</v>
      </c>
      <c r="F9" s="55">
        <f>M10</f>
        <v>0.99999999790452421</v>
      </c>
      <c r="G9" s="55">
        <f>M11</f>
        <v>0</v>
      </c>
      <c r="I9" s="62">
        <f>MAX(0,(I6-$Q$3)-SUM($E$8:$G$8))</f>
        <v>0.99999999790452421</v>
      </c>
      <c r="K9" s="69">
        <f>MAX(0,$Q$3-SUM($I3:$I$3))</f>
        <v>4.0000000009313226</v>
      </c>
      <c r="L9" s="69">
        <f>I9</f>
        <v>0.99999999790452421</v>
      </c>
      <c r="M9" s="69">
        <f>IF($K9&gt;0,0,$L$9)</f>
        <v>0</v>
      </c>
    </row>
    <row r="10" spans="2:19">
      <c r="B10" s="65" t="s">
        <v>320</v>
      </c>
      <c r="C10" s="66"/>
      <c r="D10" s="67"/>
      <c r="E10" s="55">
        <f ca="1">IF(Output!$AX$43,IFERROR(($E$3-$B$3)*24-SUM($E$8:$E$9),0),0)</f>
        <v>0</v>
      </c>
      <c r="F10" s="55">
        <f ca="1">IF(Output!$AX$43,IFERROR(($E$4-$B$4)*24-SUM($F$8:$F$9),0),0)</f>
        <v>0</v>
      </c>
      <c r="G10" s="55">
        <f ca="1">IF(Output!$AX$43,IFERROR(($E$5-$B$5)*24-SUM($G$8:$G$9),0),0)</f>
        <v>0</v>
      </c>
      <c r="K10" s="69">
        <f>MAX(0,$Q$3-SUM($I$3:$I4))</f>
        <v>0</v>
      </c>
      <c r="L10" s="69">
        <f>L9-M9</f>
        <v>0.99999999790452421</v>
      </c>
      <c r="M10" s="69">
        <f>IF($K10&gt;0,0,$L$10)</f>
        <v>0.99999999790452421</v>
      </c>
    </row>
    <row r="11" spans="2:19">
      <c r="B11" s="58" t="s">
        <v>326</v>
      </c>
      <c r="C11" s="63"/>
      <c r="D11" s="64"/>
      <c r="E11" s="56">
        <f ca="1">SUM(E8:E10)</f>
        <v>3.9999999990686774</v>
      </c>
      <c r="F11" s="56">
        <f ca="1">SUM(F8:F10)</f>
        <v>1.9999999976716936</v>
      </c>
      <c r="G11" s="56">
        <f ca="1">SUM(G8:G10)</f>
        <v>2.9999999993015081</v>
      </c>
      <c r="K11" s="69">
        <f>MAX(0,$Q$3-SUM($I$3:$I5))</f>
        <v>0</v>
      </c>
      <c r="L11" s="69">
        <f>L10-M10</f>
        <v>0</v>
      </c>
      <c r="M11" s="69">
        <f>IF($K11&gt;0,0,$L$11)</f>
        <v>0</v>
      </c>
    </row>
    <row r="12" spans="2:19">
      <c r="B12" s="58" t="s">
        <v>327</v>
      </c>
      <c r="C12" s="63"/>
      <c r="D12" s="64"/>
      <c r="E12" s="56">
        <f ca="1">E13-E11</f>
        <v>0</v>
      </c>
      <c r="F12" s="56">
        <f ca="1">F13-F11</f>
        <v>8</v>
      </c>
      <c r="G12" s="56">
        <f ca="1">G13-G11</f>
        <v>0</v>
      </c>
    </row>
    <row r="13" spans="2:19">
      <c r="B13" s="58" t="s">
        <v>328</v>
      </c>
      <c r="C13" s="63"/>
      <c r="D13" s="64"/>
      <c r="E13" s="56">
        <f>IFERROR(($E$3-$B$3)*24,0)</f>
        <v>3.9999999990686774</v>
      </c>
      <c r="F13" s="56">
        <f>IFERROR(($E$4-$B$4)*24,0)</f>
        <v>9.9999999976716936</v>
      </c>
      <c r="G13" s="56">
        <f>IFERROR(($E$5-$B$5)*24,0)</f>
        <v>2.9999999993015081</v>
      </c>
    </row>
  </sheetData>
  <mergeCells count="12">
    <mergeCell ref="B5:D5"/>
    <mergeCell ref="E5:G5"/>
    <mergeCell ref="B3:D3"/>
    <mergeCell ref="E3:G3"/>
    <mergeCell ref="Q2:S2"/>
    <mergeCell ref="K3:M3"/>
    <mergeCell ref="N3:P3"/>
    <mergeCell ref="Q3:S3"/>
    <mergeCell ref="B4:D4"/>
    <mergeCell ref="E4:G4"/>
    <mergeCell ref="K2:M2"/>
    <mergeCell ref="N2:P2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D116"/>
  <sheetViews>
    <sheetView topLeftCell="G1" workbookViewId="0">
      <selection activeCell="U3" sqref="U3"/>
    </sheetView>
  </sheetViews>
  <sheetFormatPr defaultColWidth="0" defaultRowHeight="15" zeroHeight="1"/>
  <cols>
    <col min="1" max="1" width="12" style="16" customWidth="1"/>
    <col min="2" max="2" width="34.42578125" style="16" bestFit="1" customWidth="1"/>
    <col min="3" max="28" width="15.7109375" style="16" customWidth="1"/>
    <col min="29" max="30" width="0" style="38" hidden="1" customWidth="1"/>
    <col min="31" max="16384" width="9.140625" style="38" hidden="1"/>
  </cols>
  <sheetData>
    <row r="1" spans="1:28" ht="30">
      <c r="A1" s="43" t="s">
        <v>237</v>
      </c>
      <c r="B1" s="43" t="s">
        <v>238</v>
      </c>
      <c r="C1" s="44" t="s">
        <v>86</v>
      </c>
      <c r="D1" s="44" t="s">
        <v>199</v>
      </c>
      <c r="E1" s="44" t="s">
        <v>346</v>
      </c>
      <c r="F1" s="44" t="s">
        <v>200</v>
      </c>
      <c r="G1" s="44" t="s">
        <v>201</v>
      </c>
      <c r="H1" s="44" t="s">
        <v>202</v>
      </c>
      <c r="I1" s="44" t="s">
        <v>203</v>
      </c>
      <c r="J1" s="44" t="s">
        <v>204</v>
      </c>
      <c r="K1" s="44" t="s">
        <v>205</v>
      </c>
      <c r="L1" s="44" t="s">
        <v>206</v>
      </c>
      <c r="M1" s="44" t="s">
        <v>207</v>
      </c>
      <c r="N1" s="44" t="s">
        <v>208</v>
      </c>
      <c r="O1" s="44" t="s">
        <v>209</v>
      </c>
      <c r="P1" s="44" t="s">
        <v>337</v>
      </c>
      <c r="Q1" s="44" t="s">
        <v>210</v>
      </c>
      <c r="R1" s="44" t="s">
        <v>338</v>
      </c>
      <c r="S1" s="44" t="s">
        <v>211</v>
      </c>
      <c r="T1" s="45" t="s">
        <v>212</v>
      </c>
      <c r="U1" s="44" t="s">
        <v>213</v>
      </c>
      <c r="V1" s="44" t="s">
        <v>198</v>
      </c>
      <c r="W1" s="44" t="s">
        <v>347</v>
      </c>
      <c r="X1" s="36"/>
      <c r="Y1" s="36"/>
      <c r="Z1" s="36"/>
      <c r="AA1" s="36"/>
      <c r="AB1" s="37"/>
    </row>
    <row r="2" spans="1:28">
      <c r="A2" s="46">
        <v>1.5</v>
      </c>
      <c r="B2" s="50" t="s">
        <v>250</v>
      </c>
      <c r="C2" s="19">
        <v>0</v>
      </c>
      <c r="D2" s="33">
        <v>90</v>
      </c>
      <c r="E2" s="33">
        <v>0</v>
      </c>
      <c r="F2" s="17">
        <v>70</v>
      </c>
      <c r="G2" s="33">
        <v>90</v>
      </c>
      <c r="H2" s="17">
        <v>73</v>
      </c>
      <c r="I2" s="33">
        <v>125</v>
      </c>
      <c r="J2" s="17">
        <v>125</v>
      </c>
      <c r="K2" s="17">
        <v>125</v>
      </c>
      <c r="L2" s="17">
        <v>85</v>
      </c>
      <c r="M2" s="33">
        <v>65</v>
      </c>
      <c r="N2" s="17">
        <v>110</v>
      </c>
      <c r="O2" s="33">
        <v>120</v>
      </c>
      <c r="P2" s="17">
        <v>115</v>
      </c>
      <c r="Q2" s="17">
        <v>115</v>
      </c>
      <c r="R2" s="17">
        <v>115</v>
      </c>
      <c r="S2" s="33">
        <v>140</v>
      </c>
      <c r="T2" s="17">
        <v>0</v>
      </c>
      <c r="U2" s="33">
        <v>90</v>
      </c>
      <c r="V2" s="17">
        <v>2.25</v>
      </c>
      <c r="W2" s="33">
        <v>0</v>
      </c>
      <c r="X2" s="17"/>
      <c r="Y2" s="33"/>
      <c r="Z2" s="17"/>
      <c r="AA2" s="33"/>
      <c r="AB2" s="17"/>
    </row>
    <row r="3" spans="1:28">
      <c r="A3" s="47">
        <v>1.5</v>
      </c>
      <c r="B3" s="50" t="s">
        <v>251</v>
      </c>
      <c r="C3" s="19">
        <v>0</v>
      </c>
      <c r="D3" s="33">
        <v>90</v>
      </c>
      <c r="E3" s="33">
        <v>82.5</v>
      </c>
      <c r="F3" s="17">
        <v>70</v>
      </c>
      <c r="G3" s="33">
        <v>90</v>
      </c>
      <c r="H3" s="17">
        <v>73</v>
      </c>
      <c r="I3" s="33">
        <v>125</v>
      </c>
      <c r="J3" s="17">
        <v>125</v>
      </c>
      <c r="K3" s="17">
        <v>125</v>
      </c>
      <c r="L3" s="17">
        <v>85</v>
      </c>
      <c r="M3" s="33">
        <v>65</v>
      </c>
      <c r="N3" s="17">
        <v>110</v>
      </c>
      <c r="O3" s="33">
        <v>120</v>
      </c>
      <c r="P3" s="17">
        <v>115</v>
      </c>
      <c r="Q3" s="17">
        <v>115</v>
      </c>
      <c r="R3" s="17">
        <v>115</v>
      </c>
      <c r="S3" s="33">
        <v>130</v>
      </c>
      <c r="T3" s="17">
        <v>0</v>
      </c>
      <c r="U3" s="33">
        <v>90</v>
      </c>
      <c r="V3" s="17">
        <v>2.25</v>
      </c>
      <c r="W3" s="33">
        <v>1.85</v>
      </c>
      <c r="X3" s="17"/>
      <c r="Y3" s="33"/>
      <c r="Z3" s="17"/>
      <c r="AA3" s="33"/>
      <c r="AB3" s="17"/>
    </row>
    <row r="4" spans="1:28">
      <c r="A4" s="47">
        <v>1.5</v>
      </c>
      <c r="B4" s="50" t="s">
        <v>252</v>
      </c>
      <c r="C4" s="19">
        <v>0</v>
      </c>
      <c r="D4" s="33">
        <v>90</v>
      </c>
      <c r="E4" s="33">
        <v>0</v>
      </c>
      <c r="F4" s="17">
        <v>70</v>
      </c>
      <c r="G4" s="33">
        <v>90</v>
      </c>
      <c r="H4" s="17">
        <v>73</v>
      </c>
      <c r="I4" s="33">
        <v>125</v>
      </c>
      <c r="J4" s="17">
        <v>125</v>
      </c>
      <c r="K4" s="17">
        <v>125</v>
      </c>
      <c r="L4" s="17">
        <v>85</v>
      </c>
      <c r="M4" s="33">
        <v>65</v>
      </c>
      <c r="N4" s="17">
        <v>110</v>
      </c>
      <c r="O4" s="33">
        <v>120</v>
      </c>
      <c r="P4" s="17">
        <v>115</v>
      </c>
      <c r="Q4" s="17">
        <v>115</v>
      </c>
      <c r="R4" s="17">
        <v>115</v>
      </c>
      <c r="S4" s="33">
        <v>140</v>
      </c>
      <c r="T4" s="17">
        <v>0</v>
      </c>
      <c r="U4" s="33">
        <v>90</v>
      </c>
      <c r="V4" s="17">
        <v>2.25</v>
      </c>
      <c r="W4" s="33">
        <v>0</v>
      </c>
      <c r="X4" s="17"/>
      <c r="Y4" s="33"/>
      <c r="Z4" s="17"/>
      <c r="AA4" s="33"/>
      <c r="AB4" s="17"/>
    </row>
    <row r="5" spans="1:28">
      <c r="A5" s="47">
        <v>1.5</v>
      </c>
      <c r="B5" s="50" t="s">
        <v>253</v>
      </c>
      <c r="C5" s="19">
        <v>0</v>
      </c>
      <c r="D5" s="33">
        <v>90</v>
      </c>
      <c r="E5" s="33">
        <v>0</v>
      </c>
      <c r="F5" s="17">
        <v>70</v>
      </c>
      <c r="G5" s="33">
        <v>90</v>
      </c>
      <c r="H5" s="17">
        <v>73</v>
      </c>
      <c r="I5" s="33">
        <v>125</v>
      </c>
      <c r="J5" s="17">
        <v>125</v>
      </c>
      <c r="K5" s="17">
        <v>125</v>
      </c>
      <c r="L5" s="17">
        <v>85</v>
      </c>
      <c r="M5" s="33">
        <v>65</v>
      </c>
      <c r="N5" s="17">
        <v>110</v>
      </c>
      <c r="O5" s="33">
        <v>120</v>
      </c>
      <c r="P5" s="17">
        <v>115</v>
      </c>
      <c r="Q5" s="17">
        <v>115</v>
      </c>
      <c r="R5" s="17">
        <v>115</v>
      </c>
      <c r="S5" s="33">
        <v>140</v>
      </c>
      <c r="T5" s="17">
        <v>0</v>
      </c>
      <c r="U5" s="33">
        <v>90</v>
      </c>
      <c r="V5" s="17">
        <v>2.25</v>
      </c>
      <c r="W5" s="33">
        <v>0</v>
      </c>
      <c r="X5" s="17"/>
      <c r="Y5" s="33"/>
      <c r="Z5" s="17"/>
      <c r="AA5" s="33"/>
      <c r="AB5" s="17"/>
    </row>
    <row r="6" spans="1:28">
      <c r="A6" s="47">
        <v>1.5</v>
      </c>
      <c r="B6" s="50" t="s">
        <v>254</v>
      </c>
      <c r="C6" s="19">
        <v>0</v>
      </c>
      <c r="D6" s="33">
        <v>95</v>
      </c>
      <c r="E6" s="33">
        <v>0</v>
      </c>
      <c r="F6" s="17">
        <v>70</v>
      </c>
      <c r="G6" s="33">
        <v>90</v>
      </c>
      <c r="H6" s="17">
        <v>73</v>
      </c>
      <c r="I6" s="33">
        <v>125</v>
      </c>
      <c r="J6" s="17">
        <v>125</v>
      </c>
      <c r="K6" s="17">
        <v>125</v>
      </c>
      <c r="L6" s="17">
        <v>85</v>
      </c>
      <c r="M6" s="33">
        <v>65</v>
      </c>
      <c r="N6" s="17">
        <v>110</v>
      </c>
      <c r="O6" s="33">
        <v>120</v>
      </c>
      <c r="P6" s="17">
        <v>115</v>
      </c>
      <c r="Q6" s="17">
        <v>115</v>
      </c>
      <c r="R6" s="17">
        <v>115</v>
      </c>
      <c r="S6" s="33">
        <v>140</v>
      </c>
      <c r="T6" s="17">
        <v>0</v>
      </c>
      <c r="U6" s="33">
        <v>90</v>
      </c>
      <c r="V6" s="17">
        <v>2.75</v>
      </c>
      <c r="W6" s="33">
        <v>0</v>
      </c>
      <c r="X6" s="17"/>
      <c r="Y6" s="33"/>
      <c r="Z6" s="17"/>
      <c r="AA6" s="33"/>
      <c r="AB6" s="17"/>
    </row>
    <row r="7" spans="1:28">
      <c r="A7" s="47">
        <v>1.5</v>
      </c>
      <c r="B7" s="50" t="s">
        <v>308</v>
      </c>
      <c r="C7" s="19">
        <v>0</v>
      </c>
      <c r="D7" s="33">
        <v>90</v>
      </c>
      <c r="E7" s="33">
        <v>0</v>
      </c>
      <c r="F7" s="17">
        <v>70</v>
      </c>
      <c r="G7" s="33">
        <v>90</v>
      </c>
      <c r="H7" s="17">
        <v>73</v>
      </c>
      <c r="I7" s="33">
        <v>125</v>
      </c>
      <c r="J7" s="17">
        <v>125</v>
      </c>
      <c r="K7" s="17">
        <v>125</v>
      </c>
      <c r="L7" s="17">
        <v>85</v>
      </c>
      <c r="M7" s="33">
        <v>65</v>
      </c>
      <c r="N7" s="17">
        <v>110</v>
      </c>
      <c r="O7" s="33">
        <v>120</v>
      </c>
      <c r="P7" s="17">
        <v>115</v>
      </c>
      <c r="Q7" s="17">
        <v>115</v>
      </c>
      <c r="R7" s="17">
        <v>115</v>
      </c>
      <c r="S7" s="33">
        <v>140</v>
      </c>
      <c r="T7" s="17">
        <v>0</v>
      </c>
      <c r="U7" s="33">
        <v>90</v>
      </c>
      <c r="V7" s="17">
        <v>2.25</v>
      </c>
      <c r="W7" s="33">
        <v>0</v>
      </c>
      <c r="X7" s="17"/>
      <c r="Y7" s="33"/>
      <c r="Z7" s="17"/>
      <c r="AA7" s="33"/>
      <c r="AB7" s="17"/>
    </row>
    <row r="8" spans="1:28">
      <c r="A8" s="47">
        <v>1.5</v>
      </c>
      <c r="B8" s="50" t="s">
        <v>255</v>
      </c>
      <c r="C8" s="19">
        <v>0</v>
      </c>
      <c r="D8" s="33">
        <v>90</v>
      </c>
      <c r="E8" s="33">
        <v>0</v>
      </c>
      <c r="F8" s="17">
        <v>70</v>
      </c>
      <c r="G8" s="33">
        <v>90</v>
      </c>
      <c r="H8" s="17">
        <v>73</v>
      </c>
      <c r="I8" s="33">
        <v>125</v>
      </c>
      <c r="J8" s="17">
        <v>125</v>
      </c>
      <c r="K8" s="17">
        <v>125</v>
      </c>
      <c r="L8" s="17">
        <v>85</v>
      </c>
      <c r="M8" s="33">
        <v>65</v>
      </c>
      <c r="N8" s="17">
        <v>110</v>
      </c>
      <c r="O8" s="33">
        <v>120</v>
      </c>
      <c r="P8" s="17">
        <v>115</v>
      </c>
      <c r="Q8" s="17">
        <v>115</v>
      </c>
      <c r="R8" s="17">
        <v>115</v>
      </c>
      <c r="S8" s="33">
        <v>140</v>
      </c>
      <c r="T8" s="17">
        <v>0</v>
      </c>
      <c r="U8" s="33">
        <v>90</v>
      </c>
      <c r="V8" s="17">
        <v>2.35</v>
      </c>
      <c r="W8" s="33">
        <v>0</v>
      </c>
      <c r="X8" s="17"/>
      <c r="Y8" s="33"/>
      <c r="Z8" s="17"/>
      <c r="AA8" s="33"/>
      <c r="AB8" s="17"/>
    </row>
    <row r="9" spans="1:28">
      <c r="A9" s="47">
        <v>1.5</v>
      </c>
      <c r="B9" s="50" t="s">
        <v>256</v>
      </c>
      <c r="C9" s="19">
        <v>0</v>
      </c>
      <c r="D9" s="33">
        <v>90</v>
      </c>
      <c r="E9" s="33">
        <v>0</v>
      </c>
      <c r="F9" s="17">
        <v>70</v>
      </c>
      <c r="G9" s="33">
        <v>90</v>
      </c>
      <c r="H9" s="17">
        <v>73</v>
      </c>
      <c r="I9" s="33">
        <v>125</v>
      </c>
      <c r="J9" s="17">
        <v>125</v>
      </c>
      <c r="K9" s="17">
        <v>125</v>
      </c>
      <c r="L9" s="17">
        <v>85</v>
      </c>
      <c r="M9" s="33">
        <v>65</v>
      </c>
      <c r="N9" s="17">
        <v>110</v>
      </c>
      <c r="O9" s="33">
        <v>120</v>
      </c>
      <c r="P9" s="17">
        <v>115</v>
      </c>
      <c r="Q9" s="17">
        <v>115</v>
      </c>
      <c r="R9" s="17">
        <v>115</v>
      </c>
      <c r="S9" s="33">
        <v>140</v>
      </c>
      <c r="T9" s="17">
        <v>0</v>
      </c>
      <c r="U9" s="33">
        <v>90</v>
      </c>
      <c r="V9" s="17">
        <v>2.25</v>
      </c>
      <c r="W9" s="33">
        <v>0</v>
      </c>
      <c r="X9" s="17"/>
      <c r="Y9" s="33"/>
      <c r="Z9" s="17"/>
      <c r="AA9" s="33"/>
      <c r="AB9" s="17"/>
    </row>
    <row r="10" spans="1:28">
      <c r="A10" s="47">
        <v>1.5</v>
      </c>
      <c r="B10" s="50" t="s">
        <v>257</v>
      </c>
      <c r="C10" s="19">
        <v>0</v>
      </c>
      <c r="D10" s="33">
        <v>90</v>
      </c>
      <c r="E10" s="33">
        <v>0</v>
      </c>
      <c r="F10" s="17">
        <v>70</v>
      </c>
      <c r="G10" s="33">
        <v>90</v>
      </c>
      <c r="H10" s="17">
        <v>73</v>
      </c>
      <c r="I10" s="33">
        <v>125</v>
      </c>
      <c r="J10" s="17">
        <v>125</v>
      </c>
      <c r="K10" s="17">
        <v>125</v>
      </c>
      <c r="L10" s="17">
        <v>85</v>
      </c>
      <c r="M10" s="33">
        <v>65</v>
      </c>
      <c r="N10" s="17">
        <v>110</v>
      </c>
      <c r="O10" s="33">
        <v>120</v>
      </c>
      <c r="P10" s="17">
        <v>115</v>
      </c>
      <c r="Q10" s="17">
        <v>115</v>
      </c>
      <c r="R10" s="17">
        <v>115</v>
      </c>
      <c r="S10" s="33">
        <v>140</v>
      </c>
      <c r="T10" s="17">
        <v>0</v>
      </c>
      <c r="U10" s="33">
        <v>90</v>
      </c>
      <c r="V10" s="17">
        <v>2.25</v>
      </c>
      <c r="W10" s="33">
        <v>0</v>
      </c>
      <c r="X10" s="17"/>
      <c r="Y10" s="34"/>
      <c r="Z10" s="17"/>
      <c r="AA10" s="34"/>
      <c r="AB10" s="17"/>
    </row>
    <row r="11" spans="1:28">
      <c r="A11" s="47">
        <v>1.5</v>
      </c>
      <c r="B11" s="50" t="s">
        <v>258</v>
      </c>
      <c r="C11" s="19">
        <v>0</v>
      </c>
      <c r="D11" s="33">
        <v>90</v>
      </c>
      <c r="E11" s="33">
        <v>0</v>
      </c>
      <c r="F11" s="17">
        <v>70</v>
      </c>
      <c r="G11" s="33">
        <v>90</v>
      </c>
      <c r="H11" s="17">
        <v>73</v>
      </c>
      <c r="I11" s="33">
        <v>125</v>
      </c>
      <c r="J11" s="17">
        <v>125</v>
      </c>
      <c r="K11" s="17">
        <v>125</v>
      </c>
      <c r="L11" s="17">
        <v>85</v>
      </c>
      <c r="M11" s="33">
        <v>65</v>
      </c>
      <c r="N11" s="17">
        <v>110</v>
      </c>
      <c r="O11" s="33">
        <v>120</v>
      </c>
      <c r="P11" s="17">
        <v>115</v>
      </c>
      <c r="Q11" s="17">
        <v>115</v>
      </c>
      <c r="R11" s="17">
        <v>115</v>
      </c>
      <c r="S11" s="33">
        <v>140</v>
      </c>
      <c r="T11" s="17">
        <v>0</v>
      </c>
      <c r="U11" s="33">
        <v>90</v>
      </c>
      <c r="V11" s="17">
        <v>2.25</v>
      </c>
      <c r="W11" s="33">
        <v>0</v>
      </c>
      <c r="X11" s="17"/>
      <c r="Y11" s="34"/>
      <c r="Z11" s="17"/>
      <c r="AA11" s="34"/>
      <c r="AB11" s="17"/>
    </row>
    <row r="12" spans="1:28">
      <c r="A12" s="47">
        <v>1.5</v>
      </c>
      <c r="B12" s="50" t="s">
        <v>259</v>
      </c>
      <c r="C12" s="19">
        <v>0</v>
      </c>
      <c r="D12" s="33">
        <v>90</v>
      </c>
      <c r="E12" s="33">
        <v>0</v>
      </c>
      <c r="F12" s="17">
        <v>70</v>
      </c>
      <c r="G12" s="33">
        <v>90</v>
      </c>
      <c r="H12" s="17">
        <v>73</v>
      </c>
      <c r="I12" s="33">
        <v>125</v>
      </c>
      <c r="J12" s="17">
        <v>125</v>
      </c>
      <c r="K12" s="17">
        <v>125</v>
      </c>
      <c r="L12" s="17">
        <v>85</v>
      </c>
      <c r="M12" s="33">
        <v>65</v>
      </c>
      <c r="N12" s="17">
        <v>110</v>
      </c>
      <c r="O12" s="33">
        <v>120</v>
      </c>
      <c r="P12" s="17">
        <v>115</v>
      </c>
      <c r="Q12" s="17">
        <v>115</v>
      </c>
      <c r="R12" s="17">
        <v>115</v>
      </c>
      <c r="S12" s="33">
        <v>140</v>
      </c>
      <c r="T12" s="17">
        <v>0</v>
      </c>
      <c r="U12" s="33">
        <v>90</v>
      </c>
      <c r="V12" s="17">
        <v>2.25</v>
      </c>
      <c r="W12" s="33">
        <v>0</v>
      </c>
      <c r="X12" s="17"/>
      <c r="Y12" s="34"/>
      <c r="Z12" s="17"/>
      <c r="AA12" s="34"/>
      <c r="AB12" s="17"/>
    </row>
    <row r="13" spans="1:28">
      <c r="A13" s="47">
        <v>1.5</v>
      </c>
      <c r="B13" s="50" t="s">
        <v>260</v>
      </c>
      <c r="C13" s="19">
        <v>0</v>
      </c>
      <c r="D13" s="33">
        <v>95</v>
      </c>
      <c r="E13" s="33">
        <v>0</v>
      </c>
      <c r="F13" s="17">
        <v>70</v>
      </c>
      <c r="G13" s="33">
        <v>90</v>
      </c>
      <c r="H13" s="17">
        <v>73</v>
      </c>
      <c r="I13" s="33">
        <v>125</v>
      </c>
      <c r="J13" s="17">
        <v>125</v>
      </c>
      <c r="K13" s="17">
        <v>125</v>
      </c>
      <c r="L13" s="17">
        <v>85</v>
      </c>
      <c r="M13" s="33">
        <v>65</v>
      </c>
      <c r="N13" s="17">
        <v>110</v>
      </c>
      <c r="O13" s="33">
        <v>120</v>
      </c>
      <c r="P13" s="17">
        <v>115</v>
      </c>
      <c r="Q13" s="17">
        <v>115</v>
      </c>
      <c r="R13" s="17">
        <v>115</v>
      </c>
      <c r="S13" s="33">
        <v>140</v>
      </c>
      <c r="T13" s="17">
        <v>0</v>
      </c>
      <c r="U13" s="33">
        <v>90</v>
      </c>
      <c r="V13" s="17">
        <v>2.75</v>
      </c>
      <c r="W13" s="33">
        <v>0</v>
      </c>
      <c r="X13" s="17"/>
      <c r="Y13" s="34"/>
      <c r="Z13" s="17"/>
      <c r="AA13" s="34"/>
      <c r="AB13" s="17"/>
    </row>
    <row r="14" spans="1:28">
      <c r="A14" s="47">
        <v>1.5</v>
      </c>
      <c r="B14" s="50" t="s">
        <v>261</v>
      </c>
      <c r="C14" s="19">
        <v>0</v>
      </c>
      <c r="D14" s="33">
        <v>95</v>
      </c>
      <c r="E14" s="33">
        <v>0</v>
      </c>
      <c r="F14" s="17">
        <v>70</v>
      </c>
      <c r="G14" s="33">
        <v>90</v>
      </c>
      <c r="H14" s="17">
        <v>73</v>
      </c>
      <c r="I14" s="33">
        <v>125</v>
      </c>
      <c r="J14" s="17">
        <v>125</v>
      </c>
      <c r="K14" s="17">
        <v>125</v>
      </c>
      <c r="L14" s="17">
        <v>85</v>
      </c>
      <c r="M14" s="33">
        <v>65</v>
      </c>
      <c r="N14" s="17">
        <v>110</v>
      </c>
      <c r="O14" s="33">
        <v>120</v>
      </c>
      <c r="P14" s="17">
        <v>115</v>
      </c>
      <c r="Q14" s="17">
        <v>115</v>
      </c>
      <c r="R14" s="17">
        <v>115</v>
      </c>
      <c r="S14" s="33">
        <v>140</v>
      </c>
      <c r="T14" s="17">
        <v>0</v>
      </c>
      <c r="U14" s="33">
        <v>90</v>
      </c>
      <c r="V14" s="17">
        <v>2.75</v>
      </c>
      <c r="W14" s="33">
        <v>0</v>
      </c>
      <c r="X14" s="17"/>
      <c r="Y14" s="34"/>
      <c r="Z14" s="17"/>
      <c r="AA14" s="34"/>
      <c r="AB14" s="17"/>
    </row>
    <row r="15" spans="1:28">
      <c r="A15" s="47">
        <v>1.5</v>
      </c>
      <c r="B15" s="50" t="s">
        <v>262</v>
      </c>
      <c r="C15" s="19">
        <v>0</v>
      </c>
      <c r="D15" s="33">
        <v>90</v>
      </c>
      <c r="E15" s="33">
        <v>0</v>
      </c>
      <c r="F15" s="17">
        <v>70</v>
      </c>
      <c r="G15" s="33">
        <v>90</v>
      </c>
      <c r="H15" s="17">
        <v>73</v>
      </c>
      <c r="I15" s="33">
        <v>125</v>
      </c>
      <c r="J15" s="17">
        <v>125</v>
      </c>
      <c r="K15" s="17">
        <v>125</v>
      </c>
      <c r="L15" s="17">
        <v>85</v>
      </c>
      <c r="M15" s="33">
        <v>65</v>
      </c>
      <c r="N15" s="17">
        <v>110</v>
      </c>
      <c r="O15" s="33">
        <v>120</v>
      </c>
      <c r="P15" s="17">
        <v>115</v>
      </c>
      <c r="Q15" s="17">
        <v>115</v>
      </c>
      <c r="R15" s="17">
        <v>115</v>
      </c>
      <c r="S15" s="33">
        <v>140</v>
      </c>
      <c r="T15" s="17">
        <v>0</v>
      </c>
      <c r="U15" s="33">
        <v>90</v>
      </c>
      <c r="V15" s="17">
        <v>2.25</v>
      </c>
      <c r="W15" s="33">
        <v>0</v>
      </c>
      <c r="X15" s="17"/>
      <c r="Y15" s="34"/>
      <c r="Z15" s="17"/>
      <c r="AA15" s="34"/>
      <c r="AB15" s="17"/>
    </row>
    <row r="16" spans="1:28">
      <c r="A16" s="47">
        <v>1.5</v>
      </c>
      <c r="B16" s="50" t="s">
        <v>263</v>
      </c>
      <c r="C16" s="19">
        <v>0</v>
      </c>
      <c r="D16" s="33">
        <v>90</v>
      </c>
      <c r="E16" s="33">
        <v>0</v>
      </c>
      <c r="F16" s="17">
        <v>70</v>
      </c>
      <c r="G16" s="33">
        <v>90</v>
      </c>
      <c r="H16" s="17">
        <v>73</v>
      </c>
      <c r="I16" s="33">
        <v>125</v>
      </c>
      <c r="J16" s="17">
        <v>125</v>
      </c>
      <c r="K16" s="17">
        <v>125</v>
      </c>
      <c r="L16" s="17">
        <v>85</v>
      </c>
      <c r="M16" s="33">
        <v>65</v>
      </c>
      <c r="N16" s="17">
        <v>110</v>
      </c>
      <c r="O16" s="33">
        <v>120</v>
      </c>
      <c r="P16" s="17">
        <v>115</v>
      </c>
      <c r="Q16" s="17">
        <v>115</v>
      </c>
      <c r="R16" s="17">
        <v>115</v>
      </c>
      <c r="S16" s="33">
        <v>140</v>
      </c>
      <c r="T16" s="17">
        <v>0</v>
      </c>
      <c r="U16" s="33">
        <v>90</v>
      </c>
      <c r="V16" s="17">
        <v>2.25</v>
      </c>
      <c r="W16" s="33">
        <v>0</v>
      </c>
      <c r="X16" s="17"/>
      <c r="Y16" s="34"/>
      <c r="Z16" s="17"/>
      <c r="AA16" s="34"/>
      <c r="AB16" s="17"/>
    </row>
    <row r="17" spans="1:28">
      <c r="A17" s="47">
        <v>1.5</v>
      </c>
      <c r="B17" s="50" t="s">
        <v>264</v>
      </c>
      <c r="C17" s="19">
        <v>0</v>
      </c>
      <c r="D17" s="33">
        <v>95</v>
      </c>
      <c r="E17" s="33">
        <v>0</v>
      </c>
      <c r="F17" s="17">
        <v>70</v>
      </c>
      <c r="G17" s="33">
        <v>90</v>
      </c>
      <c r="H17" s="17">
        <v>73</v>
      </c>
      <c r="I17" s="33">
        <v>125</v>
      </c>
      <c r="J17" s="17">
        <v>125</v>
      </c>
      <c r="K17" s="17">
        <v>125</v>
      </c>
      <c r="L17" s="17">
        <v>85</v>
      </c>
      <c r="M17" s="33">
        <v>65</v>
      </c>
      <c r="N17" s="17">
        <v>110</v>
      </c>
      <c r="O17" s="33">
        <v>120</v>
      </c>
      <c r="P17" s="17">
        <v>115</v>
      </c>
      <c r="Q17" s="17">
        <v>115</v>
      </c>
      <c r="R17" s="17">
        <v>115</v>
      </c>
      <c r="S17" s="33">
        <v>140</v>
      </c>
      <c r="T17" s="17">
        <v>0</v>
      </c>
      <c r="U17" s="33">
        <v>90</v>
      </c>
      <c r="V17" s="17">
        <v>2.75</v>
      </c>
      <c r="W17" s="33">
        <v>0</v>
      </c>
      <c r="X17" s="17"/>
      <c r="Y17" s="34"/>
      <c r="Z17" s="17"/>
      <c r="AA17" s="34"/>
      <c r="AB17" s="17"/>
    </row>
    <row r="18" spans="1:28">
      <c r="A18" s="47">
        <v>1.5</v>
      </c>
      <c r="B18" s="50" t="s">
        <v>265</v>
      </c>
      <c r="C18" s="19">
        <v>0</v>
      </c>
      <c r="D18" s="33">
        <v>95</v>
      </c>
      <c r="E18" s="33">
        <v>0</v>
      </c>
      <c r="F18" s="17">
        <v>70</v>
      </c>
      <c r="G18" s="33">
        <v>90</v>
      </c>
      <c r="H18" s="17">
        <v>73</v>
      </c>
      <c r="I18" s="33">
        <v>125</v>
      </c>
      <c r="J18" s="17">
        <v>125</v>
      </c>
      <c r="K18" s="17">
        <v>125</v>
      </c>
      <c r="L18" s="17">
        <v>85</v>
      </c>
      <c r="M18" s="33">
        <v>65</v>
      </c>
      <c r="N18" s="17">
        <v>110</v>
      </c>
      <c r="O18" s="33">
        <v>120</v>
      </c>
      <c r="P18" s="17">
        <v>115</v>
      </c>
      <c r="Q18" s="17">
        <v>115</v>
      </c>
      <c r="R18" s="17">
        <v>115</v>
      </c>
      <c r="S18" s="33">
        <v>135</v>
      </c>
      <c r="T18" s="17">
        <v>135</v>
      </c>
      <c r="U18" s="33">
        <v>90</v>
      </c>
      <c r="V18" s="17">
        <v>2.75</v>
      </c>
      <c r="W18" s="33">
        <v>0</v>
      </c>
      <c r="X18" s="17"/>
      <c r="Y18" s="34"/>
      <c r="Z18" s="17"/>
      <c r="AA18" s="34"/>
      <c r="AB18" s="17"/>
    </row>
    <row r="19" spans="1:28">
      <c r="A19" s="47">
        <v>1.5</v>
      </c>
      <c r="B19" s="50" t="s">
        <v>266</v>
      </c>
      <c r="C19" s="19">
        <v>0</v>
      </c>
      <c r="D19" s="33">
        <v>90</v>
      </c>
      <c r="E19" s="33">
        <v>0</v>
      </c>
      <c r="F19" s="17">
        <v>70</v>
      </c>
      <c r="G19" s="33">
        <v>90</v>
      </c>
      <c r="H19" s="17">
        <v>73</v>
      </c>
      <c r="I19" s="33">
        <v>125</v>
      </c>
      <c r="J19" s="17">
        <v>125</v>
      </c>
      <c r="K19" s="17">
        <v>125</v>
      </c>
      <c r="L19" s="17">
        <v>85</v>
      </c>
      <c r="M19" s="33">
        <v>65</v>
      </c>
      <c r="N19" s="17">
        <v>110</v>
      </c>
      <c r="O19" s="33">
        <v>120</v>
      </c>
      <c r="P19" s="17">
        <v>115</v>
      </c>
      <c r="Q19" s="17">
        <v>115</v>
      </c>
      <c r="R19" s="17">
        <v>115</v>
      </c>
      <c r="S19" s="33">
        <v>135</v>
      </c>
      <c r="T19" s="17">
        <v>135</v>
      </c>
      <c r="U19" s="33">
        <v>90</v>
      </c>
      <c r="V19" s="17">
        <v>2.25</v>
      </c>
      <c r="W19" s="33">
        <v>0</v>
      </c>
      <c r="X19" s="17"/>
      <c r="Y19" s="34"/>
      <c r="Z19" s="17"/>
      <c r="AA19" s="34"/>
      <c r="AB19" s="17"/>
    </row>
    <row r="20" spans="1:28">
      <c r="A20" s="47">
        <v>1.5</v>
      </c>
      <c r="B20" s="50" t="s">
        <v>267</v>
      </c>
      <c r="C20" s="19">
        <v>0</v>
      </c>
      <c r="D20" s="33">
        <v>90</v>
      </c>
      <c r="E20" s="33">
        <v>0</v>
      </c>
      <c r="F20" s="17">
        <v>70</v>
      </c>
      <c r="G20" s="33">
        <v>90</v>
      </c>
      <c r="H20" s="17">
        <v>73</v>
      </c>
      <c r="I20" s="33">
        <v>125</v>
      </c>
      <c r="J20" s="17">
        <v>125</v>
      </c>
      <c r="K20" s="17">
        <v>125</v>
      </c>
      <c r="L20" s="17">
        <v>85</v>
      </c>
      <c r="M20" s="33">
        <v>65</v>
      </c>
      <c r="N20" s="17">
        <v>110</v>
      </c>
      <c r="O20" s="33">
        <v>120</v>
      </c>
      <c r="P20" s="17">
        <v>115</v>
      </c>
      <c r="Q20" s="17">
        <v>115</v>
      </c>
      <c r="R20" s="17">
        <v>115</v>
      </c>
      <c r="S20" s="33">
        <v>135</v>
      </c>
      <c r="T20" s="17">
        <v>135</v>
      </c>
      <c r="U20" s="33">
        <v>90</v>
      </c>
      <c r="V20" s="17">
        <v>2.25</v>
      </c>
      <c r="W20" s="33">
        <v>0</v>
      </c>
      <c r="X20" s="17"/>
      <c r="Y20" s="34"/>
      <c r="Z20" s="17"/>
      <c r="AA20" s="34"/>
      <c r="AB20" s="17"/>
    </row>
    <row r="21" spans="1:28">
      <c r="A21" s="47">
        <v>1.5</v>
      </c>
      <c r="B21" s="50" t="s">
        <v>268</v>
      </c>
      <c r="C21" s="19">
        <v>0</v>
      </c>
      <c r="D21" s="33">
        <v>90</v>
      </c>
      <c r="E21" s="33">
        <v>0</v>
      </c>
      <c r="F21" s="17">
        <v>70</v>
      </c>
      <c r="G21" s="33">
        <v>90</v>
      </c>
      <c r="H21" s="17">
        <v>73</v>
      </c>
      <c r="I21" s="33">
        <v>125</v>
      </c>
      <c r="J21" s="17">
        <v>125</v>
      </c>
      <c r="K21" s="17">
        <v>125</v>
      </c>
      <c r="L21" s="17">
        <v>85</v>
      </c>
      <c r="M21" s="33">
        <v>65</v>
      </c>
      <c r="N21" s="17">
        <v>110</v>
      </c>
      <c r="O21" s="33">
        <v>120</v>
      </c>
      <c r="P21" s="17">
        <v>115</v>
      </c>
      <c r="Q21" s="17">
        <v>115</v>
      </c>
      <c r="R21" s="17">
        <v>115</v>
      </c>
      <c r="S21" s="33">
        <v>140</v>
      </c>
      <c r="T21" s="17">
        <v>0</v>
      </c>
      <c r="U21" s="33">
        <v>90</v>
      </c>
      <c r="V21" s="17">
        <v>2.25</v>
      </c>
      <c r="W21" s="33">
        <v>0</v>
      </c>
      <c r="X21" s="17"/>
      <c r="Y21" s="34"/>
      <c r="Z21" s="17"/>
      <c r="AA21" s="34"/>
      <c r="AB21" s="17"/>
    </row>
    <row r="22" spans="1:28">
      <c r="A22" s="47">
        <v>1.5</v>
      </c>
      <c r="B22" s="50" t="s">
        <v>269</v>
      </c>
      <c r="C22" s="19">
        <v>0</v>
      </c>
      <c r="D22" s="33">
        <v>90</v>
      </c>
      <c r="E22" s="33">
        <v>0</v>
      </c>
      <c r="F22" s="17">
        <v>70</v>
      </c>
      <c r="G22" s="33">
        <v>90</v>
      </c>
      <c r="H22" s="17">
        <v>73</v>
      </c>
      <c r="I22" s="33">
        <v>125</v>
      </c>
      <c r="J22" s="17">
        <v>125</v>
      </c>
      <c r="K22" s="17">
        <v>125</v>
      </c>
      <c r="L22" s="17">
        <v>85</v>
      </c>
      <c r="M22" s="33">
        <v>65</v>
      </c>
      <c r="N22" s="17">
        <v>110</v>
      </c>
      <c r="O22" s="33">
        <v>120</v>
      </c>
      <c r="P22" s="17">
        <v>115</v>
      </c>
      <c r="Q22" s="17">
        <v>115</v>
      </c>
      <c r="R22" s="17">
        <v>115</v>
      </c>
      <c r="S22" s="33">
        <v>140</v>
      </c>
      <c r="T22" s="17">
        <v>0</v>
      </c>
      <c r="U22" s="33">
        <v>90</v>
      </c>
      <c r="V22" s="17">
        <v>2.25</v>
      </c>
      <c r="W22" s="33">
        <v>0</v>
      </c>
      <c r="X22" s="17"/>
      <c r="Y22" s="34"/>
      <c r="Z22" s="17"/>
      <c r="AA22" s="34"/>
      <c r="AB22" s="17"/>
    </row>
    <row r="23" spans="1:28">
      <c r="A23" s="47">
        <v>1.5</v>
      </c>
      <c r="B23" s="50" t="s">
        <v>298</v>
      </c>
      <c r="C23" s="19">
        <v>0</v>
      </c>
      <c r="D23" s="33">
        <v>95</v>
      </c>
      <c r="E23" s="33">
        <v>0</v>
      </c>
      <c r="F23" s="17">
        <v>70</v>
      </c>
      <c r="G23" s="33">
        <v>90</v>
      </c>
      <c r="H23" s="17">
        <v>73</v>
      </c>
      <c r="I23" s="33">
        <v>125</v>
      </c>
      <c r="J23" s="17">
        <v>125</v>
      </c>
      <c r="K23" s="17">
        <v>125</v>
      </c>
      <c r="L23" s="17">
        <v>85</v>
      </c>
      <c r="M23" s="33">
        <v>65</v>
      </c>
      <c r="N23" s="17">
        <v>110</v>
      </c>
      <c r="O23" s="33">
        <v>120</v>
      </c>
      <c r="P23" s="17">
        <v>115</v>
      </c>
      <c r="Q23" s="17">
        <v>115</v>
      </c>
      <c r="R23" s="17">
        <v>115</v>
      </c>
      <c r="S23" s="33">
        <v>140</v>
      </c>
      <c r="T23" s="17">
        <v>0</v>
      </c>
      <c r="U23" s="33">
        <v>90</v>
      </c>
      <c r="V23" s="17">
        <v>2.75</v>
      </c>
      <c r="W23" s="33">
        <v>0</v>
      </c>
      <c r="X23" s="17"/>
      <c r="Y23" s="34"/>
      <c r="Z23" s="17"/>
      <c r="AA23" s="34"/>
      <c r="AB23" s="17"/>
    </row>
    <row r="24" spans="1:28">
      <c r="A24" s="47">
        <v>1.5</v>
      </c>
      <c r="B24" s="50" t="s">
        <v>270</v>
      </c>
      <c r="C24" s="19">
        <v>0</v>
      </c>
      <c r="D24" s="33">
        <v>90</v>
      </c>
      <c r="E24" s="33">
        <v>0</v>
      </c>
      <c r="F24" s="17">
        <v>70</v>
      </c>
      <c r="G24" s="33">
        <v>90</v>
      </c>
      <c r="H24" s="17">
        <v>73</v>
      </c>
      <c r="I24" s="33">
        <v>125</v>
      </c>
      <c r="J24" s="17">
        <v>125</v>
      </c>
      <c r="K24" s="17">
        <v>125</v>
      </c>
      <c r="L24" s="17">
        <v>85</v>
      </c>
      <c r="M24" s="33">
        <v>65</v>
      </c>
      <c r="N24" s="17">
        <v>110</v>
      </c>
      <c r="O24" s="33">
        <v>120</v>
      </c>
      <c r="P24" s="17">
        <v>115</v>
      </c>
      <c r="Q24" s="17">
        <v>115</v>
      </c>
      <c r="R24" s="17">
        <v>115</v>
      </c>
      <c r="S24" s="33">
        <v>140</v>
      </c>
      <c r="T24" s="17">
        <v>0</v>
      </c>
      <c r="U24" s="33">
        <v>90</v>
      </c>
      <c r="V24" s="17">
        <v>2.25</v>
      </c>
      <c r="W24" s="33">
        <v>0</v>
      </c>
      <c r="X24" s="17"/>
      <c r="Y24" s="34"/>
      <c r="Z24" s="17"/>
      <c r="AA24" s="34"/>
      <c r="AB24" s="17"/>
    </row>
    <row r="25" spans="1:28">
      <c r="A25" s="47">
        <v>1.5</v>
      </c>
      <c r="B25" s="50" t="s">
        <v>271</v>
      </c>
      <c r="C25" s="19">
        <v>0</v>
      </c>
      <c r="D25" s="33">
        <v>90</v>
      </c>
      <c r="E25" s="33">
        <v>0</v>
      </c>
      <c r="F25" s="17">
        <v>70</v>
      </c>
      <c r="G25" s="33">
        <v>90</v>
      </c>
      <c r="H25" s="17">
        <v>73</v>
      </c>
      <c r="I25" s="33">
        <v>125</v>
      </c>
      <c r="J25" s="17">
        <v>125</v>
      </c>
      <c r="K25" s="17">
        <v>125</v>
      </c>
      <c r="L25" s="17">
        <v>85</v>
      </c>
      <c r="M25" s="33">
        <v>65</v>
      </c>
      <c r="N25" s="17">
        <v>110</v>
      </c>
      <c r="O25" s="33">
        <v>120</v>
      </c>
      <c r="P25" s="17">
        <v>115</v>
      </c>
      <c r="Q25" s="17">
        <v>115</v>
      </c>
      <c r="R25" s="17">
        <v>115</v>
      </c>
      <c r="S25" s="33">
        <v>140</v>
      </c>
      <c r="T25" s="17">
        <v>0</v>
      </c>
      <c r="U25" s="33">
        <v>90</v>
      </c>
      <c r="V25" s="17">
        <v>2.25</v>
      </c>
      <c r="W25" s="33">
        <v>0</v>
      </c>
      <c r="X25" s="17"/>
      <c r="Y25" s="34"/>
      <c r="Z25" s="17"/>
      <c r="AA25" s="34"/>
      <c r="AB25" s="17"/>
    </row>
    <row r="26" spans="1:28">
      <c r="A26" s="47">
        <v>1.5</v>
      </c>
      <c r="B26" s="50" t="s">
        <v>316</v>
      </c>
      <c r="C26" s="19">
        <v>0</v>
      </c>
      <c r="D26" s="33">
        <v>90</v>
      </c>
      <c r="E26" s="33">
        <v>0</v>
      </c>
      <c r="F26" s="17">
        <v>70</v>
      </c>
      <c r="G26" s="33">
        <v>90</v>
      </c>
      <c r="H26" s="17">
        <v>73</v>
      </c>
      <c r="I26" s="33">
        <v>125</v>
      </c>
      <c r="J26" s="17">
        <v>125</v>
      </c>
      <c r="K26" s="17">
        <v>125</v>
      </c>
      <c r="L26" s="17">
        <v>85</v>
      </c>
      <c r="M26" s="33">
        <v>65</v>
      </c>
      <c r="N26" s="17">
        <v>110</v>
      </c>
      <c r="O26" s="33">
        <v>120</v>
      </c>
      <c r="P26" s="17">
        <v>115</v>
      </c>
      <c r="Q26" s="17">
        <v>115</v>
      </c>
      <c r="R26" s="17">
        <v>115</v>
      </c>
      <c r="S26" s="33">
        <v>140</v>
      </c>
      <c r="T26" s="17">
        <v>0</v>
      </c>
      <c r="U26" s="33">
        <v>90</v>
      </c>
      <c r="V26" s="17">
        <v>2.25</v>
      </c>
      <c r="W26" s="33">
        <v>0</v>
      </c>
      <c r="X26" s="17"/>
      <c r="Y26" s="34"/>
      <c r="Z26" s="17"/>
      <c r="AA26" s="34"/>
      <c r="AB26" s="17"/>
    </row>
    <row r="27" spans="1:28">
      <c r="A27" s="47">
        <v>1.5</v>
      </c>
      <c r="B27" s="50" t="s">
        <v>272</v>
      </c>
      <c r="C27" s="19">
        <v>0</v>
      </c>
      <c r="D27" s="33">
        <v>90</v>
      </c>
      <c r="E27" s="33">
        <v>0</v>
      </c>
      <c r="F27" s="17">
        <v>70</v>
      </c>
      <c r="G27" s="33">
        <v>90</v>
      </c>
      <c r="H27" s="17">
        <v>73</v>
      </c>
      <c r="I27" s="33">
        <v>125</v>
      </c>
      <c r="J27" s="17">
        <v>125</v>
      </c>
      <c r="K27" s="17">
        <v>125</v>
      </c>
      <c r="L27" s="17">
        <v>85</v>
      </c>
      <c r="M27" s="33">
        <v>65</v>
      </c>
      <c r="N27" s="17">
        <v>110</v>
      </c>
      <c r="O27" s="33">
        <v>120</v>
      </c>
      <c r="P27" s="17">
        <v>115</v>
      </c>
      <c r="Q27" s="17">
        <v>115</v>
      </c>
      <c r="R27" s="17">
        <v>115</v>
      </c>
      <c r="S27" s="33">
        <v>140</v>
      </c>
      <c r="T27" s="17">
        <v>0</v>
      </c>
      <c r="U27" s="33">
        <v>90</v>
      </c>
      <c r="V27" s="17">
        <v>2.25</v>
      </c>
      <c r="W27" s="33">
        <v>0</v>
      </c>
      <c r="X27" s="17"/>
      <c r="Y27" s="34"/>
      <c r="Z27" s="17"/>
      <c r="AA27" s="34"/>
      <c r="AB27" s="17"/>
    </row>
    <row r="28" spans="1:28">
      <c r="A28" s="47">
        <v>1.5</v>
      </c>
      <c r="B28" s="50" t="s">
        <v>299</v>
      </c>
      <c r="C28" s="19">
        <v>0</v>
      </c>
      <c r="D28" s="33">
        <v>90</v>
      </c>
      <c r="E28" s="33">
        <v>0</v>
      </c>
      <c r="F28" s="17">
        <v>70</v>
      </c>
      <c r="G28" s="33">
        <v>90</v>
      </c>
      <c r="H28" s="17">
        <v>73</v>
      </c>
      <c r="I28" s="33">
        <v>125</v>
      </c>
      <c r="J28" s="17">
        <v>125</v>
      </c>
      <c r="K28" s="17">
        <v>125</v>
      </c>
      <c r="L28" s="17">
        <v>85</v>
      </c>
      <c r="M28" s="33">
        <v>65</v>
      </c>
      <c r="N28" s="17">
        <v>110</v>
      </c>
      <c r="O28" s="33">
        <v>120</v>
      </c>
      <c r="P28" s="17">
        <v>115</v>
      </c>
      <c r="Q28" s="17">
        <v>115</v>
      </c>
      <c r="R28" s="17">
        <v>115</v>
      </c>
      <c r="S28" s="33">
        <v>140</v>
      </c>
      <c r="T28" s="17">
        <v>0</v>
      </c>
      <c r="U28" s="33">
        <v>90</v>
      </c>
      <c r="V28" s="17">
        <v>2.25</v>
      </c>
      <c r="W28" s="33">
        <v>0</v>
      </c>
      <c r="X28" s="17"/>
      <c r="Y28" s="34"/>
      <c r="Z28" s="17"/>
      <c r="AA28" s="34"/>
      <c r="AB28" s="17"/>
    </row>
    <row r="29" spans="1:28">
      <c r="A29" s="47">
        <v>1.5</v>
      </c>
      <c r="B29" s="50" t="s">
        <v>300</v>
      </c>
      <c r="C29" s="19">
        <v>0</v>
      </c>
      <c r="D29" s="33">
        <v>90</v>
      </c>
      <c r="E29" s="33">
        <v>0</v>
      </c>
      <c r="F29" s="17">
        <v>70</v>
      </c>
      <c r="G29" s="33">
        <v>90</v>
      </c>
      <c r="H29" s="17">
        <v>73</v>
      </c>
      <c r="I29" s="33">
        <v>125</v>
      </c>
      <c r="J29" s="17">
        <v>125</v>
      </c>
      <c r="K29" s="17">
        <v>125</v>
      </c>
      <c r="L29" s="17">
        <v>85</v>
      </c>
      <c r="M29" s="33">
        <v>65</v>
      </c>
      <c r="N29" s="17">
        <v>110</v>
      </c>
      <c r="O29" s="33">
        <v>120</v>
      </c>
      <c r="P29" s="17">
        <v>115</v>
      </c>
      <c r="Q29" s="17">
        <v>115</v>
      </c>
      <c r="R29" s="17">
        <v>115</v>
      </c>
      <c r="S29" s="33">
        <v>140</v>
      </c>
      <c r="T29" s="17">
        <v>0</v>
      </c>
      <c r="U29" s="33">
        <v>90</v>
      </c>
      <c r="V29" s="17">
        <v>2.25</v>
      </c>
      <c r="W29" s="33">
        <v>0</v>
      </c>
      <c r="X29" s="17"/>
      <c r="Y29" s="34"/>
      <c r="Z29" s="17"/>
      <c r="AA29" s="34"/>
      <c r="AB29" s="17"/>
    </row>
    <row r="30" spans="1:28">
      <c r="A30" s="47">
        <v>1.5</v>
      </c>
      <c r="B30" s="50" t="s">
        <v>301</v>
      </c>
      <c r="C30" s="19">
        <v>0</v>
      </c>
      <c r="D30" s="33">
        <v>90</v>
      </c>
      <c r="E30" s="33">
        <v>0</v>
      </c>
      <c r="F30" s="17">
        <v>70</v>
      </c>
      <c r="G30" s="33">
        <v>90</v>
      </c>
      <c r="H30" s="17">
        <v>73</v>
      </c>
      <c r="I30" s="33">
        <v>125</v>
      </c>
      <c r="J30" s="17">
        <v>125</v>
      </c>
      <c r="K30" s="17">
        <v>125</v>
      </c>
      <c r="L30" s="17">
        <v>85</v>
      </c>
      <c r="M30" s="33">
        <v>65</v>
      </c>
      <c r="N30" s="17">
        <v>110</v>
      </c>
      <c r="O30" s="33">
        <v>120</v>
      </c>
      <c r="P30" s="17">
        <v>115</v>
      </c>
      <c r="Q30" s="17">
        <v>115</v>
      </c>
      <c r="R30" s="17">
        <v>115</v>
      </c>
      <c r="S30" s="33">
        <v>140</v>
      </c>
      <c r="T30" s="17">
        <v>0</v>
      </c>
      <c r="U30" s="33">
        <v>90</v>
      </c>
      <c r="V30" s="17">
        <v>2.25</v>
      </c>
      <c r="W30" s="33">
        <v>0</v>
      </c>
      <c r="X30" s="17"/>
      <c r="Y30" s="34"/>
      <c r="Z30" s="17"/>
      <c r="AA30" s="34"/>
      <c r="AB30" s="17"/>
    </row>
    <row r="31" spans="1:28">
      <c r="A31" s="47">
        <v>1.3</v>
      </c>
      <c r="B31" s="50" t="s">
        <v>273</v>
      </c>
      <c r="C31" s="19">
        <v>0</v>
      </c>
      <c r="D31" s="33">
        <v>90</v>
      </c>
      <c r="E31" s="33">
        <v>0</v>
      </c>
      <c r="F31" s="17">
        <v>70</v>
      </c>
      <c r="G31" s="33">
        <v>90</v>
      </c>
      <c r="H31" s="17">
        <v>73</v>
      </c>
      <c r="I31" s="33">
        <v>125</v>
      </c>
      <c r="J31" s="17">
        <v>125</v>
      </c>
      <c r="K31" s="17">
        <v>125</v>
      </c>
      <c r="L31" s="17">
        <v>85</v>
      </c>
      <c r="M31" s="33">
        <v>65</v>
      </c>
      <c r="N31" s="17">
        <v>110</v>
      </c>
      <c r="O31" s="33">
        <v>120</v>
      </c>
      <c r="P31" s="17">
        <v>115</v>
      </c>
      <c r="Q31" s="17">
        <v>115</v>
      </c>
      <c r="R31" s="17">
        <v>115</v>
      </c>
      <c r="S31" s="33">
        <v>140</v>
      </c>
      <c r="T31" s="17">
        <v>0</v>
      </c>
      <c r="U31" s="33">
        <v>90</v>
      </c>
      <c r="V31" s="17">
        <v>2.25</v>
      </c>
      <c r="W31" s="33">
        <v>0</v>
      </c>
      <c r="X31" s="17"/>
      <c r="Y31" s="34"/>
      <c r="Z31" s="17"/>
      <c r="AA31" s="34"/>
      <c r="AB31" s="17"/>
    </row>
    <row r="32" spans="1:28">
      <c r="A32" s="47">
        <v>1.3</v>
      </c>
      <c r="B32" s="50" t="s">
        <v>293</v>
      </c>
      <c r="C32" s="19">
        <v>0</v>
      </c>
      <c r="D32" s="33">
        <v>95</v>
      </c>
      <c r="E32" s="33">
        <v>0</v>
      </c>
      <c r="F32" s="17">
        <v>70</v>
      </c>
      <c r="G32" s="33">
        <v>90</v>
      </c>
      <c r="H32" s="17">
        <v>73</v>
      </c>
      <c r="I32" s="33">
        <v>125</v>
      </c>
      <c r="J32" s="17">
        <v>125</v>
      </c>
      <c r="K32" s="17">
        <v>125</v>
      </c>
      <c r="L32" s="17">
        <v>85</v>
      </c>
      <c r="M32" s="33">
        <v>65</v>
      </c>
      <c r="N32" s="17">
        <v>110</v>
      </c>
      <c r="O32" s="33">
        <v>120</v>
      </c>
      <c r="P32" s="17">
        <v>115</v>
      </c>
      <c r="Q32" s="17">
        <v>115</v>
      </c>
      <c r="R32" s="17">
        <v>115</v>
      </c>
      <c r="S32" s="33">
        <v>140</v>
      </c>
      <c r="T32" s="17">
        <v>0</v>
      </c>
      <c r="U32" s="33">
        <v>90</v>
      </c>
      <c r="V32" s="17">
        <v>2.75</v>
      </c>
      <c r="W32" s="33">
        <v>0</v>
      </c>
      <c r="X32" s="17"/>
      <c r="Y32" s="34"/>
      <c r="Z32" s="17"/>
      <c r="AA32" s="34"/>
      <c r="AB32" s="17"/>
    </row>
    <row r="33" spans="1:28">
      <c r="A33" s="47">
        <v>1.5</v>
      </c>
      <c r="B33" s="50" t="s">
        <v>274</v>
      </c>
      <c r="C33" s="19">
        <v>0</v>
      </c>
      <c r="D33" s="33">
        <v>90</v>
      </c>
      <c r="E33" s="33">
        <v>0</v>
      </c>
      <c r="F33" s="17">
        <v>70</v>
      </c>
      <c r="G33" s="33">
        <v>90</v>
      </c>
      <c r="H33" s="17">
        <v>73</v>
      </c>
      <c r="I33" s="33">
        <v>125</v>
      </c>
      <c r="J33" s="17">
        <v>125</v>
      </c>
      <c r="K33" s="17">
        <v>125</v>
      </c>
      <c r="L33" s="17">
        <v>85</v>
      </c>
      <c r="M33" s="33">
        <v>65</v>
      </c>
      <c r="N33" s="17">
        <v>110</v>
      </c>
      <c r="O33" s="33">
        <v>120</v>
      </c>
      <c r="P33" s="17">
        <v>115</v>
      </c>
      <c r="Q33" s="17">
        <v>115</v>
      </c>
      <c r="R33" s="17">
        <v>115</v>
      </c>
      <c r="S33" s="33">
        <v>140</v>
      </c>
      <c r="T33" s="17">
        <v>0</v>
      </c>
      <c r="U33" s="33">
        <v>90</v>
      </c>
      <c r="V33" s="17">
        <v>2.25</v>
      </c>
      <c r="W33" s="33">
        <v>0</v>
      </c>
      <c r="X33" s="17"/>
      <c r="Y33" s="34"/>
      <c r="Z33" s="17"/>
      <c r="AA33" s="34"/>
      <c r="AB33" s="17"/>
    </row>
    <row r="34" spans="1:28">
      <c r="A34" s="47">
        <v>1.5</v>
      </c>
      <c r="B34" s="50" t="s">
        <v>302</v>
      </c>
      <c r="C34" s="19">
        <v>0</v>
      </c>
      <c r="D34" s="33">
        <v>95</v>
      </c>
      <c r="E34" s="33">
        <v>0</v>
      </c>
      <c r="F34" s="17">
        <v>70</v>
      </c>
      <c r="G34" s="33">
        <v>90</v>
      </c>
      <c r="H34" s="17">
        <v>73</v>
      </c>
      <c r="I34" s="33">
        <v>125</v>
      </c>
      <c r="J34" s="17">
        <v>125</v>
      </c>
      <c r="K34" s="17">
        <v>125</v>
      </c>
      <c r="L34" s="17">
        <v>85</v>
      </c>
      <c r="M34" s="33">
        <v>65</v>
      </c>
      <c r="N34" s="17">
        <v>110</v>
      </c>
      <c r="O34" s="33">
        <v>120</v>
      </c>
      <c r="P34" s="17">
        <v>115</v>
      </c>
      <c r="Q34" s="17">
        <v>115</v>
      </c>
      <c r="R34" s="17">
        <v>115</v>
      </c>
      <c r="S34" s="33">
        <v>140</v>
      </c>
      <c r="T34" s="17">
        <v>0</v>
      </c>
      <c r="U34" s="33">
        <v>90</v>
      </c>
      <c r="V34" s="17">
        <v>2.75</v>
      </c>
      <c r="W34" s="33">
        <v>0</v>
      </c>
      <c r="X34" s="17"/>
      <c r="Y34" s="34"/>
      <c r="Z34" s="17"/>
      <c r="AA34" s="34"/>
      <c r="AB34" s="17"/>
    </row>
    <row r="35" spans="1:28">
      <c r="A35" s="47">
        <v>1.5</v>
      </c>
      <c r="B35" s="50" t="s">
        <v>303</v>
      </c>
      <c r="C35" s="19">
        <v>0</v>
      </c>
      <c r="D35" s="33">
        <v>95</v>
      </c>
      <c r="E35" s="33">
        <v>0</v>
      </c>
      <c r="F35" s="17">
        <v>70</v>
      </c>
      <c r="G35" s="33">
        <v>90</v>
      </c>
      <c r="H35" s="17">
        <v>73</v>
      </c>
      <c r="I35" s="33">
        <v>125</v>
      </c>
      <c r="J35" s="17">
        <v>125</v>
      </c>
      <c r="K35" s="17">
        <v>125</v>
      </c>
      <c r="L35" s="17">
        <v>85</v>
      </c>
      <c r="M35" s="33">
        <v>65</v>
      </c>
      <c r="N35" s="17">
        <v>110</v>
      </c>
      <c r="O35" s="33">
        <v>120</v>
      </c>
      <c r="P35" s="17">
        <v>115</v>
      </c>
      <c r="Q35" s="17">
        <v>115</v>
      </c>
      <c r="R35" s="17">
        <v>115</v>
      </c>
      <c r="S35" s="33">
        <v>140</v>
      </c>
      <c r="T35" s="17">
        <v>0</v>
      </c>
      <c r="U35" s="33">
        <v>90</v>
      </c>
      <c r="V35" s="17">
        <v>2.75</v>
      </c>
      <c r="W35" s="33">
        <v>0</v>
      </c>
      <c r="X35" s="17"/>
      <c r="Y35" s="34"/>
      <c r="Z35" s="17"/>
      <c r="AA35" s="34"/>
      <c r="AB35" s="17"/>
    </row>
    <row r="36" spans="1:28">
      <c r="A36" s="47">
        <v>1.5</v>
      </c>
      <c r="B36" s="50" t="s">
        <v>275</v>
      </c>
      <c r="C36" s="19">
        <v>0</v>
      </c>
      <c r="D36" s="33">
        <v>90</v>
      </c>
      <c r="E36" s="33">
        <v>0</v>
      </c>
      <c r="F36" s="17">
        <v>70</v>
      </c>
      <c r="G36" s="33">
        <v>90</v>
      </c>
      <c r="H36" s="17">
        <v>73</v>
      </c>
      <c r="I36" s="33">
        <v>125</v>
      </c>
      <c r="J36" s="17">
        <v>125</v>
      </c>
      <c r="K36" s="17">
        <v>125</v>
      </c>
      <c r="L36" s="17">
        <v>85</v>
      </c>
      <c r="M36" s="33">
        <v>65</v>
      </c>
      <c r="N36" s="17">
        <v>110</v>
      </c>
      <c r="O36" s="33">
        <v>120</v>
      </c>
      <c r="P36" s="17">
        <v>115</v>
      </c>
      <c r="Q36" s="17">
        <v>115</v>
      </c>
      <c r="R36" s="17">
        <v>115</v>
      </c>
      <c r="S36" s="33">
        <v>140</v>
      </c>
      <c r="T36" s="17">
        <v>0</v>
      </c>
      <c r="U36" s="33">
        <v>90</v>
      </c>
      <c r="V36" s="17">
        <v>2.25</v>
      </c>
      <c r="W36" s="33">
        <v>0</v>
      </c>
      <c r="X36" s="17"/>
      <c r="Y36" s="34"/>
      <c r="Z36" s="17"/>
      <c r="AA36" s="34"/>
      <c r="AB36" s="17"/>
    </row>
    <row r="37" spans="1:28">
      <c r="A37" s="47">
        <v>1.5</v>
      </c>
      <c r="B37" s="50" t="s">
        <v>276</v>
      </c>
      <c r="C37" s="19">
        <v>0</v>
      </c>
      <c r="D37" s="33">
        <v>90</v>
      </c>
      <c r="E37" s="33">
        <v>0</v>
      </c>
      <c r="F37" s="17">
        <v>70</v>
      </c>
      <c r="G37" s="33">
        <v>90</v>
      </c>
      <c r="H37" s="17">
        <v>73</v>
      </c>
      <c r="I37" s="33">
        <v>125</v>
      </c>
      <c r="J37" s="17">
        <v>125</v>
      </c>
      <c r="K37" s="17">
        <v>125</v>
      </c>
      <c r="L37" s="17">
        <v>85</v>
      </c>
      <c r="M37" s="33">
        <v>65</v>
      </c>
      <c r="N37" s="17">
        <v>110</v>
      </c>
      <c r="O37" s="33">
        <v>120</v>
      </c>
      <c r="P37" s="17">
        <v>115</v>
      </c>
      <c r="Q37" s="17">
        <v>115</v>
      </c>
      <c r="R37" s="17">
        <v>115</v>
      </c>
      <c r="S37" s="33">
        <v>140</v>
      </c>
      <c r="T37" s="17">
        <v>0</v>
      </c>
      <c r="U37" s="33">
        <v>90</v>
      </c>
      <c r="V37" s="17">
        <v>2.25</v>
      </c>
      <c r="W37" s="33">
        <v>0</v>
      </c>
      <c r="X37" s="17"/>
      <c r="Y37" s="34"/>
      <c r="Z37" s="17"/>
      <c r="AA37" s="34"/>
      <c r="AB37" s="17"/>
    </row>
    <row r="38" spans="1:28">
      <c r="A38" s="47">
        <v>1.5</v>
      </c>
      <c r="B38" s="50" t="s">
        <v>277</v>
      </c>
      <c r="C38" s="19">
        <v>0</v>
      </c>
      <c r="D38" s="33">
        <v>90</v>
      </c>
      <c r="E38" s="33">
        <v>0</v>
      </c>
      <c r="F38" s="17">
        <v>70</v>
      </c>
      <c r="G38" s="33">
        <v>90</v>
      </c>
      <c r="H38" s="17">
        <v>73</v>
      </c>
      <c r="I38" s="33">
        <v>125</v>
      </c>
      <c r="J38" s="17">
        <v>125</v>
      </c>
      <c r="K38" s="17">
        <v>125</v>
      </c>
      <c r="L38" s="17">
        <v>85</v>
      </c>
      <c r="M38" s="33">
        <v>65</v>
      </c>
      <c r="N38" s="17">
        <v>110</v>
      </c>
      <c r="O38" s="33">
        <v>120</v>
      </c>
      <c r="P38" s="17">
        <v>115</v>
      </c>
      <c r="Q38" s="17">
        <v>115</v>
      </c>
      <c r="R38" s="17">
        <v>115</v>
      </c>
      <c r="S38" s="33">
        <v>140</v>
      </c>
      <c r="T38" s="17">
        <v>0</v>
      </c>
      <c r="U38" s="33">
        <v>90</v>
      </c>
      <c r="V38" s="17">
        <v>2.25</v>
      </c>
      <c r="W38" s="33">
        <v>0</v>
      </c>
      <c r="X38" s="17"/>
      <c r="Y38" s="34"/>
      <c r="Z38" s="17"/>
      <c r="AA38" s="34"/>
      <c r="AB38" s="17"/>
    </row>
    <row r="39" spans="1:28">
      <c r="A39" s="47">
        <v>1.5</v>
      </c>
      <c r="B39" s="50" t="s">
        <v>278</v>
      </c>
      <c r="C39" s="19">
        <v>0</v>
      </c>
      <c r="D39" s="33">
        <v>90</v>
      </c>
      <c r="E39" s="33">
        <v>0</v>
      </c>
      <c r="F39" s="17">
        <v>70</v>
      </c>
      <c r="G39" s="33">
        <v>90</v>
      </c>
      <c r="H39" s="17">
        <v>73</v>
      </c>
      <c r="I39" s="33">
        <v>125</v>
      </c>
      <c r="J39" s="17">
        <v>125</v>
      </c>
      <c r="K39" s="17">
        <v>125</v>
      </c>
      <c r="L39" s="17">
        <v>85</v>
      </c>
      <c r="M39" s="33">
        <v>65</v>
      </c>
      <c r="N39" s="17">
        <v>110</v>
      </c>
      <c r="O39" s="33">
        <v>120</v>
      </c>
      <c r="P39" s="17">
        <v>115</v>
      </c>
      <c r="Q39" s="17">
        <v>115</v>
      </c>
      <c r="R39" s="17">
        <v>115</v>
      </c>
      <c r="S39" s="33">
        <v>140</v>
      </c>
      <c r="T39" s="17">
        <v>0</v>
      </c>
      <c r="U39" s="33">
        <v>90</v>
      </c>
      <c r="V39" s="17">
        <v>2.25</v>
      </c>
      <c r="W39" s="33">
        <v>0</v>
      </c>
      <c r="X39" s="17"/>
      <c r="Y39" s="34"/>
      <c r="Z39" s="17"/>
      <c r="AA39" s="34"/>
      <c r="AB39" s="17"/>
    </row>
    <row r="40" spans="1:28">
      <c r="A40" s="47">
        <v>1.5</v>
      </c>
      <c r="B40" s="50" t="s">
        <v>279</v>
      </c>
      <c r="C40" s="19">
        <v>0</v>
      </c>
      <c r="D40" s="33">
        <v>90</v>
      </c>
      <c r="E40" s="33">
        <v>0</v>
      </c>
      <c r="F40" s="17">
        <v>70</v>
      </c>
      <c r="G40" s="33">
        <v>90</v>
      </c>
      <c r="H40" s="17">
        <v>73</v>
      </c>
      <c r="I40" s="33">
        <v>125</v>
      </c>
      <c r="J40" s="17">
        <v>125</v>
      </c>
      <c r="K40" s="17">
        <v>125</v>
      </c>
      <c r="L40" s="17">
        <v>85</v>
      </c>
      <c r="M40" s="33">
        <v>65</v>
      </c>
      <c r="N40" s="17">
        <v>110</v>
      </c>
      <c r="O40" s="33">
        <v>120</v>
      </c>
      <c r="P40" s="17">
        <v>115</v>
      </c>
      <c r="Q40" s="17">
        <v>115</v>
      </c>
      <c r="R40" s="17">
        <v>115</v>
      </c>
      <c r="S40" s="33">
        <v>140</v>
      </c>
      <c r="T40" s="17">
        <v>0</v>
      </c>
      <c r="U40" s="33">
        <v>90</v>
      </c>
      <c r="V40" s="17">
        <v>2.25</v>
      </c>
      <c r="W40" s="33">
        <v>0</v>
      </c>
      <c r="X40" s="17"/>
      <c r="Y40" s="34"/>
      <c r="Z40" s="17"/>
      <c r="AA40" s="34"/>
      <c r="AB40" s="17"/>
    </row>
    <row r="41" spans="1:28">
      <c r="A41" s="47">
        <v>1.5</v>
      </c>
      <c r="B41" s="50" t="s">
        <v>304</v>
      </c>
      <c r="C41" s="19">
        <v>0</v>
      </c>
      <c r="D41" s="33">
        <v>95</v>
      </c>
      <c r="E41" s="33">
        <v>0</v>
      </c>
      <c r="F41" s="17">
        <v>70</v>
      </c>
      <c r="G41" s="33">
        <v>90</v>
      </c>
      <c r="H41" s="17">
        <v>73</v>
      </c>
      <c r="I41" s="33">
        <v>125</v>
      </c>
      <c r="J41" s="17">
        <v>125</v>
      </c>
      <c r="K41" s="17">
        <v>125</v>
      </c>
      <c r="L41" s="17">
        <v>85</v>
      </c>
      <c r="M41" s="33">
        <v>65</v>
      </c>
      <c r="N41" s="17">
        <v>110</v>
      </c>
      <c r="O41" s="33">
        <v>120</v>
      </c>
      <c r="P41" s="17">
        <v>115</v>
      </c>
      <c r="Q41" s="17">
        <v>115</v>
      </c>
      <c r="R41" s="17">
        <v>115</v>
      </c>
      <c r="S41" s="33">
        <v>140</v>
      </c>
      <c r="T41" s="17">
        <v>0</v>
      </c>
      <c r="U41" s="33">
        <v>90</v>
      </c>
      <c r="V41" s="17">
        <v>2.75</v>
      </c>
      <c r="W41" s="33">
        <v>0</v>
      </c>
      <c r="X41" s="17"/>
      <c r="Y41" s="34"/>
      <c r="Z41" s="17"/>
      <c r="AA41" s="34"/>
      <c r="AB41" s="17"/>
    </row>
    <row r="42" spans="1:28">
      <c r="A42" s="47">
        <v>1.5</v>
      </c>
      <c r="B42" s="50" t="s">
        <v>280</v>
      </c>
      <c r="C42" s="19">
        <v>0</v>
      </c>
      <c r="D42" s="33">
        <v>90</v>
      </c>
      <c r="E42" s="33">
        <v>0</v>
      </c>
      <c r="F42" s="17">
        <v>70</v>
      </c>
      <c r="G42" s="33">
        <v>90</v>
      </c>
      <c r="H42" s="17">
        <v>73</v>
      </c>
      <c r="I42" s="33">
        <v>125</v>
      </c>
      <c r="J42" s="17">
        <v>125</v>
      </c>
      <c r="K42" s="17">
        <v>125</v>
      </c>
      <c r="L42" s="17">
        <v>85</v>
      </c>
      <c r="M42" s="33">
        <v>65</v>
      </c>
      <c r="N42" s="17">
        <v>110</v>
      </c>
      <c r="O42" s="33">
        <v>120</v>
      </c>
      <c r="P42" s="17">
        <v>115</v>
      </c>
      <c r="Q42" s="17">
        <v>115</v>
      </c>
      <c r="R42" s="17">
        <v>115</v>
      </c>
      <c r="S42" s="33">
        <v>140</v>
      </c>
      <c r="T42" s="17">
        <v>0</v>
      </c>
      <c r="U42" s="33">
        <v>90</v>
      </c>
      <c r="V42" s="17">
        <v>2.25</v>
      </c>
      <c r="W42" s="33">
        <v>0</v>
      </c>
      <c r="X42" s="17"/>
      <c r="Y42" s="34"/>
      <c r="Z42" s="17"/>
      <c r="AA42" s="34"/>
      <c r="AB42" s="17"/>
    </row>
    <row r="43" spans="1:28">
      <c r="A43" s="47">
        <v>1.5</v>
      </c>
      <c r="B43" s="50" t="s">
        <v>281</v>
      </c>
      <c r="C43" s="19">
        <v>0</v>
      </c>
      <c r="D43" s="33">
        <v>90</v>
      </c>
      <c r="E43" s="33">
        <v>0</v>
      </c>
      <c r="F43" s="17">
        <v>70</v>
      </c>
      <c r="G43" s="33">
        <v>90</v>
      </c>
      <c r="H43" s="17">
        <v>73</v>
      </c>
      <c r="I43" s="33">
        <v>125</v>
      </c>
      <c r="J43" s="17">
        <v>125</v>
      </c>
      <c r="K43" s="17">
        <v>125</v>
      </c>
      <c r="L43" s="17">
        <v>85</v>
      </c>
      <c r="M43" s="33">
        <v>65</v>
      </c>
      <c r="N43" s="17">
        <v>110</v>
      </c>
      <c r="O43" s="33">
        <v>120</v>
      </c>
      <c r="P43" s="17">
        <v>115</v>
      </c>
      <c r="Q43" s="17">
        <v>115</v>
      </c>
      <c r="R43" s="17">
        <v>115</v>
      </c>
      <c r="S43" s="33">
        <v>140</v>
      </c>
      <c r="T43" s="17">
        <v>0</v>
      </c>
      <c r="U43" s="33">
        <v>90</v>
      </c>
      <c r="V43" s="17">
        <v>2.25</v>
      </c>
      <c r="W43" s="33">
        <v>0</v>
      </c>
      <c r="X43" s="17"/>
      <c r="Y43" s="34"/>
      <c r="Z43" s="17"/>
      <c r="AA43" s="34"/>
      <c r="AB43" s="17"/>
    </row>
    <row r="44" spans="1:28">
      <c r="A44" s="47">
        <v>1.5</v>
      </c>
      <c r="B44" s="50" t="s">
        <v>313</v>
      </c>
      <c r="C44" s="19">
        <v>0</v>
      </c>
      <c r="D44" s="33">
        <v>90</v>
      </c>
      <c r="E44" s="33">
        <v>0</v>
      </c>
      <c r="F44" s="17">
        <v>70</v>
      </c>
      <c r="G44" s="33">
        <v>90</v>
      </c>
      <c r="H44" s="17">
        <v>73</v>
      </c>
      <c r="I44" s="33">
        <v>125</v>
      </c>
      <c r="J44" s="17">
        <v>125</v>
      </c>
      <c r="K44" s="17">
        <v>125</v>
      </c>
      <c r="L44" s="17">
        <v>85</v>
      </c>
      <c r="M44" s="33">
        <v>65</v>
      </c>
      <c r="N44" s="17">
        <v>110</v>
      </c>
      <c r="O44" s="33">
        <v>120</v>
      </c>
      <c r="P44" s="17">
        <v>115</v>
      </c>
      <c r="Q44" s="17">
        <v>115</v>
      </c>
      <c r="R44" s="17">
        <v>115</v>
      </c>
      <c r="S44" s="33">
        <v>140</v>
      </c>
      <c r="T44" s="17">
        <v>0</v>
      </c>
      <c r="U44" s="33">
        <v>90</v>
      </c>
      <c r="V44" s="17">
        <v>2.25</v>
      </c>
      <c r="W44" s="33">
        <v>0</v>
      </c>
      <c r="X44" s="17"/>
      <c r="Y44" s="34"/>
      <c r="Z44" s="17"/>
      <c r="AA44" s="34"/>
      <c r="AB44" s="17"/>
    </row>
    <row r="45" spans="1:28">
      <c r="A45" s="47">
        <v>1.5</v>
      </c>
      <c r="B45" s="50" t="s">
        <v>282</v>
      </c>
      <c r="C45" s="19">
        <v>0</v>
      </c>
      <c r="D45" s="33">
        <v>90</v>
      </c>
      <c r="E45" s="33">
        <v>0</v>
      </c>
      <c r="F45" s="17">
        <v>70</v>
      </c>
      <c r="G45" s="33">
        <v>90</v>
      </c>
      <c r="H45" s="17">
        <v>73</v>
      </c>
      <c r="I45" s="33">
        <v>125</v>
      </c>
      <c r="J45" s="17">
        <v>125</v>
      </c>
      <c r="K45" s="17">
        <v>125</v>
      </c>
      <c r="L45" s="17">
        <v>85</v>
      </c>
      <c r="M45" s="33">
        <v>65</v>
      </c>
      <c r="N45" s="17">
        <v>110</v>
      </c>
      <c r="O45" s="33">
        <v>120</v>
      </c>
      <c r="P45" s="17">
        <v>115</v>
      </c>
      <c r="Q45" s="17">
        <v>115</v>
      </c>
      <c r="R45" s="17">
        <v>115</v>
      </c>
      <c r="S45" s="33">
        <v>140</v>
      </c>
      <c r="T45" s="17">
        <v>0</v>
      </c>
      <c r="U45" s="33">
        <v>90</v>
      </c>
      <c r="V45" s="17">
        <v>2.25</v>
      </c>
      <c r="W45" s="33">
        <v>0</v>
      </c>
      <c r="X45" s="17"/>
      <c r="Y45" s="34"/>
      <c r="Z45" s="17"/>
      <c r="AA45" s="34"/>
      <c r="AB45" s="17"/>
    </row>
    <row r="46" spans="1:28">
      <c r="A46" s="47">
        <v>1.5</v>
      </c>
      <c r="B46" s="50" t="s">
        <v>305</v>
      </c>
      <c r="C46" s="19">
        <v>0</v>
      </c>
      <c r="D46" s="33">
        <v>90</v>
      </c>
      <c r="E46" s="33">
        <v>0</v>
      </c>
      <c r="F46" s="17">
        <v>70</v>
      </c>
      <c r="G46" s="33">
        <v>90</v>
      </c>
      <c r="H46" s="17">
        <v>73</v>
      </c>
      <c r="I46" s="33">
        <v>125</v>
      </c>
      <c r="J46" s="17">
        <v>125</v>
      </c>
      <c r="K46" s="17">
        <v>125</v>
      </c>
      <c r="L46" s="17">
        <v>85</v>
      </c>
      <c r="M46" s="33">
        <v>65</v>
      </c>
      <c r="N46" s="17">
        <v>110</v>
      </c>
      <c r="O46" s="33">
        <v>120</v>
      </c>
      <c r="P46" s="17">
        <v>115</v>
      </c>
      <c r="Q46" s="17">
        <v>115</v>
      </c>
      <c r="R46" s="17">
        <v>115</v>
      </c>
      <c r="S46" s="33">
        <v>140</v>
      </c>
      <c r="T46" s="17">
        <v>0</v>
      </c>
      <c r="U46" s="33">
        <v>90</v>
      </c>
      <c r="V46" s="17">
        <v>2.25</v>
      </c>
      <c r="W46" s="33">
        <v>0</v>
      </c>
      <c r="X46" s="17"/>
      <c r="Y46" s="34"/>
      <c r="Z46" s="17"/>
      <c r="AA46" s="34"/>
      <c r="AB46" s="17"/>
    </row>
    <row r="47" spans="1:28">
      <c r="A47" s="47">
        <v>1.5</v>
      </c>
      <c r="B47" s="50" t="s">
        <v>283</v>
      </c>
      <c r="C47" s="19">
        <v>0</v>
      </c>
      <c r="D47" s="33">
        <v>90</v>
      </c>
      <c r="E47" s="33">
        <v>0</v>
      </c>
      <c r="F47" s="17">
        <v>70</v>
      </c>
      <c r="G47" s="33">
        <v>90</v>
      </c>
      <c r="H47" s="17">
        <v>73</v>
      </c>
      <c r="I47" s="33">
        <v>125</v>
      </c>
      <c r="J47" s="17">
        <v>125</v>
      </c>
      <c r="K47" s="17">
        <v>125</v>
      </c>
      <c r="L47" s="17">
        <v>85</v>
      </c>
      <c r="M47" s="33">
        <v>65</v>
      </c>
      <c r="N47" s="17">
        <v>110</v>
      </c>
      <c r="O47" s="33">
        <v>120</v>
      </c>
      <c r="P47" s="17">
        <v>115</v>
      </c>
      <c r="Q47" s="17">
        <v>115</v>
      </c>
      <c r="R47" s="17">
        <v>115</v>
      </c>
      <c r="S47" s="33">
        <v>140</v>
      </c>
      <c r="T47" s="17">
        <v>0</v>
      </c>
      <c r="U47" s="33">
        <v>90</v>
      </c>
      <c r="V47" s="17">
        <v>2.25</v>
      </c>
      <c r="W47" s="33">
        <v>0</v>
      </c>
      <c r="X47" s="17"/>
      <c r="Y47" s="34"/>
      <c r="Z47" s="17"/>
      <c r="AA47" s="34"/>
      <c r="AB47" s="17"/>
    </row>
    <row r="48" spans="1:28">
      <c r="A48" s="47">
        <v>1.5</v>
      </c>
      <c r="B48" s="50" t="s">
        <v>284</v>
      </c>
      <c r="C48" s="19">
        <v>0</v>
      </c>
      <c r="D48" s="33">
        <v>90</v>
      </c>
      <c r="E48" s="33">
        <v>0</v>
      </c>
      <c r="F48" s="17">
        <v>70</v>
      </c>
      <c r="G48" s="33">
        <v>90</v>
      </c>
      <c r="H48" s="17">
        <v>73</v>
      </c>
      <c r="I48" s="33">
        <v>125</v>
      </c>
      <c r="J48" s="17">
        <v>125</v>
      </c>
      <c r="K48" s="17">
        <v>125</v>
      </c>
      <c r="L48" s="17">
        <v>85</v>
      </c>
      <c r="M48" s="33">
        <v>65</v>
      </c>
      <c r="N48" s="17">
        <v>110</v>
      </c>
      <c r="O48" s="33">
        <v>120</v>
      </c>
      <c r="P48" s="17">
        <v>115</v>
      </c>
      <c r="Q48" s="17">
        <v>115</v>
      </c>
      <c r="R48" s="17">
        <v>115</v>
      </c>
      <c r="S48" s="33">
        <v>140</v>
      </c>
      <c r="T48" s="17">
        <v>0</v>
      </c>
      <c r="U48" s="33">
        <v>90</v>
      </c>
      <c r="V48" s="17">
        <v>2.25</v>
      </c>
      <c r="W48" s="33">
        <v>0</v>
      </c>
      <c r="X48" s="17"/>
      <c r="Y48" s="34"/>
      <c r="Z48" s="17"/>
      <c r="AA48" s="34"/>
      <c r="AB48" s="17"/>
    </row>
    <row r="49" spans="1:28">
      <c r="A49" s="47">
        <v>1.5</v>
      </c>
      <c r="B49" s="50" t="s">
        <v>285</v>
      </c>
      <c r="C49" s="19">
        <v>0</v>
      </c>
      <c r="D49" s="33">
        <v>90</v>
      </c>
      <c r="E49" s="33">
        <v>0</v>
      </c>
      <c r="F49" s="17">
        <v>70</v>
      </c>
      <c r="G49" s="33">
        <v>90</v>
      </c>
      <c r="H49" s="17">
        <v>73</v>
      </c>
      <c r="I49" s="33">
        <v>125</v>
      </c>
      <c r="J49" s="17">
        <v>125</v>
      </c>
      <c r="K49" s="17">
        <v>125</v>
      </c>
      <c r="L49" s="17">
        <v>85</v>
      </c>
      <c r="M49" s="33">
        <v>65</v>
      </c>
      <c r="N49" s="17">
        <v>110</v>
      </c>
      <c r="O49" s="33">
        <v>120</v>
      </c>
      <c r="P49" s="17">
        <v>115</v>
      </c>
      <c r="Q49" s="17">
        <v>115</v>
      </c>
      <c r="R49" s="17">
        <v>115</v>
      </c>
      <c r="S49" s="33">
        <v>140</v>
      </c>
      <c r="T49" s="17">
        <v>0</v>
      </c>
      <c r="U49" s="33">
        <v>90</v>
      </c>
      <c r="V49" s="17">
        <v>2.25</v>
      </c>
      <c r="W49" s="33">
        <v>0</v>
      </c>
      <c r="X49" s="17"/>
      <c r="Y49" s="34"/>
      <c r="Z49" s="17"/>
      <c r="AA49" s="34"/>
      <c r="AB49" s="17"/>
    </row>
    <row r="50" spans="1:28">
      <c r="A50" s="47">
        <v>1.5</v>
      </c>
      <c r="B50" s="50" t="s">
        <v>286</v>
      </c>
      <c r="C50" s="19">
        <v>0</v>
      </c>
      <c r="D50" s="33">
        <v>90</v>
      </c>
      <c r="E50" s="33">
        <v>0</v>
      </c>
      <c r="F50" s="17">
        <v>70</v>
      </c>
      <c r="G50" s="33">
        <v>90</v>
      </c>
      <c r="H50" s="17">
        <v>73</v>
      </c>
      <c r="I50" s="33">
        <v>125</v>
      </c>
      <c r="J50" s="17">
        <v>125</v>
      </c>
      <c r="K50" s="17">
        <v>125</v>
      </c>
      <c r="L50" s="17">
        <v>85</v>
      </c>
      <c r="M50" s="33">
        <v>65</v>
      </c>
      <c r="N50" s="17">
        <v>110</v>
      </c>
      <c r="O50" s="33">
        <v>120</v>
      </c>
      <c r="P50" s="17">
        <v>115</v>
      </c>
      <c r="Q50" s="17">
        <v>115</v>
      </c>
      <c r="R50" s="17">
        <v>115</v>
      </c>
      <c r="S50" s="33">
        <v>140</v>
      </c>
      <c r="T50" s="17">
        <v>0</v>
      </c>
      <c r="U50" s="33">
        <v>90</v>
      </c>
      <c r="V50" s="17">
        <v>2.25</v>
      </c>
      <c r="W50" s="33">
        <v>0</v>
      </c>
      <c r="X50" s="17"/>
      <c r="Y50" s="34"/>
      <c r="Z50" s="17"/>
      <c r="AA50" s="34"/>
      <c r="AB50" s="17"/>
    </row>
    <row r="51" spans="1:28">
      <c r="A51" s="47">
        <v>1.5</v>
      </c>
      <c r="B51" s="50" t="s">
        <v>287</v>
      </c>
      <c r="C51" s="19">
        <v>0</v>
      </c>
      <c r="D51" s="33">
        <v>90</v>
      </c>
      <c r="E51" s="33">
        <v>0</v>
      </c>
      <c r="F51" s="17">
        <v>70</v>
      </c>
      <c r="G51" s="33">
        <v>90</v>
      </c>
      <c r="H51" s="17">
        <v>73</v>
      </c>
      <c r="I51" s="33">
        <v>125</v>
      </c>
      <c r="J51" s="17">
        <v>125</v>
      </c>
      <c r="K51" s="17">
        <v>125</v>
      </c>
      <c r="L51" s="17">
        <v>85</v>
      </c>
      <c r="M51" s="33">
        <v>65</v>
      </c>
      <c r="N51" s="17">
        <v>110</v>
      </c>
      <c r="O51" s="33">
        <v>120</v>
      </c>
      <c r="P51" s="17">
        <v>115</v>
      </c>
      <c r="Q51" s="17">
        <v>115</v>
      </c>
      <c r="R51" s="17">
        <v>115</v>
      </c>
      <c r="S51" s="33">
        <v>140</v>
      </c>
      <c r="T51" s="17">
        <v>0</v>
      </c>
      <c r="U51" s="33">
        <v>90</v>
      </c>
      <c r="V51" s="17">
        <v>2.25</v>
      </c>
      <c r="W51" s="33">
        <v>0</v>
      </c>
      <c r="X51" s="17"/>
      <c r="Y51" s="34"/>
      <c r="Z51" s="17"/>
      <c r="AA51" s="34"/>
      <c r="AB51" s="17"/>
    </row>
    <row r="52" spans="1:28">
      <c r="A52" s="47">
        <v>1.5</v>
      </c>
      <c r="B52" s="50" t="s">
        <v>288</v>
      </c>
      <c r="C52" s="19">
        <v>0</v>
      </c>
      <c r="D52" s="33">
        <v>90</v>
      </c>
      <c r="E52" s="33">
        <v>0</v>
      </c>
      <c r="F52" s="17">
        <v>70</v>
      </c>
      <c r="G52" s="33">
        <v>90</v>
      </c>
      <c r="H52" s="17">
        <v>73</v>
      </c>
      <c r="I52" s="33">
        <v>125</v>
      </c>
      <c r="J52" s="17">
        <v>125</v>
      </c>
      <c r="K52" s="17">
        <v>125</v>
      </c>
      <c r="L52" s="17">
        <v>85</v>
      </c>
      <c r="M52" s="33">
        <v>65</v>
      </c>
      <c r="N52" s="17">
        <v>110</v>
      </c>
      <c r="O52" s="33">
        <v>120</v>
      </c>
      <c r="P52" s="17">
        <v>115</v>
      </c>
      <c r="Q52" s="17">
        <v>115</v>
      </c>
      <c r="R52" s="17">
        <v>115</v>
      </c>
      <c r="S52" s="33">
        <v>140</v>
      </c>
      <c r="T52" s="17">
        <v>0</v>
      </c>
      <c r="U52" s="33">
        <v>90</v>
      </c>
      <c r="V52" s="17">
        <v>2.25</v>
      </c>
      <c r="W52" s="33">
        <v>0</v>
      </c>
      <c r="X52" s="17"/>
      <c r="Y52" s="34"/>
      <c r="Z52" s="17"/>
      <c r="AA52" s="34"/>
      <c r="AB52" s="17"/>
    </row>
    <row r="53" spans="1:28">
      <c r="A53" s="47">
        <v>1.5</v>
      </c>
      <c r="B53" s="50" t="s">
        <v>289</v>
      </c>
      <c r="C53" s="19">
        <v>0</v>
      </c>
      <c r="D53" s="33">
        <v>90</v>
      </c>
      <c r="E53" s="33">
        <v>0</v>
      </c>
      <c r="F53" s="17">
        <v>70</v>
      </c>
      <c r="G53" s="33">
        <v>90</v>
      </c>
      <c r="H53" s="17">
        <v>73</v>
      </c>
      <c r="I53" s="33">
        <v>125</v>
      </c>
      <c r="J53" s="17">
        <v>125</v>
      </c>
      <c r="K53" s="17">
        <v>125</v>
      </c>
      <c r="L53" s="17">
        <v>85</v>
      </c>
      <c r="M53" s="33">
        <v>65</v>
      </c>
      <c r="N53" s="17">
        <v>110</v>
      </c>
      <c r="O53" s="33">
        <v>120</v>
      </c>
      <c r="P53" s="17">
        <v>115</v>
      </c>
      <c r="Q53" s="17">
        <v>115</v>
      </c>
      <c r="R53" s="17">
        <v>115</v>
      </c>
      <c r="S53" s="33">
        <v>140</v>
      </c>
      <c r="T53" s="17">
        <v>0</v>
      </c>
      <c r="U53" s="33">
        <v>90</v>
      </c>
      <c r="V53" s="17">
        <v>2.25</v>
      </c>
      <c r="W53" s="33">
        <v>0</v>
      </c>
      <c r="X53" s="17"/>
      <c r="Y53" s="34"/>
      <c r="Z53" s="17"/>
      <c r="AA53" s="34"/>
      <c r="AB53" s="17"/>
    </row>
    <row r="54" spans="1:28">
      <c r="A54" s="47">
        <v>1.5</v>
      </c>
      <c r="B54" s="50" t="s">
        <v>306</v>
      </c>
      <c r="C54" s="19">
        <v>0</v>
      </c>
      <c r="D54" s="33">
        <v>90</v>
      </c>
      <c r="E54" s="33">
        <v>0</v>
      </c>
      <c r="F54" s="17">
        <v>70</v>
      </c>
      <c r="G54" s="33">
        <v>90</v>
      </c>
      <c r="H54" s="17">
        <v>73</v>
      </c>
      <c r="I54" s="33">
        <v>125</v>
      </c>
      <c r="J54" s="17">
        <v>125</v>
      </c>
      <c r="K54" s="17">
        <v>125</v>
      </c>
      <c r="L54" s="17">
        <v>85</v>
      </c>
      <c r="M54" s="33">
        <v>65</v>
      </c>
      <c r="N54" s="17">
        <v>110</v>
      </c>
      <c r="O54" s="33">
        <v>120</v>
      </c>
      <c r="P54" s="17">
        <v>115</v>
      </c>
      <c r="Q54" s="17">
        <v>115</v>
      </c>
      <c r="R54" s="17">
        <v>115</v>
      </c>
      <c r="S54" s="33">
        <v>140</v>
      </c>
      <c r="T54" s="17">
        <v>0</v>
      </c>
      <c r="U54" s="33">
        <v>90</v>
      </c>
      <c r="V54" s="17">
        <v>2.25</v>
      </c>
      <c r="W54" s="33">
        <v>0</v>
      </c>
      <c r="X54" s="17"/>
      <c r="Y54" s="34"/>
      <c r="Z54" s="17"/>
      <c r="AA54" s="34"/>
      <c r="AB54" s="17"/>
    </row>
    <row r="55" spans="1:28">
      <c r="A55" s="47">
        <v>1.5</v>
      </c>
      <c r="B55" s="50" t="s">
        <v>307</v>
      </c>
      <c r="C55" s="19">
        <v>0</v>
      </c>
      <c r="D55" s="33">
        <v>95</v>
      </c>
      <c r="E55" s="33">
        <v>0</v>
      </c>
      <c r="F55" s="17">
        <v>70</v>
      </c>
      <c r="G55" s="33">
        <v>90</v>
      </c>
      <c r="H55" s="17">
        <v>73</v>
      </c>
      <c r="I55" s="33">
        <v>125</v>
      </c>
      <c r="J55" s="17">
        <v>125</v>
      </c>
      <c r="K55" s="17">
        <v>125</v>
      </c>
      <c r="L55" s="17">
        <v>85</v>
      </c>
      <c r="M55" s="33">
        <v>65</v>
      </c>
      <c r="N55" s="17">
        <v>110</v>
      </c>
      <c r="O55" s="33">
        <v>120</v>
      </c>
      <c r="P55" s="17">
        <v>115</v>
      </c>
      <c r="Q55" s="17">
        <v>115</v>
      </c>
      <c r="R55" s="17">
        <v>115</v>
      </c>
      <c r="S55" s="33">
        <v>140</v>
      </c>
      <c r="T55" s="17">
        <v>0</v>
      </c>
      <c r="U55" s="33">
        <v>90</v>
      </c>
      <c r="V55" s="17">
        <v>2.75</v>
      </c>
      <c r="W55" s="33">
        <v>0</v>
      </c>
      <c r="X55" s="17"/>
      <c r="Y55" s="34"/>
      <c r="Z55" s="17"/>
      <c r="AA55" s="34"/>
      <c r="AB55" s="17"/>
    </row>
    <row r="56" spans="1:28">
      <c r="A56" s="47">
        <v>1.5</v>
      </c>
      <c r="B56" s="50" t="s">
        <v>290</v>
      </c>
      <c r="C56" s="19">
        <v>0</v>
      </c>
      <c r="D56" s="33">
        <v>90</v>
      </c>
      <c r="E56" s="33">
        <v>0</v>
      </c>
      <c r="F56" s="17">
        <v>70</v>
      </c>
      <c r="G56" s="33">
        <v>90</v>
      </c>
      <c r="H56" s="17">
        <v>73</v>
      </c>
      <c r="I56" s="33">
        <v>125</v>
      </c>
      <c r="J56" s="17">
        <v>125</v>
      </c>
      <c r="K56" s="17">
        <v>125</v>
      </c>
      <c r="L56" s="17">
        <v>85</v>
      </c>
      <c r="M56" s="33">
        <v>65</v>
      </c>
      <c r="N56" s="17">
        <v>110</v>
      </c>
      <c r="O56" s="33">
        <v>120</v>
      </c>
      <c r="P56" s="17">
        <v>115</v>
      </c>
      <c r="Q56" s="17">
        <v>115</v>
      </c>
      <c r="R56" s="17">
        <v>115</v>
      </c>
      <c r="S56" s="33">
        <v>140</v>
      </c>
      <c r="T56" s="17">
        <v>0</v>
      </c>
      <c r="U56" s="33">
        <v>90</v>
      </c>
      <c r="V56" s="17">
        <v>2.25</v>
      </c>
      <c r="W56" s="33">
        <v>0</v>
      </c>
      <c r="X56" s="17"/>
      <c r="Y56" s="34"/>
      <c r="Z56" s="17"/>
      <c r="AA56" s="34"/>
      <c r="AB56" s="17"/>
    </row>
    <row r="57" spans="1:28">
      <c r="A57" s="47">
        <v>1.5</v>
      </c>
      <c r="B57" s="50" t="s">
        <v>291</v>
      </c>
      <c r="C57" s="19">
        <v>0</v>
      </c>
      <c r="D57" s="33">
        <v>95</v>
      </c>
      <c r="E57" s="33">
        <v>0</v>
      </c>
      <c r="F57" s="17">
        <v>70</v>
      </c>
      <c r="G57" s="33">
        <v>90</v>
      </c>
      <c r="H57" s="17">
        <v>73</v>
      </c>
      <c r="I57" s="33">
        <v>125</v>
      </c>
      <c r="J57" s="17">
        <v>125</v>
      </c>
      <c r="K57" s="17">
        <v>125</v>
      </c>
      <c r="L57" s="17">
        <v>85</v>
      </c>
      <c r="M57" s="33">
        <v>65</v>
      </c>
      <c r="N57" s="17">
        <v>110</v>
      </c>
      <c r="O57" s="33">
        <v>120</v>
      </c>
      <c r="P57" s="17">
        <v>115</v>
      </c>
      <c r="Q57" s="17">
        <v>115</v>
      </c>
      <c r="R57" s="17">
        <v>115</v>
      </c>
      <c r="S57" s="33">
        <v>140</v>
      </c>
      <c r="T57" s="17">
        <v>0</v>
      </c>
      <c r="U57" s="33">
        <v>90</v>
      </c>
      <c r="V57" s="17">
        <v>2.75</v>
      </c>
      <c r="W57" s="33">
        <v>0</v>
      </c>
      <c r="X57" s="17"/>
      <c r="Y57" s="34"/>
      <c r="Z57" s="17"/>
      <c r="AA57" s="34"/>
      <c r="AB57" s="17"/>
    </row>
    <row r="58" spans="1:28">
      <c r="A58" s="47">
        <v>1.5</v>
      </c>
      <c r="B58" s="50" t="s">
        <v>292</v>
      </c>
      <c r="C58" s="19">
        <v>0</v>
      </c>
      <c r="D58" s="33">
        <v>90</v>
      </c>
      <c r="E58" s="33">
        <v>0</v>
      </c>
      <c r="F58" s="17">
        <v>70</v>
      </c>
      <c r="G58" s="33">
        <v>90</v>
      </c>
      <c r="H58" s="17">
        <v>73</v>
      </c>
      <c r="I58" s="33">
        <v>125</v>
      </c>
      <c r="J58" s="17">
        <v>125</v>
      </c>
      <c r="K58" s="17">
        <v>125</v>
      </c>
      <c r="L58" s="17">
        <v>85</v>
      </c>
      <c r="M58" s="33">
        <v>65</v>
      </c>
      <c r="N58" s="17">
        <v>110</v>
      </c>
      <c r="O58" s="33">
        <v>120</v>
      </c>
      <c r="P58" s="17">
        <v>115</v>
      </c>
      <c r="Q58" s="17">
        <v>115</v>
      </c>
      <c r="R58" s="17">
        <v>115</v>
      </c>
      <c r="S58" s="33">
        <v>140</v>
      </c>
      <c r="T58" s="17">
        <v>0</v>
      </c>
      <c r="U58" s="33">
        <v>90</v>
      </c>
      <c r="V58" s="17">
        <v>2.25</v>
      </c>
      <c r="W58" s="33">
        <v>0</v>
      </c>
      <c r="X58" s="17"/>
      <c r="Y58" s="34"/>
      <c r="Z58" s="17"/>
      <c r="AA58" s="34"/>
      <c r="AB58" s="17"/>
    </row>
    <row r="59" spans="1:28">
      <c r="A59" s="47"/>
      <c r="B59" s="50"/>
      <c r="C59" s="19"/>
      <c r="D59" s="33"/>
      <c r="E59" s="33"/>
      <c r="F59" s="17"/>
      <c r="G59" s="33"/>
      <c r="H59" s="17"/>
      <c r="I59" s="33"/>
      <c r="J59" s="17"/>
      <c r="K59" s="17"/>
      <c r="L59" s="17"/>
      <c r="M59" s="33"/>
      <c r="N59" s="17"/>
      <c r="O59" s="33"/>
      <c r="P59" s="17"/>
      <c r="Q59" s="17"/>
      <c r="R59" s="17"/>
      <c r="S59" s="33"/>
      <c r="T59" s="17"/>
      <c r="U59" s="33"/>
      <c r="V59" s="17"/>
      <c r="W59" s="33"/>
      <c r="X59" s="17"/>
      <c r="Y59" s="33"/>
      <c r="Z59" s="17"/>
      <c r="AA59" s="33"/>
      <c r="AB59" s="17"/>
    </row>
    <row r="60" spans="1:28">
      <c r="A60" s="47"/>
      <c r="B60" s="50"/>
      <c r="C60" s="19"/>
      <c r="D60" s="33"/>
      <c r="E60" s="33"/>
      <c r="F60" s="17"/>
      <c r="G60" s="33"/>
      <c r="H60" s="17"/>
      <c r="I60" s="33"/>
      <c r="J60" s="17"/>
      <c r="K60" s="17"/>
      <c r="L60" s="17"/>
      <c r="M60" s="33"/>
      <c r="N60" s="17"/>
      <c r="O60" s="33"/>
      <c r="P60" s="17"/>
      <c r="Q60" s="17"/>
      <c r="R60" s="17"/>
      <c r="S60" s="33"/>
      <c r="T60" s="17"/>
      <c r="U60" s="33"/>
      <c r="V60" s="17"/>
      <c r="W60" s="33"/>
      <c r="X60" s="17"/>
      <c r="Y60" s="33"/>
      <c r="Z60" s="17"/>
      <c r="AA60" s="33"/>
      <c r="AB60" s="17"/>
    </row>
    <row r="61" spans="1:28">
      <c r="A61" s="47"/>
      <c r="B61" s="50"/>
      <c r="C61" s="19"/>
      <c r="D61" s="33"/>
      <c r="E61" s="33"/>
      <c r="F61" s="17"/>
      <c r="G61" s="33"/>
      <c r="H61" s="17"/>
      <c r="I61" s="33"/>
      <c r="J61" s="17"/>
      <c r="K61" s="17"/>
      <c r="L61" s="17"/>
      <c r="M61" s="33"/>
      <c r="N61" s="17"/>
      <c r="O61" s="33"/>
      <c r="P61" s="17"/>
      <c r="Q61" s="17"/>
      <c r="R61" s="17"/>
      <c r="S61" s="33"/>
      <c r="T61" s="17"/>
      <c r="U61" s="33"/>
      <c r="V61" s="17"/>
      <c r="W61" s="33"/>
      <c r="X61" s="17"/>
      <c r="Y61" s="33"/>
      <c r="Z61" s="17"/>
      <c r="AA61" s="33"/>
      <c r="AB61" s="17"/>
    </row>
    <row r="62" spans="1:28">
      <c r="A62" s="47"/>
      <c r="B62" s="50"/>
      <c r="C62" s="19"/>
      <c r="D62" s="33"/>
      <c r="E62" s="33"/>
      <c r="F62" s="17"/>
      <c r="G62" s="33"/>
      <c r="H62" s="17"/>
      <c r="I62" s="33"/>
      <c r="J62" s="17"/>
      <c r="K62" s="17"/>
      <c r="L62" s="17"/>
      <c r="M62" s="33"/>
      <c r="N62" s="17"/>
      <c r="O62" s="33"/>
      <c r="P62" s="17"/>
      <c r="Q62" s="17"/>
      <c r="R62" s="17"/>
      <c r="S62" s="33"/>
      <c r="T62" s="17"/>
      <c r="U62" s="33"/>
      <c r="V62" s="17"/>
      <c r="W62" s="33"/>
      <c r="X62" s="17"/>
      <c r="Y62" s="33"/>
      <c r="Z62" s="17"/>
      <c r="AA62" s="33"/>
      <c r="AB62" s="17"/>
    </row>
    <row r="63" spans="1:28">
      <c r="A63" s="47"/>
      <c r="B63" s="50"/>
      <c r="C63" s="19"/>
      <c r="D63" s="33"/>
      <c r="E63" s="33"/>
      <c r="F63" s="17"/>
      <c r="G63" s="33"/>
      <c r="H63" s="17"/>
      <c r="I63" s="33"/>
      <c r="J63" s="17"/>
      <c r="K63" s="17"/>
      <c r="L63" s="17"/>
      <c r="M63" s="33"/>
      <c r="N63" s="17"/>
      <c r="O63" s="33"/>
      <c r="P63" s="17"/>
      <c r="Q63" s="17"/>
      <c r="R63" s="17"/>
      <c r="S63" s="33"/>
      <c r="T63" s="17"/>
      <c r="U63" s="33"/>
      <c r="V63" s="17"/>
      <c r="W63" s="33"/>
      <c r="X63" s="17"/>
      <c r="Y63" s="33"/>
      <c r="Z63" s="17"/>
      <c r="AA63" s="33"/>
      <c r="AB63" s="17"/>
    </row>
    <row r="64" spans="1:28">
      <c r="A64" s="47"/>
      <c r="B64" s="50"/>
      <c r="C64" s="19"/>
      <c r="D64" s="33"/>
      <c r="E64" s="33"/>
      <c r="F64" s="17"/>
      <c r="G64" s="33"/>
      <c r="H64" s="17"/>
      <c r="I64" s="33"/>
      <c r="J64" s="17"/>
      <c r="K64" s="17"/>
      <c r="L64" s="17"/>
      <c r="M64" s="33"/>
      <c r="N64" s="17"/>
      <c r="O64" s="33"/>
      <c r="P64" s="17"/>
      <c r="Q64" s="17"/>
      <c r="R64" s="17"/>
      <c r="S64" s="33"/>
      <c r="T64" s="17"/>
      <c r="U64" s="33"/>
      <c r="V64" s="17"/>
      <c r="W64" s="33"/>
      <c r="X64" s="17"/>
      <c r="Y64" s="33"/>
      <c r="Z64" s="17"/>
      <c r="AA64" s="33"/>
      <c r="AB64" s="17"/>
    </row>
    <row r="65" spans="1:28">
      <c r="A65" s="47"/>
      <c r="B65" s="50"/>
      <c r="C65" s="19"/>
      <c r="D65" s="33"/>
      <c r="E65" s="33"/>
      <c r="F65" s="17"/>
      <c r="G65" s="33"/>
      <c r="H65" s="17"/>
      <c r="I65" s="33"/>
      <c r="J65" s="17"/>
      <c r="K65" s="17"/>
      <c r="L65" s="17"/>
      <c r="M65" s="33"/>
      <c r="N65" s="17"/>
      <c r="O65" s="33"/>
      <c r="P65" s="17"/>
      <c r="Q65" s="17"/>
      <c r="R65" s="17"/>
      <c r="S65" s="33"/>
      <c r="T65" s="17"/>
      <c r="U65" s="33"/>
      <c r="V65" s="17"/>
      <c r="W65" s="34"/>
      <c r="X65" s="17"/>
      <c r="Y65" s="34"/>
      <c r="Z65" s="17"/>
      <c r="AA65" s="34"/>
      <c r="AB65" s="17"/>
    </row>
    <row r="66" spans="1:28">
      <c r="A66" s="47"/>
      <c r="B66" s="50"/>
      <c r="C66" s="19"/>
      <c r="D66" s="33"/>
      <c r="E66" s="33"/>
      <c r="F66" s="17"/>
      <c r="G66" s="33"/>
      <c r="H66" s="17"/>
      <c r="I66" s="33"/>
      <c r="J66" s="17"/>
      <c r="K66" s="17"/>
      <c r="L66" s="17"/>
      <c r="M66" s="33"/>
      <c r="N66" s="17"/>
      <c r="O66" s="33"/>
      <c r="P66" s="17"/>
      <c r="Q66" s="17"/>
      <c r="R66" s="17"/>
      <c r="S66" s="33"/>
      <c r="T66" s="17"/>
      <c r="U66" s="33"/>
      <c r="V66" s="17"/>
      <c r="W66" s="34"/>
      <c r="X66" s="17"/>
      <c r="Y66" s="34"/>
      <c r="Z66" s="17"/>
      <c r="AA66" s="34"/>
      <c r="AB66" s="17"/>
    </row>
    <row r="67" spans="1:28">
      <c r="A67" s="47"/>
      <c r="B67" s="50"/>
      <c r="C67" s="19"/>
      <c r="D67" s="33"/>
      <c r="E67" s="33"/>
      <c r="F67" s="17"/>
      <c r="G67" s="33"/>
      <c r="H67" s="17"/>
      <c r="I67" s="33"/>
      <c r="J67" s="17"/>
      <c r="K67" s="17"/>
      <c r="L67" s="17"/>
      <c r="M67" s="33"/>
      <c r="N67" s="17"/>
      <c r="O67" s="33"/>
      <c r="P67" s="17"/>
      <c r="Q67" s="17"/>
      <c r="R67" s="17"/>
      <c r="S67" s="33"/>
      <c r="T67" s="17"/>
      <c r="U67" s="33"/>
      <c r="V67" s="17"/>
      <c r="W67" s="34"/>
      <c r="X67" s="17"/>
      <c r="Y67" s="34"/>
      <c r="Z67" s="17"/>
      <c r="AA67" s="34"/>
      <c r="AB67" s="17"/>
    </row>
    <row r="68" spans="1:28">
      <c r="A68" s="47"/>
      <c r="B68" s="50"/>
      <c r="C68" s="19"/>
      <c r="D68" s="33"/>
      <c r="E68" s="33"/>
      <c r="F68" s="17"/>
      <c r="G68" s="33"/>
      <c r="H68" s="17"/>
      <c r="I68" s="33"/>
      <c r="J68" s="17"/>
      <c r="K68" s="17"/>
      <c r="L68" s="17"/>
      <c r="M68" s="33"/>
      <c r="N68" s="17"/>
      <c r="O68" s="33"/>
      <c r="P68" s="17"/>
      <c r="Q68" s="17"/>
      <c r="R68" s="17"/>
      <c r="S68" s="33"/>
      <c r="T68" s="17"/>
      <c r="U68" s="33"/>
      <c r="V68" s="17"/>
      <c r="W68" s="34"/>
      <c r="X68" s="17"/>
      <c r="Y68" s="34"/>
      <c r="Z68" s="17"/>
      <c r="AA68" s="34"/>
      <c r="AB68" s="17"/>
    </row>
    <row r="69" spans="1:28">
      <c r="A69" s="47"/>
      <c r="B69" s="50"/>
      <c r="C69" s="19"/>
      <c r="D69" s="33"/>
      <c r="E69" s="33"/>
      <c r="F69" s="17"/>
      <c r="G69" s="33"/>
      <c r="H69" s="17"/>
      <c r="I69" s="33"/>
      <c r="J69" s="17"/>
      <c r="K69" s="17"/>
      <c r="L69" s="17"/>
      <c r="M69" s="33"/>
      <c r="N69" s="17"/>
      <c r="O69" s="33"/>
      <c r="P69" s="17"/>
      <c r="Q69" s="17"/>
      <c r="R69" s="17"/>
      <c r="S69" s="33"/>
      <c r="T69" s="17"/>
      <c r="U69" s="33"/>
      <c r="V69" s="17"/>
      <c r="W69" s="34"/>
      <c r="X69" s="17"/>
      <c r="Y69" s="34"/>
      <c r="Z69" s="17"/>
      <c r="AA69" s="34"/>
      <c r="AB69" s="17"/>
    </row>
    <row r="70" spans="1:28">
      <c r="A70" s="47"/>
      <c r="B70" s="50"/>
      <c r="C70" s="19"/>
      <c r="D70" s="33"/>
      <c r="E70" s="33"/>
      <c r="F70" s="17"/>
      <c r="G70" s="33"/>
      <c r="H70" s="17"/>
      <c r="I70" s="33"/>
      <c r="J70" s="17"/>
      <c r="K70" s="17"/>
      <c r="L70" s="17"/>
      <c r="M70" s="33"/>
      <c r="N70" s="17"/>
      <c r="O70" s="33"/>
      <c r="P70" s="17"/>
      <c r="Q70" s="17"/>
      <c r="R70" s="17"/>
      <c r="S70" s="33"/>
      <c r="T70" s="17"/>
      <c r="U70" s="33"/>
      <c r="V70" s="17"/>
      <c r="W70" s="34"/>
      <c r="X70" s="17"/>
      <c r="Y70" s="34"/>
      <c r="Z70" s="17"/>
      <c r="AA70" s="34"/>
      <c r="AB70" s="17"/>
    </row>
    <row r="71" spans="1:28">
      <c r="A71" s="47"/>
      <c r="B71" s="50"/>
      <c r="C71" s="19"/>
      <c r="D71" s="33"/>
      <c r="E71" s="33"/>
      <c r="F71" s="17"/>
      <c r="G71" s="33"/>
      <c r="H71" s="17"/>
      <c r="I71" s="33"/>
      <c r="J71" s="17"/>
      <c r="K71" s="17"/>
      <c r="L71" s="17"/>
      <c r="M71" s="33"/>
      <c r="N71" s="17"/>
      <c r="O71" s="33"/>
      <c r="P71" s="17"/>
      <c r="Q71" s="17"/>
      <c r="R71" s="17"/>
      <c r="S71" s="33"/>
      <c r="T71" s="17"/>
      <c r="U71" s="33"/>
      <c r="V71" s="17"/>
      <c r="W71" s="34"/>
      <c r="X71" s="17"/>
      <c r="Y71" s="34"/>
      <c r="Z71" s="17"/>
      <c r="AA71" s="34"/>
      <c r="AB71" s="17"/>
    </row>
    <row r="72" spans="1:28">
      <c r="A72" s="47"/>
      <c r="B72" s="50"/>
      <c r="C72" s="19"/>
      <c r="D72" s="33"/>
      <c r="E72" s="33"/>
      <c r="F72" s="17"/>
      <c r="G72" s="33"/>
      <c r="H72" s="17"/>
      <c r="I72" s="33"/>
      <c r="J72" s="17"/>
      <c r="K72" s="17"/>
      <c r="L72" s="17"/>
      <c r="M72" s="33"/>
      <c r="N72" s="17"/>
      <c r="O72" s="33"/>
      <c r="P72" s="17"/>
      <c r="Q72" s="17"/>
      <c r="R72" s="17"/>
      <c r="S72" s="33"/>
      <c r="T72" s="17"/>
      <c r="U72" s="33"/>
      <c r="V72" s="17"/>
      <c r="W72" s="34"/>
      <c r="X72" s="17"/>
      <c r="Y72" s="34"/>
      <c r="Z72" s="17"/>
      <c r="AA72" s="34"/>
      <c r="AB72" s="17"/>
    </row>
    <row r="73" spans="1:28">
      <c r="A73" s="47"/>
      <c r="B73" s="50"/>
      <c r="C73" s="19"/>
      <c r="D73" s="33"/>
      <c r="E73" s="33"/>
      <c r="F73" s="17"/>
      <c r="G73" s="33"/>
      <c r="H73" s="17"/>
      <c r="I73" s="33"/>
      <c r="J73" s="17"/>
      <c r="K73" s="17"/>
      <c r="L73" s="17"/>
      <c r="M73" s="33"/>
      <c r="N73" s="17"/>
      <c r="O73" s="33"/>
      <c r="P73" s="17"/>
      <c r="Q73" s="17"/>
      <c r="R73" s="17"/>
      <c r="S73" s="33"/>
      <c r="T73" s="17"/>
      <c r="U73" s="33"/>
      <c r="V73" s="17"/>
      <c r="W73" s="34"/>
      <c r="X73" s="17"/>
      <c r="Y73" s="34"/>
      <c r="Z73" s="17"/>
      <c r="AA73" s="34"/>
      <c r="AB73" s="17"/>
    </row>
    <row r="74" spans="1:28">
      <c r="A74" s="47"/>
      <c r="B74" s="50"/>
      <c r="C74" s="19"/>
      <c r="D74" s="33"/>
      <c r="E74" s="33"/>
      <c r="F74" s="17"/>
      <c r="G74" s="33"/>
      <c r="H74" s="17"/>
      <c r="I74" s="33"/>
      <c r="J74" s="17"/>
      <c r="K74" s="17"/>
      <c r="L74" s="17"/>
      <c r="M74" s="33"/>
      <c r="N74" s="17"/>
      <c r="O74" s="33"/>
      <c r="P74" s="17"/>
      <c r="Q74" s="17"/>
      <c r="R74" s="17"/>
      <c r="S74" s="33"/>
      <c r="T74" s="17"/>
      <c r="U74" s="33"/>
      <c r="V74" s="17"/>
      <c r="W74" s="34"/>
      <c r="X74" s="17"/>
      <c r="Y74" s="34"/>
      <c r="Z74" s="17"/>
      <c r="AA74" s="34"/>
      <c r="AB74" s="17"/>
    </row>
    <row r="75" spans="1:28">
      <c r="A75" s="48"/>
      <c r="B75" s="50"/>
      <c r="C75" s="17"/>
      <c r="D75" s="34"/>
      <c r="E75" s="34"/>
      <c r="F75" s="17"/>
      <c r="G75" s="34"/>
      <c r="H75" s="17"/>
      <c r="I75" s="34"/>
      <c r="J75" s="17"/>
      <c r="K75" s="34"/>
      <c r="L75" s="17"/>
      <c r="M75" s="34"/>
      <c r="N75" s="17"/>
      <c r="O75" s="34"/>
      <c r="P75" s="17"/>
      <c r="Q75" s="34"/>
      <c r="R75" s="17"/>
      <c r="S75" s="34"/>
      <c r="T75" s="17"/>
      <c r="U75" s="34"/>
      <c r="V75" s="17"/>
      <c r="W75" s="34"/>
      <c r="X75" s="17"/>
      <c r="Y75" s="34"/>
      <c r="Z75" s="17"/>
      <c r="AA75" s="34"/>
      <c r="AB75" s="17"/>
    </row>
    <row r="76" spans="1:28">
      <c r="A76" s="48"/>
      <c r="B76" s="50"/>
      <c r="C76" s="17"/>
      <c r="D76" s="34"/>
      <c r="E76" s="34"/>
      <c r="F76" s="17"/>
      <c r="G76" s="34"/>
      <c r="H76" s="17"/>
      <c r="I76" s="34"/>
      <c r="J76" s="17"/>
      <c r="K76" s="34"/>
      <c r="L76" s="17"/>
      <c r="M76" s="34"/>
      <c r="N76" s="17"/>
      <c r="O76" s="34"/>
      <c r="P76" s="17"/>
      <c r="Q76" s="34"/>
      <c r="R76" s="17"/>
      <c r="S76" s="34"/>
      <c r="T76" s="17"/>
      <c r="U76" s="34"/>
      <c r="V76" s="17"/>
      <c r="W76" s="34"/>
      <c r="X76" s="17"/>
      <c r="Y76" s="34"/>
      <c r="Z76" s="17"/>
      <c r="AA76" s="34"/>
      <c r="AB76" s="17"/>
    </row>
    <row r="77" spans="1:28">
      <c r="A77" s="48"/>
      <c r="B77" s="50"/>
      <c r="C77" s="17"/>
      <c r="D77" s="34"/>
      <c r="E77" s="34"/>
      <c r="F77" s="17"/>
      <c r="G77" s="34"/>
      <c r="H77" s="17"/>
      <c r="I77" s="34"/>
      <c r="J77" s="17"/>
      <c r="K77" s="34"/>
      <c r="L77" s="17"/>
      <c r="M77" s="34"/>
      <c r="N77" s="17"/>
      <c r="O77" s="34"/>
      <c r="P77" s="17"/>
      <c r="Q77" s="34"/>
      <c r="R77" s="17"/>
      <c r="S77" s="34"/>
      <c r="T77" s="17"/>
      <c r="U77" s="34"/>
      <c r="V77" s="17"/>
      <c r="W77" s="34"/>
      <c r="X77" s="17"/>
      <c r="Y77" s="34"/>
      <c r="Z77" s="17"/>
      <c r="AA77" s="34"/>
      <c r="AB77" s="17"/>
    </row>
    <row r="78" spans="1:28">
      <c r="A78" s="48"/>
      <c r="B78" s="50"/>
      <c r="C78" s="17"/>
      <c r="D78" s="34"/>
      <c r="E78" s="34"/>
      <c r="F78" s="17"/>
      <c r="G78" s="34"/>
      <c r="H78" s="17"/>
      <c r="I78" s="34"/>
      <c r="J78" s="17"/>
      <c r="K78" s="34"/>
      <c r="L78" s="17"/>
      <c r="M78" s="34"/>
      <c r="N78" s="17"/>
      <c r="O78" s="34"/>
      <c r="P78" s="17"/>
      <c r="Q78" s="34"/>
      <c r="R78" s="17"/>
      <c r="S78" s="34"/>
      <c r="T78" s="17"/>
      <c r="U78" s="34"/>
      <c r="V78" s="17"/>
      <c r="W78" s="34"/>
      <c r="X78" s="17"/>
      <c r="Y78" s="34"/>
      <c r="Z78" s="17"/>
      <c r="AA78" s="34"/>
      <c r="AB78" s="17"/>
    </row>
    <row r="79" spans="1:28">
      <c r="A79" s="48"/>
      <c r="B79" s="50"/>
      <c r="C79" s="17"/>
      <c r="D79" s="34"/>
      <c r="E79" s="34"/>
      <c r="F79" s="17"/>
      <c r="G79" s="34"/>
      <c r="H79" s="17"/>
      <c r="I79" s="34"/>
      <c r="J79" s="17"/>
      <c r="K79" s="34"/>
      <c r="L79" s="17"/>
      <c r="M79" s="34"/>
      <c r="N79" s="17"/>
      <c r="O79" s="34"/>
      <c r="P79" s="17"/>
      <c r="Q79" s="34"/>
      <c r="R79" s="17"/>
      <c r="S79" s="34"/>
      <c r="T79" s="17"/>
      <c r="U79" s="34"/>
      <c r="V79" s="17"/>
      <c r="W79" s="34"/>
      <c r="X79" s="17"/>
      <c r="Y79" s="34"/>
      <c r="Z79" s="17"/>
      <c r="AA79" s="34"/>
      <c r="AB79" s="17"/>
    </row>
    <row r="80" spans="1:28">
      <c r="A80" s="48"/>
      <c r="B80" s="50"/>
      <c r="C80" s="17"/>
      <c r="D80" s="34"/>
      <c r="E80" s="34"/>
      <c r="F80" s="17"/>
      <c r="G80" s="34"/>
      <c r="H80" s="17"/>
      <c r="I80" s="34"/>
      <c r="J80" s="17"/>
      <c r="K80" s="34"/>
      <c r="L80" s="17"/>
      <c r="M80" s="34"/>
      <c r="N80" s="17"/>
      <c r="O80" s="34"/>
      <c r="P80" s="17"/>
      <c r="Q80" s="34"/>
      <c r="R80" s="17"/>
      <c r="S80" s="34"/>
      <c r="T80" s="17"/>
      <c r="U80" s="34"/>
      <c r="V80" s="17"/>
      <c r="W80" s="34"/>
      <c r="X80" s="17"/>
      <c r="Y80" s="34"/>
      <c r="Z80" s="17"/>
      <c r="AA80" s="34"/>
      <c r="AB80" s="17"/>
    </row>
    <row r="81" spans="1:28">
      <c r="A81" s="48"/>
      <c r="B81" s="50"/>
      <c r="C81" s="17"/>
      <c r="D81" s="34"/>
      <c r="E81" s="34"/>
      <c r="F81" s="17"/>
      <c r="G81" s="34"/>
      <c r="H81" s="17"/>
      <c r="I81" s="34"/>
      <c r="J81" s="17"/>
      <c r="K81" s="34"/>
      <c r="L81" s="17"/>
      <c r="M81" s="34"/>
      <c r="N81" s="17"/>
      <c r="O81" s="34"/>
      <c r="P81" s="17"/>
      <c r="Q81" s="34"/>
      <c r="R81" s="17"/>
      <c r="S81" s="34"/>
      <c r="T81" s="17"/>
      <c r="U81" s="34"/>
      <c r="V81" s="17"/>
      <c r="W81" s="34"/>
      <c r="X81" s="17"/>
      <c r="Y81" s="34"/>
      <c r="Z81" s="17"/>
      <c r="AA81" s="34"/>
      <c r="AB81" s="17"/>
    </row>
    <row r="82" spans="1:28">
      <c r="A82" s="48"/>
      <c r="B82" s="50"/>
      <c r="C82" s="17"/>
      <c r="D82" s="34"/>
      <c r="E82" s="34"/>
      <c r="F82" s="17"/>
      <c r="G82" s="34"/>
      <c r="H82" s="17"/>
      <c r="I82" s="34"/>
      <c r="J82" s="17"/>
      <c r="K82" s="34"/>
      <c r="L82" s="17"/>
      <c r="M82" s="34"/>
      <c r="N82" s="17"/>
      <c r="O82" s="34"/>
      <c r="P82" s="17"/>
      <c r="Q82" s="34"/>
      <c r="R82" s="17"/>
      <c r="S82" s="34"/>
      <c r="T82" s="17"/>
      <c r="U82" s="34"/>
      <c r="V82" s="17"/>
      <c r="W82" s="34"/>
      <c r="X82" s="17"/>
      <c r="Y82" s="34"/>
      <c r="Z82" s="17"/>
      <c r="AA82" s="34"/>
      <c r="AB82" s="17"/>
    </row>
    <row r="83" spans="1:28">
      <c r="A83" s="48"/>
      <c r="B83" s="50"/>
      <c r="C83" s="17"/>
      <c r="D83" s="34"/>
      <c r="E83" s="34"/>
      <c r="F83" s="17"/>
      <c r="G83" s="34"/>
      <c r="H83" s="17"/>
      <c r="I83" s="34"/>
      <c r="J83" s="17"/>
      <c r="K83" s="34"/>
      <c r="L83" s="17"/>
      <c r="M83" s="34"/>
      <c r="N83" s="17"/>
      <c r="O83" s="34"/>
      <c r="P83" s="17"/>
      <c r="Q83" s="34"/>
      <c r="R83" s="17"/>
      <c r="S83" s="34"/>
      <c r="T83" s="17"/>
      <c r="U83" s="34"/>
      <c r="V83" s="17"/>
      <c r="W83" s="34"/>
      <c r="X83" s="17"/>
      <c r="Y83" s="34"/>
      <c r="Z83" s="17"/>
      <c r="AA83" s="34"/>
      <c r="AB83" s="17"/>
    </row>
    <row r="84" spans="1:28">
      <c r="A84" s="48"/>
      <c r="B84" s="50"/>
      <c r="C84" s="17"/>
      <c r="D84" s="34"/>
      <c r="E84" s="34"/>
      <c r="F84" s="17"/>
      <c r="G84" s="34"/>
      <c r="H84" s="17"/>
      <c r="I84" s="34"/>
      <c r="J84" s="17"/>
      <c r="K84" s="34"/>
      <c r="L84" s="17"/>
      <c r="M84" s="34"/>
      <c r="N84" s="17"/>
      <c r="O84" s="34"/>
      <c r="P84" s="17"/>
      <c r="Q84" s="34"/>
      <c r="R84" s="17"/>
      <c r="S84" s="34"/>
      <c r="T84" s="17"/>
      <c r="U84" s="34"/>
      <c r="V84" s="17"/>
      <c r="W84" s="34"/>
      <c r="X84" s="17"/>
      <c r="Y84" s="34"/>
      <c r="Z84" s="17"/>
      <c r="AA84" s="34"/>
      <c r="AB84" s="17"/>
    </row>
    <row r="85" spans="1:28">
      <c r="A85" s="48"/>
      <c r="B85" s="50"/>
      <c r="C85" s="17"/>
      <c r="D85" s="34"/>
      <c r="E85" s="34"/>
      <c r="F85" s="17"/>
      <c r="G85" s="34"/>
      <c r="H85" s="17"/>
      <c r="I85" s="34"/>
      <c r="J85" s="17"/>
      <c r="K85" s="34"/>
      <c r="L85" s="17"/>
      <c r="M85" s="34"/>
      <c r="N85" s="17"/>
      <c r="O85" s="34"/>
      <c r="P85" s="17"/>
      <c r="Q85" s="34"/>
      <c r="R85" s="17"/>
      <c r="S85" s="34"/>
      <c r="T85" s="17"/>
      <c r="U85" s="34"/>
      <c r="V85" s="17"/>
      <c r="W85" s="34"/>
      <c r="X85" s="17"/>
      <c r="Y85" s="34"/>
      <c r="Z85" s="17"/>
      <c r="AA85" s="34"/>
      <c r="AB85" s="17"/>
    </row>
    <row r="86" spans="1:28">
      <c r="A86" s="48"/>
      <c r="B86" s="50"/>
      <c r="C86" s="17"/>
      <c r="D86" s="34"/>
      <c r="E86" s="34"/>
      <c r="F86" s="17"/>
      <c r="G86" s="34"/>
      <c r="H86" s="17"/>
      <c r="I86" s="34"/>
      <c r="J86" s="17"/>
      <c r="K86" s="34"/>
      <c r="L86" s="17"/>
      <c r="M86" s="34"/>
      <c r="N86" s="17"/>
      <c r="O86" s="34"/>
      <c r="P86" s="17"/>
      <c r="Q86" s="34"/>
      <c r="R86" s="17"/>
      <c r="S86" s="34"/>
      <c r="T86" s="17"/>
      <c r="U86" s="34"/>
      <c r="V86" s="17"/>
      <c r="W86" s="34"/>
      <c r="X86" s="17"/>
      <c r="Y86" s="34"/>
      <c r="Z86" s="17"/>
      <c r="AA86" s="34"/>
      <c r="AB86" s="17"/>
    </row>
    <row r="87" spans="1:28">
      <c r="A87" s="48"/>
      <c r="B87" s="50"/>
      <c r="C87" s="17"/>
      <c r="D87" s="34"/>
      <c r="E87" s="34"/>
      <c r="F87" s="17"/>
      <c r="G87" s="34"/>
      <c r="H87" s="17"/>
      <c r="I87" s="34"/>
      <c r="J87" s="17"/>
      <c r="K87" s="34"/>
      <c r="L87" s="17"/>
      <c r="M87" s="34"/>
      <c r="N87" s="17"/>
      <c r="O87" s="34"/>
      <c r="P87" s="17"/>
      <c r="Q87" s="34"/>
      <c r="R87" s="17"/>
      <c r="S87" s="34"/>
      <c r="T87" s="17"/>
      <c r="U87" s="34"/>
      <c r="V87" s="17"/>
      <c r="W87" s="34"/>
      <c r="X87" s="17"/>
      <c r="Y87" s="34"/>
      <c r="Z87" s="17"/>
      <c r="AA87" s="34"/>
      <c r="AB87" s="17"/>
    </row>
    <row r="88" spans="1:28">
      <c r="A88" s="48"/>
      <c r="B88" s="50"/>
      <c r="C88" s="17"/>
      <c r="D88" s="34"/>
      <c r="E88" s="34"/>
      <c r="F88" s="17"/>
      <c r="G88" s="34"/>
      <c r="H88" s="17"/>
      <c r="I88" s="34"/>
      <c r="J88" s="17"/>
      <c r="K88" s="34"/>
      <c r="L88" s="17"/>
      <c r="M88" s="34"/>
      <c r="N88" s="17"/>
      <c r="O88" s="34"/>
      <c r="P88" s="17"/>
      <c r="Q88" s="34"/>
      <c r="R88" s="17"/>
      <c r="S88" s="34"/>
      <c r="T88" s="17"/>
      <c r="U88" s="34"/>
      <c r="V88" s="17"/>
      <c r="W88" s="34"/>
      <c r="X88" s="17"/>
      <c r="Y88" s="34"/>
      <c r="Z88" s="17"/>
      <c r="AA88" s="34"/>
      <c r="AB88" s="17"/>
    </row>
    <row r="89" spans="1:28">
      <c r="A89" s="48"/>
      <c r="B89" s="50"/>
      <c r="C89" s="17"/>
      <c r="D89" s="34"/>
      <c r="E89" s="34"/>
      <c r="F89" s="17"/>
      <c r="G89" s="34"/>
      <c r="H89" s="17"/>
      <c r="I89" s="34"/>
      <c r="J89" s="17"/>
      <c r="K89" s="34"/>
      <c r="L89" s="17"/>
      <c r="M89" s="34"/>
      <c r="N89" s="17"/>
      <c r="O89" s="34"/>
      <c r="P89" s="17"/>
      <c r="Q89" s="34"/>
      <c r="R89" s="17"/>
      <c r="S89" s="34"/>
      <c r="T89" s="17"/>
      <c r="U89" s="34"/>
      <c r="V89" s="17"/>
      <c r="W89" s="34"/>
      <c r="X89" s="17"/>
      <c r="Y89" s="34"/>
      <c r="Z89" s="17"/>
      <c r="AA89" s="34"/>
      <c r="AB89" s="17"/>
    </row>
    <row r="90" spans="1:28">
      <c r="A90" s="48"/>
      <c r="B90" s="50"/>
      <c r="C90" s="17"/>
      <c r="D90" s="34"/>
      <c r="E90" s="34"/>
      <c r="F90" s="17"/>
      <c r="G90" s="34"/>
      <c r="H90" s="17"/>
      <c r="I90" s="34"/>
      <c r="J90" s="17"/>
      <c r="K90" s="34"/>
      <c r="L90" s="17"/>
      <c r="M90" s="34"/>
      <c r="N90" s="17"/>
      <c r="O90" s="34"/>
      <c r="P90" s="17"/>
      <c r="Q90" s="34"/>
      <c r="R90" s="17"/>
      <c r="S90" s="34"/>
      <c r="T90" s="17"/>
      <c r="U90" s="34"/>
      <c r="V90" s="17"/>
      <c r="W90" s="34"/>
      <c r="X90" s="17"/>
      <c r="Y90" s="34"/>
      <c r="Z90" s="17"/>
      <c r="AA90" s="34"/>
      <c r="AB90" s="17"/>
    </row>
    <row r="91" spans="1:28">
      <c r="A91" s="48"/>
      <c r="B91" s="50"/>
      <c r="C91" s="17"/>
      <c r="D91" s="34"/>
      <c r="E91" s="34"/>
      <c r="F91" s="17"/>
      <c r="G91" s="34"/>
      <c r="H91" s="17"/>
      <c r="I91" s="34"/>
      <c r="J91" s="17"/>
      <c r="K91" s="34"/>
      <c r="L91" s="17"/>
      <c r="M91" s="34"/>
      <c r="N91" s="17"/>
      <c r="O91" s="34"/>
      <c r="P91" s="17"/>
      <c r="Q91" s="34"/>
      <c r="R91" s="17"/>
      <c r="S91" s="34"/>
      <c r="T91" s="17"/>
      <c r="U91" s="34"/>
      <c r="V91" s="17"/>
      <c r="W91" s="34"/>
      <c r="X91" s="17"/>
      <c r="Y91" s="34"/>
      <c r="Z91" s="17"/>
      <c r="AA91" s="34"/>
      <c r="AB91" s="17"/>
    </row>
    <row r="92" spans="1:28">
      <c r="A92" s="48"/>
      <c r="B92" s="50"/>
      <c r="C92" s="17"/>
      <c r="D92" s="34"/>
      <c r="E92" s="34"/>
      <c r="F92" s="17"/>
      <c r="G92" s="34"/>
      <c r="H92" s="17"/>
      <c r="I92" s="34"/>
      <c r="J92" s="17"/>
      <c r="K92" s="34"/>
      <c r="L92" s="17"/>
      <c r="M92" s="34"/>
      <c r="N92" s="17"/>
      <c r="O92" s="34"/>
      <c r="P92" s="17"/>
      <c r="Q92" s="34"/>
      <c r="R92" s="17"/>
      <c r="S92" s="34"/>
      <c r="T92" s="17"/>
      <c r="U92" s="34"/>
      <c r="V92" s="17"/>
      <c r="W92" s="34"/>
      <c r="X92" s="17"/>
      <c r="Y92" s="34"/>
      <c r="Z92" s="17"/>
      <c r="AA92" s="34"/>
      <c r="AB92" s="17"/>
    </row>
    <row r="93" spans="1:28">
      <c r="A93" s="48"/>
      <c r="B93" s="50"/>
      <c r="C93" s="17"/>
      <c r="D93" s="34"/>
      <c r="E93" s="34"/>
      <c r="F93" s="17"/>
      <c r="G93" s="34"/>
      <c r="H93" s="17"/>
      <c r="I93" s="34"/>
      <c r="J93" s="17"/>
      <c r="K93" s="34"/>
      <c r="L93" s="17"/>
      <c r="M93" s="34"/>
      <c r="N93" s="17"/>
      <c r="O93" s="34"/>
      <c r="P93" s="17"/>
      <c r="Q93" s="34"/>
      <c r="R93" s="17"/>
      <c r="S93" s="34"/>
      <c r="T93" s="17"/>
      <c r="U93" s="34"/>
      <c r="V93" s="17"/>
      <c r="W93" s="34"/>
      <c r="X93" s="17"/>
      <c r="Y93" s="34"/>
      <c r="Z93" s="17"/>
      <c r="AA93" s="34"/>
      <c r="AB93" s="17"/>
    </row>
    <row r="94" spans="1:28">
      <c r="A94" s="48"/>
      <c r="B94" s="50"/>
      <c r="C94" s="17"/>
      <c r="D94" s="34"/>
      <c r="E94" s="34"/>
      <c r="F94" s="17"/>
      <c r="G94" s="34"/>
      <c r="H94" s="17"/>
      <c r="I94" s="34"/>
      <c r="J94" s="17"/>
      <c r="K94" s="34"/>
      <c r="L94" s="17"/>
      <c r="M94" s="34"/>
      <c r="N94" s="17"/>
      <c r="O94" s="34"/>
      <c r="P94" s="17"/>
      <c r="Q94" s="34"/>
      <c r="R94" s="17"/>
      <c r="S94" s="34"/>
      <c r="T94" s="17"/>
      <c r="U94" s="34"/>
      <c r="V94" s="17"/>
      <c r="W94" s="34"/>
      <c r="X94" s="17"/>
      <c r="Y94" s="34"/>
      <c r="Z94" s="17"/>
      <c r="AA94" s="34"/>
      <c r="AB94" s="17"/>
    </row>
    <row r="95" spans="1:28">
      <c r="A95" s="48"/>
      <c r="B95" s="50"/>
      <c r="C95" s="17"/>
      <c r="D95" s="34"/>
      <c r="E95" s="34"/>
      <c r="F95" s="17"/>
      <c r="G95" s="34"/>
      <c r="H95" s="17"/>
      <c r="I95" s="34"/>
      <c r="J95" s="17"/>
      <c r="K95" s="34"/>
      <c r="L95" s="17"/>
      <c r="M95" s="34"/>
      <c r="N95" s="17"/>
      <c r="O95" s="34"/>
      <c r="P95" s="17"/>
      <c r="Q95" s="34"/>
      <c r="R95" s="17"/>
      <c r="S95" s="34"/>
      <c r="T95" s="17"/>
      <c r="U95" s="34"/>
      <c r="V95" s="17"/>
      <c r="W95" s="34"/>
      <c r="X95" s="17"/>
      <c r="Y95" s="34"/>
      <c r="Z95" s="17"/>
      <c r="AA95" s="34"/>
      <c r="AB95" s="17"/>
    </row>
    <row r="96" spans="1:28">
      <c r="A96" s="48"/>
      <c r="B96" s="50"/>
      <c r="C96" s="17"/>
      <c r="D96" s="34"/>
      <c r="E96" s="34"/>
      <c r="F96" s="17"/>
      <c r="G96" s="34"/>
      <c r="H96" s="17"/>
      <c r="I96" s="34"/>
      <c r="J96" s="17"/>
      <c r="K96" s="34"/>
      <c r="L96" s="17"/>
      <c r="M96" s="34"/>
      <c r="N96" s="17"/>
      <c r="O96" s="34"/>
      <c r="P96" s="17"/>
      <c r="Q96" s="34"/>
      <c r="R96" s="17"/>
      <c r="S96" s="34"/>
      <c r="T96" s="17"/>
      <c r="U96" s="34"/>
      <c r="V96" s="17"/>
      <c r="W96" s="34"/>
      <c r="X96" s="17"/>
      <c r="Y96" s="34"/>
      <c r="Z96" s="17"/>
      <c r="AA96" s="34"/>
      <c r="AB96" s="17"/>
    </row>
    <row r="97" spans="1:28">
      <c r="A97" s="48"/>
      <c r="B97" s="50"/>
      <c r="C97" s="17"/>
      <c r="D97" s="34"/>
      <c r="E97" s="34"/>
      <c r="F97" s="17"/>
      <c r="G97" s="34"/>
      <c r="H97" s="17"/>
      <c r="I97" s="34"/>
      <c r="J97" s="17"/>
      <c r="K97" s="34"/>
      <c r="L97" s="17"/>
      <c r="M97" s="34"/>
      <c r="N97" s="17"/>
      <c r="O97" s="34"/>
      <c r="P97" s="17"/>
      <c r="Q97" s="34"/>
      <c r="R97" s="17"/>
      <c r="S97" s="34"/>
      <c r="T97" s="17"/>
      <c r="U97" s="34"/>
      <c r="V97" s="17"/>
      <c r="W97" s="34"/>
      <c r="X97" s="17"/>
      <c r="Y97" s="34"/>
      <c r="Z97" s="17"/>
      <c r="AA97" s="34"/>
      <c r="AB97" s="17"/>
    </row>
    <row r="98" spans="1:28">
      <c r="A98" s="48"/>
      <c r="B98" s="50"/>
      <c r="C98" s="17"/>
      <c r="D98" s="34"/>
      <c r="E98" s="34"/>
      <c r="F98" s="17"/>
      <c r="G98" s="34"/>
      <c r="H98" s="17"/>
      <c r="I98" s="34"/>
      <c r="J98" s="17"/>
      <c r="K98" s="34"/>
      <c r="L98" s="17"/>
      <c r="M98" s="34"/>
      <c r="N98" s="17"/>
      <c r="O98" s="34"/>
      <c r="P98" s="17"/>
      <c r="Q98" s="34"/>
      <c r="R98" s="17"/>
      <c r="S98" s="34"/>
      <c r="T98" s="17"/>
      <c r="U98" s="34"/>
      <c r="V98" s="17"/>
      <c r="W98" s="34"/>
      <c r="X98" s="17"/>
      <c r="Y98" s="34"/>
      <c r="Z98" s="17"/>
      <c r="AA98" s="34"/>
      <c r="AB98" s="17"/>
    </row>
    <row r="99" spans="1:28">
      <c r="A99" s="48"/>
      <c r="B99" s="50"/>
      <c r="C99" s="17"/>
      <c r="D99" s="34"/>
      <c r="E99" s="34"/>
      <c r="F99" s="17"/>
      <c r="G99" s="34"/>
      <c r="H99" s="17"/>
      <c r="I99" s="34"/>
      <c r="J99" s="17"/>
      <c r="K99" s="34"/>
      <c r="L99" s="17"/>
      <c r="M99" s="34"/>
      <c r="N99" s="17"/>
      <c r="O99" s="34"/>
      <c r="P99" s="17"/>
      <c r="Q99" s="34"/>
      <c r="R99" s="17"/>
      <c r="S99" s="34"/>
      <c r="T99" s="17"/>
      <c r="U99" s="34"/>
      <c r="V99" s="17"/>
      <c r="W99" s="34"/>
      <c r="X99" s="17"/>
      <c r="Y99" s="34"/>
      <c r="Z99" s="17"/>
      <c r="AA99" s="34"/>
      <c r="AB99" s="17"/>
    </row>
    <row r="100" spans="1:28">
      <c r="A100" s="48"/>
      <c r="B100" s="50"/>
      <c r="C100" s="17"/>
      <c r="D100" s="34"/>
      <c r="E100" s="34"/>
      <c r="F100" s="17"/>
      <c r="G100" s="34"/>
      <c r="H100" s="17"/>
      <c r="I100" s="34"/>
      <c r="J100" s="17"/>
      <c r="K100" s="34"/>
      <c r="L100" s="17"/>
      <c r="M100" s="34"/>
      <c r="N100" s="17"/>
      <c r="O100" s="34"/>
      <c r="P100" s="17"/>
      <c r="Q100" s="34"/>
      <c r="R100" s="17"/>
      <c r="S100" s="34"/>
      <c r="T100" s="17"/>
      <c r="U100" s="34"/>
      <c r="V100" s="17"/>
      <c r="W100" s="34"/>
      <c r="X100" s="17"/>
      <c r="Y100" s="34"/>
      <c r="Z100" s="17"/>
      <c r="AA100" s="34"/>
      <c r="AB100" s="17"/>
    </row>
    <row r="101" spans="1:28">
      <c r="A101" s="48"/>
      <c r="B101" s="50"/>
      <c r="C101" s="17"/>
      <c r="D101" s="34"/>
      <c r="E101" s="34"/>
      <c r="F101" s="17"/>
      <c r="G101" s="34"/>
      <c r="H101" s="17"/>
      <c r="I101" s="34"/>
      <c r="J101" s="17"/>
      <c r="K101" s="34"/>
      <c r="L101" s="17"/>
      <c r="M101" s="34"/>
      <c r="N101" s="17"/>
      <c r="O101" s="34"/>
      <c r="P101" s="17"/>
      <c r="Q101" s="34"/>
      <c r="R101" s="17"/>
      <c r="S101" s="34"/>
      <c r="T101" s="17"/>
      <c r="U101" s="34"/>
      <c r="V101" s="17"/>
      <c r="W101" s="34"/>
      <c r="X101" s="17"/>
      <c r="Y101" s="34"/>
      <c r="Z101" s="17"/>
      <c r="AA101" s="34"/>
      <c r="AB101" s="17"/>
    </row>
    <row r="102" spans="1:28">
      <c r="A102" s="49"/>
      <c r="B102" s="51"/>
      <c r="C102" s="18"/>
      <c r="D102" s="35"/>
      <c r="E102" s="35"/>
      <c r="F102" s="18"/>
      <c r="G102" s="35"/>
      <c r="H102" s="18"/>
      <c r="I102" s="35"/>
      <c r="J102" s="18"/>
      <c r="K102" s="35"/>
      <c r="L102" s="18"/>
      <c r="M102" s="35"/>
      <c r="N102" s="18"/>
      <c r="O102" s="35"/>
      <c r="P102" s="18"/>
      <c r="Q102" s="35"/>
      <c r="R102" s="18"/>
      <c r="S102" s="35"/>
      <c r="T102" s="18"/>
      <c r="U102" s="35"/>
      <c r="V102" s="18"/>
      <c r="W102" s="35"/>
      <c r="X102" s="18"/>
      <c r="Y102" s="35"/>
      <c r="Z102" s="18"/>
      <c r="AA102" s="35"/>
      <c r="AB102" s="18"/>
    </row>
    <row r="103" spans="1:28" hidden="1"/>
    <row r="104" spans="1:28" hidden="1"/>
    <row r="105" spans="1:28" hidden="1"/>
    <row r="106" spans="1:28"/>
    <row r="107" spans="1:28"/>
    <row r="108" spans="1:28"/>
    <row r="109" spans="1:28"/>
    <row r="110" spans="1:28"/>
    <row r="111" spans="1:28"/>
    <row r="112" spans="1:28"/>
    <row r="113"/>
    <row r="114"/>
    <row r="115"/>
    <row r="116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I120"/>
  <sheetViews>
    <sheetView topLeftCell="I1" workbookViewId="0">
      <selection activeCell="AA18" sqref="AA18:AC18"/>
    </sheetView>
  </sheetViews>
  <sheetFormatPr defaultColWidth="0" defaultRowHeight="15" zeroHeight="1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166</v>
      </c>
      <c r="V1" s="21"/>
      <c r="W1" s="21" t="s">
        <v>72</v>
      </c>
      <c r="X1" s="21"/>
      <c r="Y1" s="21" t="s">
        <v>183</v>
      </c>
      <c r="Z1" s="21"/>
      <c r="AA1" s="21" t="s">
        <v>6</v>
      </c>
      <c r="AB1" s="21"/>
      <c r="AC1" s="21" t="s">
        <v>7</v>
      </c>
      <c r="AD1" s="21"/>
      <c r="AE1" s="175" t="s">
        <v>297</v>
      </c>
      <c r="AF1" s="175"/>
      <c r="AG1" s="54"/>
      <c r="AH1" s="54" t="s">
        <v>329</v>
      </c>
      <c r="AI1" s="53"/>
    </row>
    <row r="2" spans="1:35">
      <c r="A2" s="23">
        <v>42370</v>
      </c>
      <c r="B2" s="25"/>
      <c r="C2" s="16" t="s">
        <v>125</v>
      </c>
      <c r="D2" s="16">
        <v>1</v>
      </c>
      <c r="E2" s="29"/>
      <c r="F2" s="16" t="s">
        <v>197</v>
      </c>
      <c r="G2" s="25"/>
      <c r="H2" s="16" t="s">
        <v>88</v>
      </c>
      <c r="I2" s="16">
        <v>2</v>
      </c>
      <c r="J2" s="29"/>
      <c r="K2" s="24">
        <v>1.85</v>
      </c>
      <c r="L2" s="25"/>
      <c r="M2" s="16" t="s">
        <v>89</v>
      </c>
      <c r="N2" s="29"/>
      <c r="O2" s="16" t="s">
        <v>244</v>
      </c>
      <c r="P2" s="25"/>
      <c r="Q2" s="16" t="s">
        <v>172</v>
      </c>
      <c r="R2" s="25"/>
      <c r="S2" s="16" t="s">
        <v>90</v>
      </c>
      <c r="T2" s="29"/>
      <c r="U2" s="16" t="s">
        <v>125</v>
      </c>
      <c r="V2" s="25"/>
      <c r="W2" s="22" t="s">
        <v>294</v>
      </c>
      <c r="X2" s="29"/>
      <c r="Y2" s="16" t="s">
        <v>185</v>
      </c>
      <c r="Z2" s="25"/>
      <c r="AA2" s="16" t="s">
        <v>224</v>
      </c>
      <c r="AB2" s="25"/>
      <c r="AC2" s="22" t="s">
        <v>233</v>
      </c>
      <c r="AD2" s="29"/>
      <c r="AE2" s="16" t="s">
        <v>87</v>
      </c>
      <c r="AF2" s="16" t="s">
        <v>196</v>
      </c>
      <c r="AG2" s="29"/>
      <c r="AH2" s="57">
        <v>42370</v>
      </c>
      <c r="AI2" s="25"/>
    </row>
    <row r="3" spans="1:35">
      <c r="A3" s="23">
        <v>42370.010416666664</v>
      </c>
      <c r="B3" s="25"/>
      <c r="C3" s="16" t="s">
        <v>159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2.25</v>
      </c>
      <c r="L3" s="25"/>
      <c r="M3" s="16" t="s">
        <v>92</v>
      </c>
      <c r="N3" s="29"/>
      <c r="O3" s="16" t="s">
        <v>245</v>
      </c>
      <c r="P3" s="25"/>
      <c r="Q3" s="16" t="s">
        <v>178</v>
      </c>
      <c r="R3" s="25"/>
      <c r="S3" s="16" t="s">
        <v>93</v>
      </c>
      <c r="T3" s="29"/>
      <c r="U3" s="16" t="s">
        <v>167</v>
      </c>
      <c r="V3" s="25"/>
      <c r="W3" s="22" t="s">
        <v>295</v>
      </c>
      <c r="X3" s="29"/>
      <c r="Y3" s="16" t="s">
        <v>186</v>
      </c>
      <c r="Z3" s="25"/>
      <c r="AA3" s="16" t="s">
        <v>225</v>
      </c>
      <c r="AB3" s="25"/>
      <c r="AC3" s="22" t="s">
        <v>231</v>
      </c>
      <c r="AD3" s="29"/>
      <c r="AE3" s="16" t="s">
        <v>197</v>
      </c>
      <c r="AF3" s="16" t="s">
        <v>197</v>
      </c>
      <c r="AG3" s="29"/>
      <c r="AH3" s="57">
        <v>42520</v>
      </c>
      <c r="AI3" s="25"/>
    </row>
    <row r="4" spans="1:35">
      <c r="A4" s="23">
        <v>42370.020833333328</v>
      </c>
      <c r="B4" s="25"/>
      <c r="C4" s="16" t="s">
        <v>129</v>
      </c>
      <c r="D4" s="16">
        <v>3</v>
      </c>
      <c r="E4" s="29"/>
      <c r="F4" s="16" t="s">
        <v>239</v>
      </c>
      <c r="G4" s="25"/>
      <c r="H4" s="16" t="s">
        <v>95</v>
      </c>
      <c r="I4" s="16">
        <f t="shared" si="0"/>
        <v>4</v>
      </c>
      <c r="J4" s="29"/>
      <c r="K4" s="24">
        <v>2.35</v>
      </c>
      <c r="L4" s="25"/>
      <c r="M4" s="16" t="s">
        <v>96</v>
      </c>
      <c r="N4" s="29"/>
      <c r="O4" s="16" t="s">
        <v>123</v>
      </c>
      <c r="P4" s="25"/>
      <c r="Q4" s="16" t="s">
        <v>173</v>
      </c>
      <c r="R4" s="25"/>
      <c r="S4" s="16" t="s">
        <v>97</v>
      </c>
      <c r="T4" s="29"/>
      <c r="U4" s="16" t="s">
        <v>146</v>
      </c>
      <c r="V4" s="25"/>
      <c r="W4" s="22" t="s">
        <v>296</v>
      </c>
      <c r="X4" s="29"/>
      <c r="Y4" s="16" t="s">
        <v>184</v>
      </c>
      <c r="Z4" s="25"/>
      <c r="AA4" s="16" t="s">
        <v>227</v>
      </c>
      <c r="AB4" s="25"/>
      <c r="AC4" s="22" t="s">
        <v>235</v>
      </c>
      <c r="AD4" s="29"/>
      <c r="AE4" s="16" t="s">
        <v>94</v>
      </c>
      <c r="AF4" s="16" t="s">
        <v>195</v>
      </c>
      <c r="AG4" s="29"/>
      <c r="AH4" s="57">
        <v>42555</v>
      </c>
      <c r="AI4" s="25"/>
    </row>
    <row r="5" spans="1:3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>
        <v>2.75</v>
      </c>
      <c r="L5" s="25"/>
      <c r="M5" s="16" t="s">
        <v>100</v>
      </c>
      <c r="N5" s="29"/>
      <c r="O5" s="16" t="s">
        <v>124</v>
      </c>
      <c r="P5" s="25"/>
      <c r="Q5" s="16" t="s">
        <v>174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226</v>
      </c>
      <c r="AB5" s="25"/>
      <c r="AC5" s="22" t="s">
        <v>232</v>
      </c>
      <c r="AD5" s="29"/>
      <c r="AE5" s="16" t="s">
        <v>98</v>
      </c>
      <c r="AF5" s="16" t="s">
        <v>195</v>
      </c>
      <c r="AG5" s="29"/>
      <c r="AH5" s="57">
        <v>42618</v>
      </c>
      <c r="AI5" s="25"/>
    </row>
    <row r="6" spans="1:3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175</v>
      </c>
      <c r="R6" s="25"/>
      <c r="S6" s="16" t="s">
        <v>128</v>
      </c>
      <c r="T6" s="29"/>
      <c r="U6" s="16" t="s">
        <v>243</v>
      </c>
      <c r="V6" s="25"/>
      <c r="W6" s="22"/>
      <c r="X6" s="29"/>
      <c r="Y6" s="16"/>
      <c r="Z6" s="25"/>
      <c r="AA6" s="16" t="s">
        <v>230</v>
      </c>
      <c r="AB6" s="25"/>
      <c r="AC6" s="22" t="s">
        <v>234</v>
      </c>
      <c r="AD6" s="29"/>
      <c r="AE6" s="16" t="s">
        <v>102</v>
      </c>
      <c r="AF6" s="16" t="s">
        <v>195</v>
      </c>
      <c r="AG6" s="29"/>
      <c r="AH6" s="57">
        <v>42698</v>
      </c>
      <c r="AI6" s="25"/>
    </row>
    <row r="7" spans="1:3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176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228</v>
      </c>
      <c r="AB7" s="25"/>
      <c r="AC7" s="22" t="s">
        <v>236</v>
      </c>
      <c r="AD7" s="29"/>
      <c r="AE7" s="16" t="s">
        <v>106</v>
      </c>
      <c r="AF7" s="16" t="s">
        <v>195</v>
      </c>
      <c r="AG7" s="29"/>
      <c r="AH7" s="57">
        <v>42729</v>
      </c>
      <c r="AI7" s="25"/>
    </row>
    <row r="8" spans="1:3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246</v>
      </c>
      <c r="P8" s="25"/>
      <c r="Q8" s="16" t="s">
        <v>177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229</v>
      </c>
      <c r="AB8" s="25"/>
      <c r="AC8" s="16" t="s">
        <v>335</v>
      </c>
      <c r="AD8" s="29"/>
      <c r="AE8" s="16" t="s">
        <v>110</v>
      </c>
      <c r="AF8" s="16" t="s">
        <v>195</v>
      </c>
      <c r="AG8" s="29"/>
      <c r="AH8" s="57"/>
      <c r="AI8" s="25"/>
    </row>
    <row r="9" spans="1:35">
      <c r="A9" s="23">
        <v>42370.07291666665</v>
      </c>
      <c r="B9" s="25"/>
      <c r="C9" s="16" t="s">
        <v>141</v>
      </c>
      <c r="D9" s="16">
        <v>8</v>
      </c>
      <c r="E9" s="29"/>
      <c r="F9" s="16" t="s">
        <v>312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335</v>
      </c>
      <c r="AB9" s="25"/>
      <c r="AC9" s="22"/>
      <c r="AD9" s="29"/>
      <c r="AE9" s="16" t="s">
        <v>113</v>
      </c>
      <c r="AF9" s="16" t="s">
        <v>195</v>
      </c>
      <c r="AG9" s="29"/>
      <c r="AH9" s="57"/>
      <c r="AI9" s="25"/>
    </row>
    <row r="10" spans="1:3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195</v>
      </c>
      <c r="AG10" s="29"/>
      <c r="AH10" s="57"/>
      <c r="AI10" s="25"/>
    </row>
    <row r="11" spans="1:3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168</v>
      </c>
      <c r="AF11" s="16" t="s">
        <v>195</v>
      </c>
      <c r="AG11" s="29"/>
      <c r="AH11" s="57"/>
      <c r="AI11" s="25"/>
    </row>
    <row r="12" spans="1:3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309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195</v>
      </c>
      <c r="AG12" s="29"/>
      <c r="AH12" s="57"/>
      <c r="AI12" s="25"/>
    </row>
    <row r="13" spans="1:3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195</v>
      </c>
      <c r="AG13" s="29"/>
      <c r="AH13" s="57"/>
      <c r="AI13" s="25"/>
    </row>
    <row r="14" spans="1:3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310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195</v>
      </c>
      <c r="AG14" s="29"/>
      <c r="AH14" s="57"/>
      <c r="AI14" s="25"/>
    </row>
    <row r="15" spans="1:35">
      <c r="A15" s="23">
        <v>42370.135416666635</v>
      </c>
      <c r="B15" s="25"/>
      <c r="C15" s="16" t="s">
        <v>240</v>
      </c>
      <c r="D15" s="16">
        <v>18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239</v>
      </c>
      <c r="AF15" s="16" t="s">
        <v>195</v>
      </c>
      <c r="AG15" s="29"/>
      <c r="AH15" s="57"/>
      <c r="AI15" s="25"/>
    </row>
    <row r="16" spans="1:35">
      <c r="A16" s="23">
        <v>42370.145833333299</v>
      </c>
      <c r="B16" s="25"/>
      <c r="C16" s="16" t="s">
        <v>241</v>
      </c>
      <c r="D16" s="16">
        <v>19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57"/>
      <c r="AI16" s="25"/>
    </row>
    <row r="17" spans="1:35">
      <c r="A17" s="23">
        <v>42370.156249999964</v>
      </c>
      <c r="B17" s="25"/>
      <c r="C17" s="16" t="s">
        <v>242</v>
      </c>
      <c r="D17" s="16">
        <v>20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57"/>
      <c r="AI17" s="25"/>
    </row>
    <row r="18" spans="1:35">
      <c r="A18" s="23">
        <v>42370.166666666628</v>
      </c>
      <c r="B18" s="25"/>
      <c r="C18" s="16" t="s">
        <v>161</v>
      </c>
      <c r="D18" s="16">
        <v>21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57"/>
      <c r="AI18" s="25"/>
    </row>
    <row r="19" spans="1:35">
      <c r="A19" s="23">
        <v>42370.177083333292</v>
      </c>
      <c r="B19" s="25"/>
      <c r="C19" s="16" t="s">
        <v>243</v>
      </c>
      <c r="D19" s="16">
        <v>23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57"/>
      <c r="AI19" s="25"/>
    </row>
    <row r="20" spans="1:35">
      <c r="A20" s="23">
        <v>42370.187499999956</v>
      </c>
      <c r="B20" s="25"/>
      <c r="C20" s="16" t="s">
        <v>314</v>
      </c>
      <c r="D20" s="16">
        <v>24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332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57"/>
      <c r="AI20" s="25"/>
    </row>
    <row r="21" spans="1:35">
      <c r="A21" s="23">
        <v>42370.197916666621</v>
      </c>
      <c r="B21" s="25"/>
      <c r="C21" s="16" t="s">
        <v>315</v>
      </c>
      <c r="D21" s="16">
        <v>25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147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57"/>
      <c r="AI21" s="25"/>
    </row>
    <row r="22" spans="1:35">
      <c r="A22" s="23">
        <v>42370.208333333285</v>
      </c>
      <c r="B22" s="25"/>
      <c r="C22" s="16" t="s">
        <v>317</v>
      </c>
      <c r="D22" s="16">
        <v>26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247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57"/>
      <c r="AI22" s="25"/>
    </row>
    <row r="23" spans="1:35">
      <c r="A23" s="23">
        <v>42370.218749999949</v>
      </c>
      <c r="B23" s="25"/>
      <c r="C23" s="16" t="s">
        <v>330</v>
      </c>
      <c r="D23" s="16">
        <v>27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248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57"/>
      <c r="AI23" s="25"/>
    </row>
    <row r="24" spans="1:35">
      <c r="A24" s="23">
        <v>42370.229166666613</v>
      </c>
      <c r="B24" s="25"/>
      <c r="C24" s="16" t="s">
        <v>331</v>
      </c>
      <c r="D24" s="16">
        <v>28</v>
      </c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311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57"/>
      <c r="AI24" s="25"/>
    </row>
    <row r="25" spans="1:35">
      <c r="A25" s="23">
        <v>42370.239583333278</v>
      </c>
      <c r="B25" s="25"/>
      <c r="C25" s="16" t="s">
        <v>334</v>
      </c>
      <c r="D25" s="16">
        <v>29</v>
      </c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150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57"/>
      <c r="AI25" s="25"/>
    </row>
    <row r="26" spans="1:35">
      <c r="A26" s="23">
        <v>42370.249999999942</v>
      </c>
      <c r="B26" s="25"/>
      <c r="C26" s="16" t="s">
        <v>336</v>
      </c>
      <c r="D26" s="16">
        <v>30</v>
      </c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152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57"/>
      <c r="AI26" s="25"/>
    </row>
    <row r="27" spans="1:35">
      <c r="A27" s="23">
        <v>42370.260416666606</v>
      </c>
      <c r="B27" s="25"/>
      <c r="C27" s="16" t="s">
        <v>339</v>
      </c>
      <c r="D27" s="16">
        <v>31</v>
      </c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153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57"/>
      <c r="AI27" s="25"/>
    </row>
    <row r="28" spans="1:3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154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57"/>
      <c r="AI28" s="25"/>
    </row>
    <row r="29" spans="1:3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155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156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157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158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249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160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162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163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164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 t="s">
        <v>165</v>
      </c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 t="s">
        <v>333</v>
      </c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24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>
      <c r="A114" s="23">
        <v>42371.166666666395</v>
      </c>
      <c r="B114" s="28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>
      <c r="K115" s="16"/>
      <c r="O115" s="16"/>
    </row>
    <row r="116" spans="1:35" hidden="1">
      <c r="O116" s="16"/>
    </row>
    <row r="117" spans="1:35" hidden="1">
      <c r="O117" s="16"/>
    </row>
    <row r="118" spans="1:35" hidden="1">
      <c r="O118" s="16"/>
    </row>
    <row r="119" spans="1:35" hidden="1"/>
    <row r="120" spans="1:35" hidden="1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Mohamad Masri</cp:lastModifiedBy>
  <cp:lastPrinted>2016-01-15T19:02:47Z</cp:lastPrinted>
  <dcterms:created xsi:type="dcterms:W3CDTF">2015-11-23T17:22:57Z</dcterms:created>
  <dcterms:modified xsi:type="dcterms:W3CDTF">2016-05-19T15:52:52Z</dcterms:modified>
</cp:coreProperties>
</file>