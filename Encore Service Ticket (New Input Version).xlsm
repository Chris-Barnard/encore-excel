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Forms\"/>
    </mc:Choice>
  </mc:AlternateContent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'Pick Sheet'!$AH$2:$AH$28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E5" i="9" l="1"/>
  <c r="G13" i="9" s="1"/>
  <c r="E4" i="9"/>
  <c r="E3" i="9"/>
  <c r="B5" i="9"/>
  <c r="G8" i="9" s="1"/>
  <c r="B4" i="9"/>
  <c r="B3" i="9"/>
  <c r="E8" i="9" l="1"/>
  <c r="E9" i="9" s="1"/>
  <c r="E13" i="9"/>
  <c r="G9" i="9"/>
  <c r="F13" i="9"/>
  <c r="F8" i="9"/>
  <c r="F9" i="9" s="1"/>
  <c r="I3" i="5"/>
  <c r="I4" i="5" s="1"/>
  <c r="I5" i="5" s="1"/>
  <c r="I6" i="5" s="1"/>
  <c r="I7" i="5" s="1"/>
  <c r="I8" i="5" s="1"/>
  <c r="I9" i="5" s="1"/>
  <c r="I10" i="5" s="1"/>
  <c r="B15" i="4" l="1"/>
  <c r="AA18" i="4" l="1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G10" i="9" l="1"/>
  <c r="G11" i="9" s="1"/>
  <c r="K23" i="4" s="1"/>
  <c r="Q23" i="4" s="1"/>
  <c r="F10" i="9"/>
  <c r="F11" i="9"/>
  <c r="K22" i="4" s="1"/>
  <c r="E10" i="9"/>
  <c r="E11" i="9" s="1"/>
  <c r="K21" i="4" s="1"/>
  <c r="G12" i="9" l="1"/>
  <c r="H23" i="4" s="1"/>
  <c r="N23" i="4" s="1"/>
  <c r="F12" i="9"/>
  <c r="E12" i="9"/>
  <c r="H21" i="4" s="1"/>
  <c r="N21" i="4" s="1"/>
  <c r="Q22" i="4" l="1"/>
  <c r="H22" i="4"/>
  <c r="Q21" i="4"/>
  <c r="K24" i="4"/>
  <c r="AX24" i="4" s="1"/>
  <c r="H24" i="4" l="1"/>
  <c r="AX23" i="4" s="1"/>
  <c r="AX22" i="4" s="1"/>
  <c r="AX38" i="4" s="1"/>
  <c r="N22" i="4"/>
  <c r="Q24" i="4" s="1"/>
</calcChain>
</file>

<file path=xl/sharedStrings.xml><?xml version="1.0" encoding="utf-8"?>
<sst xmlns="http://schemas.openxmlformats.org/spreadsheetml/2006/main" count="397" uniqueCount="340">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</sst>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</numFmts>
  <fonts count="14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</cellStyleXfs>
  <cellXfs count="167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4" fillId="14" borderId="2" xfId="6" applyBorder="1"/>
    <xf numFmtId="0" fontId="4" fillId="14" borderId="4" xfId="6" applyBorder="1"/>
    <xf numFmtId="0" fontId="4" fillId="14" borderId="3" xfId="6" applyBorder="1"/>
    <xf numFmtId="0" fontId="13" fillId="13" borderId="3" xfId="5" applyBorder="1" applyAlignment="1">
      <alignment horizontal="centerContinuous"/>
    </xf>
    <xf numFmtId="0" fontId="13" fillId="13" borderId="2" xfId="5" applyBorder="1" applyAlignment="1">
      <alignment horizontal="centerContinuous"/>
    </xf>
    <xf numFmtId="0" fontId="13" fillId="13" borderId="4" xfId="5" applyBorder="1" applyAlignment="1">
      <alignment horizontal="centerContinuous"/>
    </xf>
    <xf numFmtId="0" fontId="13" fillId="13" borderId="1" xfId="5" applyBorder="1" applyAlignment="1">
      <alignment horizontal="centerContinuous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7">
    <cellStyle name="20% - Accent3" xfId="6" builtinId="38"/>
    <cellStyle name="Accent3" xfId="5" builtinId="37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H18" sqref="H18:S18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98" t="s">
        <v>182</v>
      </c>
      <c r="AX1" s="98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4" t="str">
        <f>IF(B11="","Report Template",VLOOKUP($B$11,'Pick Sheet'!$AE$2:$AF$22,2,FALSE))</f>
        <v>Report Template</v>
      </c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6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57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9"/>
      <c r="AN3" s="2"/>
      <c r="AO3" s="153" t="str">
        <f ca="1">CONCATENATE(YEAR($AP$7)," ",MONTH(AP$7)," ",DAY($AP$7)," ",$AX$11," ",$AX$18," ","0",$AX$40," ",$AX$20,)</f>
        <v>1900 1 0 0 0 00 0</v>
      </c>
      <c r="AP3" s="153"/>
      <c r="AQ3" s="153"/>
      <c r="AR3" s="153"/>
      <c r="AS3" s="153"/>
      <c r="AT3" s="153"/>
      <c r="AU3" s="153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49" t="s">
        <v>0</v>
      </c>
      <c r="C5" s="149"/>
      <c r="D5" s="149"/>
      <c r="E5" s="149"/>
      <c r="F5" s="149"/>
      <c r="G5" s="149"/>
      <c r="H5" s="109" t="s">
        <v>1</v>
      </c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1"/>
      <c r="U5" s="109" t="s">
        <v>2</v>
      </c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1"/>
      <c r="AK5" s="109" t="s">
        <v>3</v>
      </c>
      <c r="AL5" s="110"/>
      <c r="AM5" s="110"/>
      <c r="AN5" s="110"/>
      <c r="AO5" s="111"/>
      <c r="AP5" s="109" t="s">
        <v>4</v>
      </c>
      <c r="AQ5" s="110"/>
      <c r="AR5" s="110"/>
      <c r="AS5" s="110"/>
      <c r="AT5" s="110"/>
      <c r="AU5" s="111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97"/>
      <c r="C7" s="97"/>
      <c r="D7" s="97"/>
      <c r="E7" s="97"/>
      <c r="F7" s="97"/>
      <c r="G7" s="97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148"/>
      <c r="AQ7" s="97"/>
      <c r="AR7" s="97"/>
      <c r="AS7" s="97"/>
      <c r="AT7" s="97"/>
      <c r="AU7" s="97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49" t="s">
        <v>43</v>
      </c>
      <c r="C9" s="149"/>
      <c r="D9" s="149"/>
      <c r="E9" s="149"/>
      <c r="F9" s="149"/>
      <c r="G9" s="149"/>
      <c r="H9" s="149" t="s">
        <v>169</v>
      </c>
      <c r="I9" s="149"/>
      <c r="J9" s="149"/>
      <c r="K9" s="149"/>
      <c r="L9" s="149"/>
      <c r="M9" s="149"/>
      <c r="N9" s="149"/>
      <c r="O9" s="149"/>
      <c r="P9" s="149"/>
      <c r="Q9" s="149"/>
      <c r="R9" s="149"/>
      <c r="S9" s="149"/>
      <c r="T9" s="149"/>
      <c r="U9" s="149" t="s">
        <v>5</v>
      </c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 t="s">
        <v>6</v>
      </c>
      <c r="AL9" s="149"/>
      <c r="AM9" s="149"/>
      <c r="AN9" s="149"/>
      <c r="AO9" s="149"/>
      <c r="AP9" s="149" t="s">
        <v>7</v>
      </c>
      <c r="AQ9" s="149"/>
      <c r="AR9" s="149"/>
      <c r="AS9" s="149"/>
      <c r="AT9" s="149"/>
      <c r="AU9" s="149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23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123"/>
      <c r="AL11" s="123"/>
      <c r="AM11" s="123"/>
      <c r="AN11" s="123"/>
      <c r="AO11" s="123"/>
      <c r="AP11" s="112"/>
      <c r="AQ11" s="113"/>
      <c r="AR11" s="113"/>
      <c r="AS11" s="113"/>
      <c r="AT11" s="113"/>
      <c r="AU11" s="147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49" t="s">
        <v>44</v>
      </c>
      <c r="C13" s="149"/>
      <c r="D13" s="149"/>
      <c r="E13" s="149"/>
      <c r="F13" s="149"/>
      <c r="G13" s="149"/>
      <c r="H13" s="149" t="s">
        <v>38</v>
      </c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09" t="s">
        <v>8</v>
      </c>
      <c r="V13" s="110"/>
      <c r="W13" s="110"/>
      <c r="X13" s="110"/>
      <c r="Y13" s="110"/>
      <c r="Z13" s="110"/>
      <c r="AA13" s="110"/>
      <c r="AB13" s="111"/>
      <c r="AC13" s="146"/>
      <c r="AD13" s="146"/>
      <c r="AE13" s="146"/>
      <c r="AF13" s="146"/>
      <c r="AG13" s="146"/>
      <c r="AH13" s="146"/>
      <c r="AI13" s="146"/>
      <c r="AJ13" s="146"/>
      <c r="AK13" s="149" t="s">
        <v>45</v>
      </c>
      <c r="AL13" s="149"/>
      <c r="AM13" s="149"/>
      <c r="AN13" s="149"/>
      <c r="AO13" s="149"/>
      <c r="AP13" s="149" t="s">
        <v>46</v>
      </c>
      <c r="AQ13" s="149"/>
      <c r="AR13" s="149"/>
      <c r="AS13" s="149"/>
      <c r="AT13" s="149"/>
      <c r="AU13" s="149"/>
      <c r="AV13" s="3"/>
      <c r="AW13" s="8" t="s">
        <v>187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42" t="str">
        <f ca="1">IFERROR(VLOOKUP(ServiceMan,EmpLookup,2,FALSE),"")</f>
        <v/>
      </c>
      <c r="C15" s="142"/>
      <c r="D15" s="142"/>
      <c r="E15" s="142"/>
      <c r="F15" s="142"/>
      <c r="G15" s="142"/>
      <c r="H15" s="143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5"/>
      <c r="U15" s="112"/>
      <c r="V15" s="113"/>
      <c r="W15" s="113"/>
      <c r="X15" s="113"/>
      <c r="Y15" s="113"/>
      <c r="Z15" s="113"/>
      <c r="AA15" s="113"/>
      <c r="AB15" s="147"/>
      <c r="AC15" s="146"/>
      <c r="AD15" s="146"/>
      <c r="AE15" s="146"/>
      <c r="AF15" s="146"/>
      <c r="AG15" s="146"/>
      <c r="AH15" s="146"/>
      <c r="AI15" s="146"/>
      <c r="AJ15" s="146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109" t="s">
        <v>48</v>
      </c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1"/>
      <c r="T17" s="3"/>
      <c r="U17" s="109" t="s">
        <v>49</v>
      </c>
      <c r="V17" s="110"/>
      <c r="W17" s="110"/>
      <c r="X17" s="110"/>
      <c r="Y17" s="110"/>
      <c r="Z17" s="110"/>
      <c r="AA17" s="110"/>
      <c r="AB17" s="110"/>
      <c r="AC17" s="111"/>
      <c r="AD17" s="2"/>
      <c r="AE17" s="109" t="s">
        <v>37</v>
      </c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1"/>
      <c r="AV17" s="2"/>
      <c r="AW17" s="8" t="s">
        <v>4</v>
      </c>
      <c r="AX17" s="11">
        <f>AP7</f>
        <v>0</v>
      </c>
    </row>
    <row r="18" spans="1:50" ht="18" customHeight="1" x14ac:dyDescent="0.25">
      <c r="A18" s="2"/>
      <c r="B18" s="141" t="s">
        <v>171</v>
      </c>
      <c r="C18" s="141"/>
      <c r="D18" s="141"/>
      <c r="E18" s="141"/>
      <c r="F18" s="141"/>
      <c r="G18" s="141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4"/>
      <c r="U18" s="107" t="s">
        <v>16</v>
      </c>
      <c r="V18" s="107"/>
      <c r="W18" s="107"/>
      <c r="X18" s="107"/>
      <c r="Y18" s="107"/>
      <c r="Z18" s="107"/>
      <c r="AA18" s="128">
        <f>IFERROR(INDEX('Rate Matrix'!$C$2:$U$70,MATCH(Mandatory1,'Rate Matrix'!$B$2:$B$70,0),MATCH("Rate Per Mile",'Rate Matrix'!$C$1:$U$1)),0)</f>
        <v>0</v>
      </c>
      <c r="AB18" s="129"/>
      <c r="AC18" s="130"/>
      <c r="AD18" s="2"/>
      <c r="AE18" s="103" t="s">
        <v>23</v>
      </c>
      <c r="AF18" s="104"/>
      <c r="AG18" s="104"/>
      <c r="AH18" s="104"/>
      <c r="AI18" s="104"/>
      <c r="AJ18" s="104"/>
      <c r="AK18" s="104"/>
      <c r="AL18" s="104"/>
      <c r="AM18" s="105"/>
      <c r="AN18" s="103" t="s">
        <v>24</v>
      </c>
      <c r="AO18" s="105"/>
      <c r="AP18" s="103" t="s">
        <v>25</v>
      </c>
      <c r="AQ18" s="104"/>
      <c r="AR18" s="104"/>
      <c r="AS18" s="104"/>
      <c r="AT18" s="104"/>
      <c r="AU18" s="105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14" t="s">
        <v>9</v>
      </c>
      <c r="C19" s="114"/>
      <c r="D19" s="114"/>
      <c r="E19" s="114"/>
      <c r="F19" s="114"/>
      <c r="G19" s="114"/>
      <c r="H19" s="114" t="s">
        <v>10</v>
      </c>
      <c r="I19" s="114"/>
      <c r="J19" s="114"/>
      <c r="K19" s="114"/>
      <c r="L19" s="114"/>
      <c r="M19" s="114"/>
      <c r="N19" s="114" t="s">
        <v>15</v>
      </c>
      <c r="O19" s="114"/>
      <c r="P19" s="114"/>
      <c r="Q19" s="114"/>
      <c r="R19" s="114"/>
      <c r="S19" s="114"/>
      <c r="T19" s="5"/>
      <c r="U19" s="107" t="s">
        <v>50</v>
      </c>
      <c r="V19" s="107"/>
      <c r="W19" s="107"/>
      <c r="X19" s="107"/>
      <c r="Y19" s="107"/>
      <c r="Z19" s="107"/>
      <c r="AA19" s="97"/>
      <c r="AB19" s="97"/>
      <c r="AC19" s="97"/>
      <c r="AD19" s="2"/>
      <c r="AE19" s="99"/>
      <c r="AF19" s="100"/>
      <c r="AG19" s="100"/>
      <c r="AH19" s="100"/>
      <c r="AI19" s="100"/>
      <c r="AJ19" s="100"/>
      <c r="AK19" s="100"/>
      <c r="AL19" s="100"/>
      <c r="AM19" s="101"/>
      <c r="AN19" s="99"/>
      <c r="AO19" s="101"/>
      <c r="AP19" s="99"/>
      <c r="AQ19" s="100"/>
      <c r="AR19" s="100"/>
      <c r="AS19" s="100"/>
      <c r="AT19" s="100"/>
      <c r="AU19" s="101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14" t="s">
        <v>13</v>
      </c>
      <c r="C20" s="114"/>
      <c r="D20" s="114"/>
      <c r="E20" s="114" t="s">
        <v>14</v>
      </c>
      <c r="F20" s="114"/>
      <c r="G20" s="114"/>
      <c r="H20" s="114" t="s">
        <v>11</v>
      </c>
      <c r="I20" s="114"/>
      <c r="J20" s="114"/>
      <c r="K20" s="114" t="s">
        <v>12</v>
      </c>
      <c r="L20" s="114"/>
      <c r="M20" s="114"/>
      <c r="N20" s="114" t="s">
        <v>11</v>
      </c>
      <c r="O20" s="114"/>
      <c r="P20" s="114"/>
      <c r="Q20" s="114" t="s">
        <v>12</v>
      </c>
      <c r="R20" s="114"/>
      <c r="S20" s="114"/>
      <c r="T20" s="3"/>
      <c r="U20" s="107" t="s">
        <v>51</v>
      </c>
      <c r="V20" s="107"/>
      <c r="W20" s="107"/>
      <c r="X20" s="107"/>
      <c r="Y20" s="107"/>
      <c r="Z20" s="107"/>
      <c r="AA20" s="97"/>
      <c r="AB20" s="97"/>
      <c r="AC20" s="97"/>
      <c r="AD20" s="2"/>
      <c r="AE20" s="114" t="s">
        <v>26</v>
      </c>
      <c r="AF20" s="114"/>
      <c r="AG20" s="103" t="s">
        <v>53</v>
      </c>
      <c r="AH20" s="104"/>
      <c r="AI20" s="105"/>
      <c r="AJ20" s="114" t="s">
        <v>54</v>
      </c>
      <c r="AK20" s="114"/>
      <c r="AL20" s="114"/>
      <c r="AM20" s="114"/>
      <c r="AN20" s="114"/>
      <c r="AO20" s="114"/>
      <c r="AP20" s="126" t="s">
        <v>27</v>
      </c>
      <c r="AQ20" s="126"/>
      <c r="AR20" s="125" t="s">
        <v>55</v>
      </c>
      <c r="AS20" s="125"/>
      <c r="AT20" s="125"/>
      <c r="AU20" s="125"/>
      <c r="AV20" s="2"/>
      <c r="AW20" s="8" t="s">
        <v>169</v>
      </c>
      <c r="AX20" s="10">
        <f>IF($H$11="",0,VLOOKUP($H$11,ChargeToLookup,2))</f>
        <v>0</v>
      </c>
    </row>
    <row r="21" spans="1:50" ht="18" customHeight="1" x14ac:dyDescent="0.25">
      <c r="A21" s="3"/>
      <c r="B21" s="133"/>
      <c r="C21" s="134"/>
      <c r="D21" s="135"/>
      <c r="E21" s="133"/>
      <c r="F21" s="134"/>
      <c r="G21" s="135"/>
      <c r="H21" s="128" t="e">
        <f>IF(Overtime!$E$12,Overtime!$E$12,"")</f>
        <v>#VALUE!</v>
      </c>
      <c r="I21" s="129"/>
      <c r="J21" s="130"/>
      <c r="K21" s="128" t="e">
        <f>IF(Overtime!$E$11,Overtime!$E$11,"")</f>
        <v>#VALUE!</v>
      </c>
      <c r="L21" s="129"/>
      <c r="M21" s="130"/>
      <c r="N21" s="136" t="str">
        <f>IFERROR(IF($B21="","",INDEX(ServiceRates,MATCH(Output!$H$7,CustomerNames,0),MATCH(Output!$H$18,ServiceRate,0))*$H21),"")</f>
        <v/>
      </c>
      <c r="O21" s="136"/>
      <c r="P21" s="136"/>
      <c r="Q21" s="137" t="str">
        <f>IFERROR(IF($B21="","",INDEX(ServiceRates,MATCH(Output!$H$7,CustomerNames,0),MATCH(Output!$H$18,ServiceRate,0))*INDEX(OTCalc,MATCH($H$7,CustomerNames,0))*$K21),"")</f>
        <v/>
      </c>
      <c r="R21" s="138"/>
      <c r="S21" s="139"/>
      <c r="T21" s="3"/>
      <c r="U21" s="107" t="s">
        <v>17</v>
      </c>
      <c r="V21" s="107"/>
      <c r="W21" s="107"/>
      <c r="X21" s="107"/>
      <c r="Y21" s="107"/>
      <c r="Z21" s="107"/>
      <c r="AA21" s="131">
        <f>SUM(AA19:AC20)</f>
        <v>0</v>
      </c>
      <c r="AB21" s="131"/>
      <c r="AC21" s="131"/>
      <c r="AD21" s="3"/>
      <c r="AE21" s="127" t="s">
        <v>28</v>
      </c>
      <c r="AF21" s="12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3"/>
      <c r="AW21" s="8" t="s">
        <v>214</v>
      </c>
      <c r="AX21" s="10">
        <f>IF(Clear15="",0,Clear15)</f>
        <v>0</v>
      </c>
    </row>
    <row r="22" spans="1:50" ht="18" customHeight="1" x14ac:dyDescent="0.25">
      <c r="A22" s="3"/>
      <c r="B22" s="133"/>
      <c r="C22" s="134"/>
      <c r="D22" s="135"/>
      <c r="E22" s="133"/>
      <c r="F22" s="134"/>
      <c r="G22" s="135"/>
      <c r="H22" s="128" t="str">
        <f>IF(Overtime!$F$12,Overtime!$F$12,"")</f>
        <v/>
      </c>
      <c r="I22" s="129"/>
      <c r="J22" s="130"/>
      <c r="K22" s="128" t="str">
        <f>IF(Overtime!$F$11,Overtime!$F$11,"")</f>
        <v/>
      </c>
      <c r="L22" s="129"/>
      <c r="M22" s="130"/>
      <c r="N22" s="136" t="str">
        <f>IFERROR(IF($B22="","",INDEX(ServiceRates,MATCH(Output!$H$7,CustomerNames,0),MATCH(Output!$H$18,ServiceRate,0))*$H22),"")</f>
        <v/>
      </c>
      <c r="O22" s="136"/>
      <c r="P22" s="136"/>
      <c r="Q22" s="137" t="str">
        <f>IFERROR(IF($B22="","",INDEX(ServiceRates,MATCH(Output!$H$7,CustomerNames,0),MATCH(Output!$H$18,ServiceRate,0))*INDEX(OTCalc,MATCH($H$7,CustomerNames,0))*$K22),"")</f>
        <v/>
      </c>
      <c r="R22" s="138"/>
      <c r="S22" s="139"/>
      <c r="T22" s="3"/>
      <c r="U22" s="107" t="s">
        <v>18</v>
      </c>
      <c r="V22" s="107"/>
      <c r="W22" s="107"/>
      <c r="X22" s="107"/>
      <c r="Y22" s="107"/>
      <c r="Z22" s="107"/>
      <c r="AA22" s="132">
        <f>IF($AA$18="","",AA21*AA18)</f>
        <v>0</v>
      </c>
      <c r="AB22" s="132"/>
      <c r="AC22" s="132"/>
      <c r="AD22" s="3"/>
      <c r="AE22" s="127" t="s">
        <v>29</v>
      </c>
      <c r="AF22" s="127"/>
      <c r="AG22" s="97"/>
      <c r="AH22" s="97"/>
      <c r="AI22" s="97"/>
      <c r="AJ22" s="97"/>
      <c r="AK22" s="97"/>
      <c r="AL22" s="97"/>
      <c r="AM22" s="97"/>
      <c r="AN22" s="97"/>
      <c r="AO22" s="97"/>
      <c r="AP22" s="125" t="s">
        <v>180</v>
      </c>
      <c r="AQ22" s="125"/>
      <c r="AR22" s="125" t="s">
        <v>181</v>
      </c>
      <c r="AS22" s="125"/>
      <c r="AT22" s="125"/>
      <c r="AU22" s="125"/>
      <c r="AV22" s="3"/>
      <c r="AW22" s="8" t="s">
        <v>215</v>
      </c>
      <c r="AX22" s="8" t="e">
        <f>SUM(AX23:AX24)</f>
        <v>#VALUE!</v>
      </c>
    </row>
    <row r="23" spans="1:50" ht="18" customHeight="1" x14ac:dyDescent="0.25">
      <c r="A23" s="3"/>
      <c r="B23" s="133"/>
      <c r="C23" s="134"/>
      <c r="D23" s="135"/>
      <c r="E23" s="133"/>
      <c r="F23" s="134"/>
      <c r="G23" s="135"/>
      <c r="H23" s="128" t="str">
        <f>IF(Overtime!$G$12,Overtime!$G$12,"")</f>
        <v/>
      </c>
      <c r="I23" s="129"/>
      <c r="J23" s="130"/>
      <c r="K23" s="128" t="str">
        <f>IF(Overtime!$G$11,Overtime!$G$11,"")</f>
        <v/>
      </c>
      <c r="L23" s="129"/>
      <c r="M23" s="130"/>
      <c r="N23" s="136" t="str">
        <f>IFERROR(IF($B23="","",INDEX(ServiceRates,MATCH(Output!$H$7,CustomerNames,0),MATCH(Output!$H$18,ServiceRate,0))*$H23),"")</f>
        <v/>
      </c>
      <c r="O23" s="136"/>
      <c r="P23" s="136"/>
      <c r="Q23" s="137" t="str">
        <f>IFERROR(IF($B23="","",INDEX(ServiceRates,MATCH(Output!$H$7,CustomerNames,0),MATCH(Output!$H$18,ServiceRate,0))*INDEX(OTCalc,MATCH($H$7,CustomerNames,0))*$K23),"")</f>
        <v/>
      </c>
      <c r="R23" s="138"/>
      <c r="S23" s="139"/>
      <c r="T23" s="3"/>
      <c r="U23" s="118"/>
      <c r="V23" s="119"/>
      <c r="W23" s="119"/>
      <c r="X23" s="119"/>
      <c r="Y23" s="119"/>
      <c r="Z23" s="119"/>
      <c r="AA23" s="119"/>
      <c r="AB23" s="119"/>
      <c r="AC23" s="120"/>
      <c r="AD23" s="3"/>
      <c r="AE23" s="127" t="s">
        <v>56</v>
      </c>
      <c r="AF23" s="12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117" t="str">
        <f>IF(AG23="","",((AG23+15)*((AP23/2)^2)*PI())-((AG22+15)*(((AP23/2)^2)*PI()-(($AP$21/2)^2)*PI())))</f>
        <v/>
      </c>
      <c r="AS23" s="117"/>
      <c r="AT23" s="117"/>
      <c r="AU23" s="117"/>
      <c r="AV23" s="3"/>
      <c r="AW23" s="8" t="s">
        <v>11</v>
      </c>
      <c r="AX23" s="8" t="e">
        <f>IF($H$24="",0,$H$24)</f>
        <v>#VALUE!</v>
      </c>
    </row>
    <row r="24" spans="1:50" ht="18" customHeight="1" x14ac:dyDescent="0.25">
      <c r="A24" s="3"/>
      <c r="B24" s="121" t="s">
        <v>20</v>
      </c>
      <c r="C24" s="122"/>
      <c r="D24" s="122"/>
      <c r="E24" s="122"/>
      <c r="F24" s="122"/>
      <c r="G24" s="140"/>
      <c r="H24" s="131" t="e">
        <f>SUM(H$21:J$23)</f>
        <v>#VALUE!</v>
      </c>
      <c r="I24" s="127"/>
      <c r="J24" s="127"/>
      <c r="K24" s="131" t="e">
        <f>SUM(K$21:M$23)</f>
        <v>#VALUE!</v>
      </c>
      <c r="L24" s="127"/>
      <c r="M24" s="127"/>
      <c r="N24" s="114" t="s">
        <v>47</v>
      </c>
      <c r="O24" s="114"/>
      <c r="P24" s="114"/>
      <c r="Q24" s="136">
        <f>SUM(N21:S23)</f>
        <v>0</v>
      </c>
      <c r="R24" s="127"/>
      <c r="S24" s="127"/>
      <c r="T24" s="3"/>
      <c r="U24" s="121" t="s">
        <v>19</v>
      </c>
      <c r="V24" s="122"/>
      <c r="W24" s="122"/>
      <c r="X24" s="122"/>
      <c r="Y24" s="122"/>
      <c r="Z24" s="123"/>
      <c r="AA24" s="123"/>
      <c r="AB24" s="123"/>
      <c r="AC24" s="123"/>
      <c r="AD24" s="3"/>
      <c r="AE24" s="127" t="s">
        <v>30</v>
      </c>
      <c r="AF24" s="12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117" t="str">
        <f t="shared" ref="AR24:AR25" si="0">IF(AG24="","",((AG24+15)*((AP24/2)^2)*PI())-((AG23+15)*(((AP24/2)^2)*PI()-(($AP$21/2)^2)*PI())))</f>
        <v/>
      </c>
      <c r="AS24" s="117"/>
      <c r="AT24" s="117"/>
      <c r="AU24" s="117"/>
      <c r="AV24" s="3"/>
      <c r="AW24" s="8" t="s">
        <v>12</v>
      </c>
      <c r="AX24" s="8" t="e">
        <f>IF($K$24="",0,$K$24)</f>
        <v>#VALUE!</v>
      </c>
    </row>
    <row r="25" spans="1:50" ht="18" customHeight="1" x14ac:dyDescent="0.25">
      <c r="A25" s="3"/>
      <c r="B25" s="107" t="s">
        <v>22</v>
      </c>
      <c r="C25" s="107"/>
      <c r="D25" s="107"/>
      <c r="E25" s="107"/>
      <c r="F25" s="107"/>
      <c r="G25" s="107"/>
      <c r="H25" s="107"/>
      <c r="I25" s="107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3"/>
      <c r="U25" s="121" t="s">
        <v>52</v>
      </c>
      <c r="V25" s="122"/>
      <c r="W25" s="122"/>
      <c r="X25" s="122"/>
      <c r="Y25" s="122"/>
      <c r="Z25" s="123"/>
      <c r="AA25" s="123"/>
      <c r="AB25" s="123"/>
      <c r="AC25" s="123"/>
      <c r="AD25" s="3"/>
      <c r="AE25" s="127" t="s">
        <v>31</v>
      </c>
      <c r="AF25" s="12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117" t="str">
        <f t="shared" si="0"/>
        <v/>
      </c>
      <c r="AS25" s="117"/>
      <c r="AT25" s="117"/>
      <c r="AU25" s="117"/>
      <c r="AV25" s="3"/>
      <c r="AW25" s="8" t="s">
        <v>188</v>
      </c>
      <c r="AX25" s="8"/>
    </row>
    <row r="26" spans="1:50" ht="18" customHeight="1" x14ac:dyDescent="0.25">
      <c r="A26" s="3"/>
      <c r="B26" s="107" t="s">
        <v>21</v>
      </c>
      <c r="C26" s="107"/>
      <c r="D26" s="107"/>
      <c r="E26" s="107"/>
      <c r="F26" s="107"/>
      <c r="G26" s="107"/>
      <c r="H26" s="107"/>
      <c r="I26" s="107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3"/>
      <c r="U26" s="121" t="s">
        <v>170</v>
      </c>
      <c r="V26" s="122"/>
      <c r="W26" s="122"/>
      <c r="X26" s="122"/>
      <c r="Y26" s="122"/>
      <c r="Z26" s="124"/>
      <c r="AA26" s="124"/>
      <c r="AB26" s="124"/>
      <c r="AC26" s="124"/>
      <c r="AD26" s="3"/>
      <c r="AE26" s="118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20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109" t="s">
        <v>63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1"/>
      <c r="AD28" s="3"/>
      <c r="AE28" s="114" t="s">
        <v>61</v>
      </c>
      <c r="AF28" s="114"/>
      <c r="AG28" s="114"/>
      <c r="AH28" s="114"/>
      <c r="AI28" s="114" t="s">
        <v>57</v>
      </c>
      <c r="AJ28" s="114"/>
      <c r="AK28" s="114" t="s">
        <v>58</v>
      </c>
      <c r="AL28" s="114"/>
      <c r="AM28" s="114"/>
      <c r="AN28" s="114" t="s">
        <v>59</v>
      </c>
      <c r="AO28" s="114"/>
      <c r="AP28" s="114" t="s">
        <v>60</v>
      </c>
      <c r="AQ28" s="114"/>
      <c r="AR28" s="114" t="s">
        <v>32</v>
      </c>
      <c r="AS28" s="114"/>
      <c r="AT28" s="114"/>
      <c r="AU28" s="114"/>
      <c r="AV28" s="3"/>
      <c r="AW28" s="8" t="s">
        <v>189</v>
      </c>
      <c r="AX28" s="8"/>
    </row>
    <row r="29" spans="1:50" ht="18" customHeight="1" x14ac:dyDescent="0.25">
      <c r="A29" s="3"/>
      <c r="B29" s="114" t="s">
        <v>39</v>
      </c>
      <c r="C29" s="114"/>
      <c r="D29" s="114"/>
      <c r="E29" s="103" t="s">
        <v>72</v>
      </c>
      <c r="F29" s="104"/>
      <c r="G29" s="104"/>
      <c r="H29" s="104"/>
      <c r="I29" s="103" t="s">
        <v>73</v>
      </c>
      <c r="J29" s="104"/>
      <c r="K29" s="104"/>
      <c r="L29" s="104"/>
      <c r="M29" s="104"/>
      <c r="N29" s="103" t="s">
        <v>74</v>
      </c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5"/>
      <c r="Z29" s="104" t="s">
        <v>219</v>
      </c>
      <c r="AA29" s="104"/>
      <c r="AB29" s="104"/>
      <c r="AC29" s="105"/>
      <c r="AD29" s="3"/>
      <c r="AE29" s="114" t="s">
        <v>62</v>
      </c>
      <c r="AF29" s="114"/>
      <c r="AG29" s="97"/>
      <c r="AH29" s="97"/>
      <c r="AI29" s="97"/>
      <c r="AJ29" s="97"/>
      <c r="AK29" s="97"/>
      <c r="AL29" s="97"/>
      <c r="AM29" s="97"/>
      <c r="AN29" s="97"/>
      <c r="AO29" s="97"/>
      <c r="AP29" s="116" t="str">
        <f>IF(AG29="","",(CHOOSE(AG29,(AG$23+15)/(AG$22+15),(AG$24+15)/(AG$23+15),(AG$25+15)/(AG$24+15))))</f>
        <v/>
      </c>
      <c r="AQ29" s="116"/>
      <c r="AR29" s="115" t="str">
        <f>IF(AG29="","",((AI29+460)*(AP29^0.206))-460)</f>
        <v/>
      </c>
      <c r="AS29" s="115"/>
      <c r="AT29" s="115"/>
      <c r="AU29" s="115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08"/>
      <c r="C30" s="108"/>
      <c r="D30" s="108"/>
      <c r="E30" s="112"/>
      <c r="F30" s="113"/>
      <c r="G30" s="113"/>
      <c r="H30" s="113"/>
      <c r="I30" s="97"/>
      <c r="J30" s="97"/>
      <c r="K30" s="97"/>
      <c r="L30" s="97"/>
      <c r="M30" s="97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6"/>
      <c r="Z30" s="97"/>
      <c r="AA30" s="97"/>
      <c r="AB30" s="97"/>
      <c r="AC30" s="97"/>
      <c r="AD30" s="3"/>
      <c r="AE30" s="114" t="s">
        <v>62</v>
      </c>
      <c r="AF30" s="114"/>
      <c r="AG30" s="97"/>
      <c r="AH30" s="97"/>
      <c r="AI30" s="97"/>
      <c r="AJ30" s="97"/>
      <c r="AK30" s="97"/>
      <c r="AL30" s="97"/>
      <c r="AM30" s="97"/>
      <c r="AN30" s="97"/>
      <c r="AO30" s="97"/>
      <c r="AP30" s="116" t="str">
        <f t="shared" ref="AP30:AP32" si="1">IF(AG30="","",(CHOOSE(AG30,(AG$23+15)/(AG$22+15),(AG$24+15)/(AG$23+15),(AG$25+15)/(AG$24+15))))</f>
        <v/>
      </c>
      <c r="AQ30" s="116"/>
      <c r="AR30" s="115" t="str">
        <f t="shared" ref="AR30:AR32" si="2">IF(AG30="","",((AI30+460)*(AP30^0.206))-460)</f>
        <v/>
      </c>
      <c r="AS30" s="115"/>
      <c r="AT30" s="115"/>
      <c r="AU30" s="115"/>
      <c r="AV30" s="3"/>
      <c r="AW30" s="8" t="s">
        <v>190</v>
      </c>
      <c r="AX30" s="8"/>
    </row>
    <row r="31" spans="1:50" ht="18" customHeight="1" x14ac:dyDescent="0.25">
      <c r="A31" s="3"/>
      <c r="B31" s="108"/>
      <c r="C31" s="108"/>
      <c r="D31" s="108"/>
      <c r="E31" s="112"/>
      <c r="F31" s="113"/>
      <c r="G31" s="113"/>
      <c r="H31" s="113"/>
      <c r="I31" s="97"/>
      <c r="J31" s="97"/>
      <c r="K31" s="97"/>
      <c r="L31" s="97"/>
      <c r="M31" s="97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6"/>
      <c r="Z31" s="97"/>
      <c r="AA31" s="97"/>
      <c r="AB31" s="97"/>
      <c r="AC31" s="97"/>
      <c r="AD31" s="3"/>
      <c r="AE31" s="114" t="s">
        <v>62</v>
      </c>
      <c r="AF31" s="114"/>
      <c r="AG31" s="97"/>
      <c r="AH31" s="97"/>
      <c r="AI31" s="97"/>
      <c r="AJ31" s="97"/>
      <c r="AK31" s="97"/>
      <c r="AL31" s="97"/>
      <c r="AM31" s="97"/>
      <c r="AN31" s="97"/>
      <c r="AO31" s="97"/>
      <c r="AP31" s="116" t="str">
        <f t="shared" si="1"/>
        <v/>
      </c>
      <c r="AQ31" s="116"/>
      <c r="AR31" s="115" t="str">
        <f t="shared" si="2"/>
        <v/>
      </c>
      <c r="AS31" s="115"/>
      <c r="AT31" s="115"/>
      <c r="AU31" s="115"/>
      <c r="AV31" s="3"/>
      <c r="AW31" s="8" t="s">
        <v>216</v>
      </c>
      <c r="AX31" s="8">
        <f>IF($AX$19="Personal/Time Off",$AX$22,0)</f>
        <v>0</v>
      </c>
    </row>
    <row r="32" spans="1:50" ht="18" customHeight="1" x14ac:dyDescent="0.25">
      <c r="A32" s="3"/>
      <c r="B32" s="108"/>
      <c r="C32" s="108"/>
      <c r="D32" s="108"/>
      <c r="E32" s="112"/>
      <c r="F32" s="113"/>
      <c r="G32" s="113"/>
      <c r="H32" s="113"/>
      <c r="I32" s="97"/>
      <c r="J32" s="97"/>
      <c r="K32" s="97"/>
      <c r="L32" s="97"/>
      <c r="M32" s="97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6"/>
      <c r="Z32" s="97"/>
      <c r="AA32" s="97"/>
      <c r="AB32" s="97"/>
      <c r="AC32" s="97"/>
      <c r="AD32" s="3"/>
      <c r="AE32" s="114" t="s">
        <v>62</v>
      </c>
      <c r="AF32" s="114"/>
      <c r="AG32" s="97"/>
      <c r="AH32" s="97"/>
      <c r="AI32" s="97"/>
      <c r="AJ32" s="97"/>
      <c r="AK32" s="97"/>
      <c r="AL32" s="97"/>
      <c r="AM32" s="97"/>
      <c r="AN32" s="97"/>
      <c r="AO32" s="97"/>
      <c r="AP32" s="116" t="str">
        <f t="shared" si="1"/>
        <v/>
      </c>
      <c r="AQ32" s="116"/>
      <c r="AR32" s="115" t="str">
        <f t="shared" si="2"/>
        <v/>
      </c>
      <c r="AS32" s="115"/>
      <c r="AT32" s="115"/>
      <c r="AU32" s="115"/>
      <c r="AV32" s="3"/>
      <c r="AW32" s="8" t="s">
        <v>191</v>
      </c>
      <c r="AX32" s="8"/>
    </row>
    <row r="33" spans="1:50" ht="18" customHeight="1" x14ac:dyDescent="0.25">
      <c r="A33" s="3"/>
      <c r="B33" s="108"/>
      <c r="C33" s="108"/>
      <c r="D33" s="108"/>
      <c r="E33" s="112"/>
      <c r="F33" s="113"/>
      <c r="G33" s="113"/>
      <c r="H33" s="113"/>
      <c r="I33" s="97"/>
      <c r="J33" s="97"/>
      <c r="K33" s="97"/>
      <c r="L33" s="97"/>
      <c r="M33" s="97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6"/>
      <c r="Z33" s="97"/>
      <c r="AA33" s="97"/>
      <c r="AB33" s="97"/>
      <c r="AC33" s="97"/>
      <c r="AD33" s="3"/>
      <c r="AE33" s="114" t="s">
        <v>64</v>
      </c>
      <c r="AF33" s="114"/>
      <c r="AG33" s="114"/>
      <c r="AH33" s="114"/>
      <c r="AI33" s="114"/>
      <c r="AJ33" s="114" t="s">
        <v>65</v>
      </c>
      <c r="AK33" s="114"/>
      <c r="AL33" s="114"/>
      <c r="AM33" s="114" t="s">
        <v>59</v>
      </c>
      <c r="AN33" s="114"/>
      <c r="AO33" s="114"/>
      <c r="AP33" s="114" t="s">
        <v>66</v>
      </c>
      <c r="AQ33" s="114"/>
      <c r="AR33" s="114"/>
      <c r="AS33" s="114" t="s">
        <v>59</v>
      </c>
      <c r="AT33" s="114"/>
      <c r="AU33" s="114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08"/>
      <c r="C34" s="108"/>
      <c r="D34" s="108"/>
      <c r="E34" s="112"/>
      <c r="F34" s="113"/>
      <c r="G34" s="113"/>
      <c r="H34" s="113"/>
      <c r="I34" s="97"/>
      <c r="J34" s="97"/>
      <c r="K34" s="97"/>
      <c r="L34" s="97"/>
      <c r="M34" s="97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6"/>
      <c r="Z34" s="97"/>
      <c r="AA34" s="97"/>
      <c r="AB34" s="97"/>
      <c r="AC34" s="97"/>
      <c r="AD34" s="3"/>
      <c r="AE34" s="114" t="s">
        <v>67</v>
      </c>
      <c r="AF34" s="114"/>
      <c r="AG34" s="114"/>
      <c r="AH34" s="114"/>
      <c r="AI34" s="114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3"/>
      <c r="AW34" s="8" t="s">
        <v>192</v>
      </c>
      <c r="AX34" s="8"/>
    </row>
    <row r="35" spans="1:50" ht="18" customHeight="1" x14ac:dyDescent="0.25">
      <c r="A35" s="3"/>
      <c r="B35" s="108"/>
      <c r="C35" s="108"/>
      <c r="D35" s="108"/>
      <c r="E35" s="112"/>
      <c r="F35" s="113"/>
      <c r="G35" s="113"/>
      <c r="H35" s="113"/>
      <c r="I35" s="97"/>
      <c r="J35" s="97"/>
      <c r="K35" s="97"/>
      <c r="L35" s="97"/>
      <c r="M35" s="97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6"/>
      <c r="Z35" s="97"/>
      <c r="AA35" s="97"/>
      <c r="AB35" s="97"/>
      <c r="AC35" s="97"/>
      <c r="AD35" s="3"/>
      <c r="AE35" s="114" t="s">
        <v>68</v>
      </c>
      <c r="AF35" s="114" t="s">
        <v>33</v>
      </c>
      <c r="AG35" s="114"/>
      <c r="AH35" s="114"/>
      <c r="AI35" s="114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3"/>
      <c r="AW35" s="8" t="s">
        <v>193</v>
      </c>
      <c r="AX35" s="8">
        <f>IF($AX$19="Personal/Time Off",$AX$22,0)</f>
        <v>0</v>
      </c>
    </row>
    <row r="36" spans="1:50" ht="18" customHeight="1" x14ac:dyDescent="0.25">
      <c r="A36" s="3"/>
      <c r="B36" s="108"/>
      <c r="C36" s="108"/>
      <c r="D36" s="108"/>
      <c r="E36" s="112"/>
      <c r="F36" s="113"/>
      <c r="G36" s="113"/>
      <c r="H36" s="113"/>
      <c r="I36" s="97"/>
      <c r="J36" s="97"/>
      <c r="K36" s="97"/>
      <c r="L36" s="97"/>
      <c r="M36" s="97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6"/>
      <c r="Z36" s="97"/>
      <c r="AA36" s="97"/>
      <c r="AB36" s="97"/>
      <c r="AC36" s="97"/>
      <c r="AD36" s="3"/>
      <c r="AE36" s="114" t="s">
        <v>69</v>
      </c>
      <c r="AF36" s="114" t="s">
        <v>34</v>
      </c>
      <c r="AG36" s="114"/>
      <c r="AH36" s="114"/>
      <c r="AI36" s="114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3"/>
      <c r="AW36" s="8" t="s">
        <v>194</v>
      </c>
      <c r="AX36" s="8"/>
    </row>
    <row r="37" spans="1:50" ht="18" customHeight="1" x14ac:dyDescent="0.25">
      <c r="A37" s="3"/>
      <c r="B37" s="108"/>
      <c r="C37" s="108"/>
      <c r="D37" s="108"/>
      <c r="E37" s="112"/>
      <c r="F37" s="113"/>
      <c r="G37" s="113"/>
      <c r="H37" s="113"/>
      <c r="I37" s="97"/>
      <c r="J37" s="97"/>
      <c r="K37" s="97"/>
      <c r="L37" s="97"/>
      <c r="M37" s="97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6"/>
      <c r="Z37" s="97"/>
      <c r="AA37" s="97"/>
      <c r="AB37" s="97"/>
      <c r="AC37" s="97"/>
      <c r="AD37" s="3"/>
      <c r="AE37" s="114" t="s">
        <v>70</v>
      </c>
      <c r="AF37" s="114" t="s">
        <v>35</v>
      </c>
      <c r="AG37" s="114"/>
      <c r="AH37" s="114"/>
      <c r="AI37" s="114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08"/>
      <c r="C38" s="108"/>
      <c r="D38" s="108"/>
      <c r="E38" s="112"/>
      <c r="F38" s="113"/>
      <c r="G38" s="113"/>
      <c r="H38" s="113"/>
      <c r="I38" s="97"/>
      <c r="J38" s="97"/>
      <c r="K38" s="97"/>
      <c r="L38" s="97"/>
      <c r="M38" s="97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1"/>
      <c r="Z38" s="97"/>
      <c r="AA38" s="97"/>
      <c r="AB38" s="97"/>
      <c r="AC38" s="97"/>
      <c r="AD38" s="3"/>
      <c r="AE38" s="114" t="s">
        <v>71</v>
      </c>
      <c r="AF38" s="114" t="s">
        <v>36</v>
      </c>
      <c r="AG38" s="114"/>
      <c r="AH38" s="114"/>
      <c r="AI38" s="114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3"/>
      <c r="AW38" s="8" t="s">
        <v>217</v>
      </c>
      <c r="AX38" s="8" t="e">
        <f>AX22</f>
        <v>#VALUE!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109" t="s">
        <v>75</v>
      </c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1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 x14ac:dyDescent="0.25">
      <c r="A42" s="3"/>
      <c r="B42" s="77" t="s">
        <v>76</v>
      </c>
      <c r="C42" s="78"/>
      <c r="D42" s="78"/>
      <c r="E42" s="78"/>
      <c r="F42" s="78"/>
      <c r="G42" s="78"/>
      <c r="H42" s="79"/>
      <c r="I42" s="71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3"/>
      <c r="AV42" s="3"/>
      <c r="AW42" s="8" t="s">
        <v>318</v>
      </c>
      <c r="AX42" s="8">
        <f>WEEKDAY($AX$17)</f>
        <v>7</v>
      </c>
    </row>
    <row r="43" spans="1:50" ht="18" customHeight="1" x14ac:dyDescent="0.25">
      <c r="A43" s="3"/>
      <c r="B43" s="80"/>
      <c r="C43" s="81"/>
      <c r="D43" s="81"/>
      <c r="E43" s="81"/>
      <c r="F43" s="81"/>
      <c r="G43" s="81"/>
      <c r="H43" s="82"/>
      <c r="I43" s="74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6"/>
      <c r="AV43" s="3"/>
      <c r="AW43" s="8" t="s">
        <v>319</v>
      </c>
      <c r="AX43" s="8">
        <f>IF(OR(IF(OR($AX$42=1,$AX$42=7),1,0),COUNTIF(rHolidays,$AX$17)),1,0)</f>
        <v>1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77" t="s">
        <v>77</v>
      </c>
      <c r="C45" s="78"/>
      <c r="D45" s="78"/>
      <c r="E45" s="78"/>
      <c r="F45" s="78"/>
      <c r="G45" s="78"/>
      <c r="H45" s="79"/>
      <c r="I45" s="71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3"/>
      <c r="AV45" s="3"/>
      <c r="AW45" s="8"/>
      <c r="AX45" s="8"/>
    </row>
    <row r="46" spans="1:50" ht="18" customHeight="1" x14ac:dyDescent="0.25">
      <c r="A46" s="3"/>
      <c r="B46" s="80"/>
      <c r="C46" s="81"/>
      <c r="D46" s="81"/>
      <c r="E46" s="81"/>
      <c r="F46" s="81"/>
      <c r="G46" s="81"/>
      <c r="H46" s="82"/>
      <c r="I46" s="74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6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77" t="s">
        <v>78</v>
      </c>
      <c r="C48" s="78"/>
      <c r="D48" s="78"/>
      <c r="E48" s="78"/>
      <c r="F48" s="78"/>
      <c r="G48" s="78"/>
      <c r="H48" s="79"/>
      <c r="I48" s="83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84"/>
      <c r="AN48" s="84"/>
      <c r="AO48" s="84"/>
      <c r="AP48" s="84"/>
      <c r="AQ48" s="84"/>
      <c r="AR48" s="84"/>
      <c r="AS48" s="84"/>
      <c r="AT48" s="84"/>
      <c r="AU48" s="85"/>
      <c r="AV48" s="3"/>
      <c r="AW48" s="8"/>
      <c r="AX48" s="8"/>
    </row>
    <row r="49" spans="1:50" ht="18" customHeight="1" x14ac:dyDescent="0.25">
      <c r="A49" s="3"/>
      <c r="B49" s="92"/>
      <c r="C49" s="93"/>
      <c r="D49" s="93"/>
      <c r="E49" s="93"/>
      <c r="F49" s="93"/>
      <c r="G49" s="93"/>
      <c r="H49" s="94"/>
      <c r="I49" s="86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8"/>
      <c r="AV49" s="3"/>
      <c r="AW49" s="8"/>
      <c r="AX49" s="8"/>
    </row>
    <row r="50" spans="1:50" ht="18" customHeight="1" x14ac:dyDescent="0.25">
      <c r="A50" s="3"/>
      <c r="B50" s="92"/>
      <c r="C50" s="93"/>
      <c r="D50" s="93"/>
      <c r="E50" s="93"/>
      <c r="F50" s="93"/>
      <c r="G50" s="93"/>
      <c r="H50" s="94"/>
      <c r="I50" s="86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87"/>
      <c r="AS50" s="87"/>
      <c r="AT50" s="87"/>
      <c r="AU50" s="88"/>
      <c r="AV50" s="3"/>
      <c r="AW50" s="8"/>
      <c r="AX50" s="8"/>
    </row>
    <row r="51" spans="1:50" ht="18" customHeight="1" x14ac:dyDescent="0.25">
      <c r="A51" s="3"/>
      <c r="B51" s="92"/>
      <c r="C51" s="93"/>
      <c r="D51" s="93"/>
      <c r="E51" s="93"/>
      <c r="F51" s="93"/>
      <c r="G51" s="93"/>
      <c r="H51" s="94"/>
      <c r="I51" s="86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8"/>
      <c r="AV51" s="3"/>
      <c r="AW51" s="8"/>
      <c r="AX51" s="8"/>
    </row>
    <row r="52" spans="1:50" ht="18" customHeight="1" x14ac:dyDescent="0.25">
      <c r="A52" s="3"/>
      <c r="B52" s="92"/>
      <c r="C52" s="93"/>
      <c r="D52" s="93"/>
      <c r="E52" s="93"/>
      <c r="F52" s="93"/>
      <c r="G52" s="93"/>
      <c r="H52" s="94"/>
      <c r="I52" s="86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8"/>
      <c r="AV52" s="3"/>
      <c r="AW52" s="8"/>
      <c r="AX52" s="8"/>
    </row>
    <row r="53" spans="1:50" ht="18" customHeight="1" x14ac:dyDescent="0.25">
      <c r="A53" s="3"/>
      <c r="B53" s="92"/>
      <c r="C53" s="93"/>
      <c r="D53" s="93"/>
      <c r="E53" s="93"/>
      <c r="F53" s="93"/>
      <c r="G53" s="93"/>
      <c r="H53" s="94"/>
      <c r="I53" s="86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8"/>
      <c r="AV53" s="3"/>
      <c r="AW53" s="8"/>
      <c r="AX53" s="8"/>
    </row>
    <row r="54" spans="1:50" ht="18" customHeight="1" x14ac:dyDescent="0.25">
      <c r="A54" s="3"/>
      <c r="B54" s="92"/>
      <c r="C54" s="93"/>
      <c r="D54" s="93"/>
      <c r="E54" s="93"/>
      <c r="F54" s="93"/>
      <c r="G54" s="93"/>
      <c r="H54" s="94"/>
      <c r="I54" s="86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8"/>
      <c r="AV54" s="3"/>
      <c r="AW54" s="8"/>
      <c r="AX54" s="8"/>
    </row>
    <row r="55" spans="1:50" ht="18" customHeight="1" x14ac:dyDescent="0.25">
      <c r="A55" s="3"/>
      <c r="B55" s="92"/>
      <c r="C55" s="93"/>
      <c r="D55" s="93"/>
      <c r="E55" s="93"/>
      <c r="F55" s="93"/>
      <c r="G55" s="93"/>
      <c r="H55" s="94"/>
      <c r="I55" s="86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8"/>
      <c r="AV55" s="3"/>
      <c r="AW55" s="8"/>
      <c r="AX55" s="8"/>
    </row>
    <row r="56" spans="1:50" ht="18" customHeight="1" x14ac:dyDescent="0.25">
      <c r="A56" s="3"/>
      <c r="B56" s="92"/>
      <c r="C56" s="93"/>
      <c r="D56" s="93"/>
      <c r="E56" s="93"/>
      <c r="F56" s="93"/>
      <c r="G56" s="93"/>
      <c r="H56" s="94"/>
      <c r="I56" s="86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8"/>
      <c r="AV56" s="3"/>
      <c r="AW56" s="8"/>
      <c r="AX56" s="8"/>
    </row>
    <row r="57" spans="1:50" ht="5.0999999999999996" customHeight="1" x14ac:dyDescent="0.25">
      <c r="A57" s="3"/>
      <c r="B57" s="92"/>
      <c r="C57" s="93"/>
      <c r="D57" s="93"/>
      <c r="E57" s="93"/>
      <c r="F57" s="93"/>
      <c r="G57" s="93"/>
      <c r="H57" s="94"/>
      <c r="I57" s="86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8"/>
      <c r="AV57" s="3"/>
      <c r="AW57" s="8"/>
      <c r="AX57" s="8"/>
    </row>
    <row r="58" spans="1:50" ht="18" customHeight="1" x14ac:dyDescent="0.25">
      <c r="A58" s="3"/>
      <c r="B58" s="92"/>
      <c r="C58" s="93"/>
      <c r="D58" s="93"/>
      <c r="E58" s="93"/>
      <c r="F58" s="93"/>
      <c r="G58" s="93"/>
      <c r="H58" s="94"/>
      <c r="I58" s="86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8"/>
      <c r="AV58" s="6"/>
      <c r="AW58" s="9"/>
      <c r="AX58" s="8"/>
    </row>
    <row r="59" spans="1:50" ht="18" customHeight="1" x14ac:dyDescent="0.25">
      <c r="A59" s="3"/>
      <c r="B59" s="80"/>
      <c r="C59" s="81"/>
      <c r="D59" s="81"/>
      <c r="E59" s="81"/>
      <c r="F59" s="81"/>
      <c r="G59" s="81"/>
      <c r="H59" s="82"/>
      <c r="I59" s="89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1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65" t="s">
        <v>79</v>
      </c>
      <c r="C61" s="66"/>
      <c r="D61" s="66"/>
      <c r="E61" s="66"/>
      <c r="F61" s="66"/>
      <c r="G61" s="66"/>
      <c r="H61" s="67"/>
      <c r="I61" s="71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3"/>
      <c r="AV61" s="3"/>
      <c r="AW61" s="8"/>
      <c r="AX61" s="8"/>
    </row>
    <row r="62" spans="1:50" ht="18" customHeight="1" x14ac:dyDescent="0.25">
      <c r="A62" s="3"/>
      <c r="B62" s="68"/>
      <c r="C62" s="69"/>
      <c r="D62" s="69"/>
      <c r="E62" s="69"/>
      <c r="F62" s="69"/>
      <c r="G62" s="69"/>
      <c r="H62" s="70"/>
      <c r="I62" s="74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6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52" t="s">
        <v>220</v>
      </c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23"/>
      <c r="N64" s="123"/>
      <c r="O64" s="123"/>
      <c r="P64" s="123"/>
      <c r="Q64" s="123"/>
      <c r="R64" s="123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06" t="s">
        <v>179</v>
      </c>
      <c r="AG64" s="106"/>
      <c r="AH64" s="106"/>
      <c r="AI64" s="106"/>
      <c r="AJ64" s="106"/>
      <c r="AK64" s="106"/>
      <c r="AL64" s="107" t="s">
        <v>40</v>
      </c>
      <c r="AM64" s="107"/>
      <c r="AN64" s="107"/>
      <c r="AO64" s="107"/>
      <c r="AP64" s="108"/>
      <c r="AQ64" s="108"/>
      <c r="AR64" s="108"/>
      <c r="AS64" s="102" t="s">
        <v>41</v>
      </c>
      <c r="AT64" s="102"/>
      <c r="AU64" s="102"/>
      <c r="AV64" s="3"/>
      <c r="AW64" s="8"/>
      <c r="AX64" s="8"/>
    </row>
    <row r="65" spans="1:50" ht="18" customHeight="1" x14ac:dyDescent="0.25">
      <c r="A65" s="3"/>
      <c r="B65" s="150" t="s">
        <v>221</v>
      </c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23"/>
      <c r="N65" s="123"/>
      <c r="O65" s="123"/>
      <c r="P65" s="123"/>
      <c r="Q65" s="123"/>
      <c r="R65" s="123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06"/>
      <c r="AG65" s="106"/>
      <c r="AH65" s="106"/>
      <c r="AI65" s="106"/>
      <c r="AJ65" s="106"/>
      <c r="AK65" s="106"/>
      <c r="AL65" s="107" t="s">
        <v>42</v>
      </c>
      <c r="AM65" s="107"/>
      <c r="AN65" s="107"/>
      <c r="AO65" s="107"/>
      <c r="AP65" s="108"/>
      <c r="AQ65" s="108"/>
      <c r="AR65" s="108"/>
      <c r="AS65" s="102" t="s">
        <v>41</v>
      </c>
      <c r="AT65" s="102"/>
      <c r="AU65" s="102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21" t="s">
        <v>80</v>
      </c>
      <c r="C67" s="122"/>
      <c r="D67" s="122"/>
      <c r="E67" s="122"/>
      <c r="F67" s="122"/>
      <c r="G67" s="140"/>
      <c r="H67" s="112"/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47"/>
      <c r="X67" s="3"/>
      <c r="Y67" s="103" t="s">
        <v>222</v>
      </c>
      <c r="Z67" s="104"/>
      <c r="AA67" s="104"/>
      <c r="AB67" s="104"/>
      <c r="AC67" s="104"/>
      <c r="AD67" s="104"/>
      <c r="AE67" s="105"/>
      <c r="AF67" s="99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1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3" t="s">
        <v>223</v>
      </c>
      <c r="Z69" s="104"/>
      <c r="AA69" s="104"/>
      <c r="AB69" s="104"/>
      <c r="AC69" s="104"/>
      <c r="AD69" s="104"/>
      <c r="AE69" s="105"/>
      <c r="AF69" s="99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1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sheetProtection sheet="1" objects="1" scenarios="1"/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3"/>
  <sheetViews>
    <sheetView showGridLines="0" workbookViewId="0">
      <selection activeCell="E10" sqref="E10"/>
    </sheetView>
  </sheetViews>
  <sheetFormatPr defaultRowHeight="15" x14ac:dyDescent="0.25"/>
  <cols>
    <col min="1" max="1" width="2.85546875" customWidth="1"/>
    <col min="5" max="5" width="12" bestFit="1" customWidth="1"/>
  </cols>
  <sheetData>
    <row r="2" spans="2:14" x14ac:dyDescent="0.25">
      <c r="B2" s="59" t="s">
        <v>13</v>
      </c>
      <c r="C2" s="59"/>
      <c r="D2" s="59"/>
      <c r="E2" s="59" t="s">
        <v>14</v>
      </c>
      <c r="F2" s="59"/>
      <c r="G2" s="61"/>
      <c r="I2" s="114" t="s">
        <v>322</v>
      </c>
      <c r="J2" s="114"/>
      <c r="K2" s="114"/>
      <c r="L2" s="114" t="s">
        <v>323</v>
      </c>
      <c r="M2" s="114"/>
      <c r="N2" s="114"/>
    </row>
    <row r="3" spans="2:14" x14ac:dyDescent="0.25">
      <c r="B3" s="163" t="str">
        <f>IF(Output!$B21,Output!$B21,"")</f>
        <v/>
      </c>
      <c r="C3" s="164"/>
      <c r="D3" s="165"/>
      <c r="E3" s="163" t="str">
        <f>IF(Output!$E21,Output!$E21,"")</f>
        <v/>
      </c>
      <c r="F3" s="164"/>
      <c r="G3" s="165"/>
      <c r="I3" s="160">
        <v>42370.208333333285</v>
      </c>
      <c r="J3" s="161"/>
      <c r="K3" s="162"/>
      <c r="L3" s="160">
        <v>42370.708333333168</v>
      </c>
      <c r="M3" s="161"/>
      <c r="N3" s="162"/>
    </row>
    <row r="4" spans="2:14" x14ac:dyDescent="0.25">
      <c r="B4" s="163" t="str">
        <f>IF(Output!$B22,Output!$B22,"")</f>
        <v/>
      </c>
      <c r="C4" s="164"/>
      <c r="D4" s="165"/>
      <c r="E4" s="163" t="str">
        <f>IF(Output!$E22,Output!$E22,"")</f>
        <v/>
      </c>
      <c r="F4" s="164"/>
      <c r="G4" s="165"/>
    </row>
    <row r="5" spans="2:14" x14ac:dyDescent="0.25">
      <c r="B5" s="163" t="str">
        <f>IF(Output!$B23,Output!$B23,"")</f>
        <v/>
      </c>
      <c r="C5" s="164"/>
      <c r="D5" s="165"/>
      <c r="E5" s="163" t="str">
        <f>IF(Output!$E23,Output!$E23,"")</f>
        <v/>
      </c>
      <c r="F5" s="164"/>
      <c r="G5" s="165"/>
    </row>
    <row r="7" spans="2:14" x14ac:dyDescent="0.25">
      <c r="B7" s="59" t="s">
        <v>12</v>
      </c>
      <c r="C7" s="60"/>
      <c r="D7" s="58"/>
      <c r="E7" s="61" t="s">
        <v>325</v>
      </c>
      <c r="F7" s="61" t="s">
        <v>325</v>
      </c>
      <c r="G7" s="61" t="s">
        <v>325</v>
      </c>
    </row>
    <row r="8" spans="2:14" x14ac:dyDescent="0.25">
      <c r="B8" s="55" t="s">
        <v>324</v>
      </c>
      <c r="C8" s="56"/>
      <c r="D8" s="57"/>
      <c r="E8" s="62">
        <f>IFERROR((IF($B$3&lt;$I$3,$I$3-$B$3,0) + IF($E$3&gt;$L$3,$E$3-$L$3,0))*24,0)</f>
        <v>0</v>
      </c>
      <c r="F8" s="62">
        <f>IFERROR((IF($B$4&lt;$I$3,$I$3-$B$4,0) + IF($E$4&gt;$L$3,$E$4-$L$3,0))*24,0)</f>
        <v>0</v>
      </c>
      <c r="G8" s="62">
        <f>IFERROR((IF($B$5&lt;$I$3,$I$3-$B$5,0) + IF($E$5&gt;$L$3,$E$5-$L$3,0))*24,0)</f>
        <v>0</v>
      </c>
    </row>
    <row r="9" spans="2:14" x14ac:dyDescent="0.25">
      <c r="B9" s="55" t="s">
        <v>321</v>
      </c>
      <c r="C9" s="56"/>
      <c r="D9" s="57"/>
      <c r="E9" s="62">
        <f>IFERROR(IF(($E$3-$B$3)*24-$E$8&gt;8,($E$3-$B$3)*24-$E$8-8,0),0)</f>
        <v>0</v>
      </c>
      <c r="F9" s="62">
        <f>IFERROR(IF(($E$4-$B$4)*24-$F$8&gt;8,($E$4-$B$4)*24-$F$8-8,0),0)</f>
        <v>0</v>
      </c>
      <c r="G9" s="62">
        <f>IFERROR(IF(($E$5-$B$5)*24-$G$8&gt;8,($E$5-$B$5)*24-$G$8-8,0),0)</f>
        <v>0</v>
      </c>
    </row>
    <row r="10" spans="2:14" x14ac:dyDescent="0.25">
      <c r="B10" s="55" t="s">
        <v>320</v>
      </c>
      <c r="C10" s="56"/>
      <c r="D10" s="57"/>
      <c r="E10" s="62" t="e">
        <f>IF(Output!$AX$43,($E$3-$B$3)*24-SUM($E$8:$E$9),0)</f>
        <v>#VALUE!</v>
      </c>
      <c r="F10" s="62">
        <f>IF(Output!$AX$43,IFERROR(($E$4-$B$4)*24-SUM($F$8:$F$9),0),0)</f>
        <v>0</v>
      </c>
      <c r="G10" s="62">
        <f>IF(Output!$AX$43,IFERROR(($E$5-$B$5)*24-SUM($G$8:$G$9),0),0)</f>
        <v>0</v>
      </c>
    </row>
    <row r="11" spans="2:14" x14ac:dyDescent="0.25">
      <c r="B11" s="59" t="s">
        <v>326</v>
      </c>
      <c r="C11" s="60"/>
      <c r="D11" s="58"/>
      <c r="E11" s="63" t="e">
        <f>SUM(E8:E10)</f>
        <v>#VALUE!</v>
      </c>
      <c r="F11" s="63">
        <f>SUM(F8:F10)</f>
        <v>0</v>
      </c>
      <c r="G11" s="63">
        <f>SUM(G8:G10)</f>
        <v>0</v>
      </c>
    </row>
    <row r="12" spans="2:14" x14ac:dyDescent="0.25">
      <c r="B12" s="59" t="s">
        <v>327</v>
      </c>
      <c r="C12" s="60"/>
      <c r="D12" s="58"/>
      <c r="E12" s="63" t="e">
        <f>E13-E11</f>
        <v>#VALUE!</v>
      </c>
      <c r="F12" s="63">
        <f>F13-F11</f>
        <v>0</v>
      </c>
      <c r="G12" s="63">
        <f>G13-G11</f>
        <v>0</v>
      </c>
    </row>
    <row r="13" spans="2:14" x14ac:dyDescent="0.25">
      <c r="B13" s="59" t="s">
        <v>328</v>
      </c>
      <c r="C13" s="60"/>
      <c r="D13" s="58"/>
      <c r="E13" s="63">
        <f>IFERROR(($E$3-$B$3)*24,0)</f>
        <v>0</v>
      </c>
      <c r="F13" s="63">
        <f>IFERROR(($E$4-$B$4)*24,0)</f>
        <v>0</v>
      </c>
      <c r="G13" s="63">
        <f>IFERROR(($E$5-$B$5)*24,0)</f>
        <v>0</v>
      </c>
    </row>
  </sheetData>
  <mergeCells count="10">
    <mergeCell ref="B5:D5"/>
    <mergeCell ref="E5:G5"/>
    <mergeCell ref="B3:D3"/>
    <mergeCell ref="E3:G3"/>
    <mergeCell ref="I2:K2"/>
    <mergeCell ref="L2:N2"/>
    <mergeCell ref="I3:K3"/>
    <mergeCell ref="L3:N3"/>
    <mergeCell ref="B4:D4"/>
    <mergeCell ref="E4:G4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116"/>
  <sheetViews>
    <sheetView topLeftCell="C1" workbookViewId="0">
      <selection activeCell="Q3" sqref="Q3:Q58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28" width="0" style="38" hidden="1" customWidth="1"/>
    <col min="29" max="16384" width="9.140625" style="38" hidden="1"/>
  </cols>
  <sheetData>
    <row r="1" spans="1:27" ht="30" x14ac:dyDescent="0.25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200</v>
      </c>
      <c r="F1" s="44" t="s">
        <v>201</v>
      </c>
      <c r="G1" s="44" t="s">
        <v>202</v>
      </c>
      <c r="H1" s="44" t="s">
        <v>203</v>
      </c>
      <c r="I1" s="44" t="s">
        <v>204</v>
      </c>
      <c r="J1" s="44" t="s">
        <v>205</v>
      </c>
      <c r="K1" s="44" t="s">
        <v>206</v>
      </c>
      <c r="L1" s="44" t="s">
        <v>207</v>
      </c>
      <c r="M1" s="44" t="s">
        <v>208</v>
      </c>
      <c r="N1" s="44" t="s">
        <v>209</v>
      </c>
      <c r="O1" s="44" t="s">
        <v>337</v>
      </c>
      <c r="P1" s="44" t="s">
        <v>210</v>
      </c>
      <c r="Q1" s="44" t="s">
        <v>338</v>
      </c>
      <c r="R1" s="44" t="s">
        <v>211</v>
      </c>
      <c r="S1" s="45" t="s">
        <v>212</v>
      </c>
      <c r="T1" s="44" t="s">
        <v>213</v>
      </c>
      <c r="U1" s="44" t="s">
        <v>198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250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115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251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115</v>
      </c>
      <c r="R3" s="33">
        <v>130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252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115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253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115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254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115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308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115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255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115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256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115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257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115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258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115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259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115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260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115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261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115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262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115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263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115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264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115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265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115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266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115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267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115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268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115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269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115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298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115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270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115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271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115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316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115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272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115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299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115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300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115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301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115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273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115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293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115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274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115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302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115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303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115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275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115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276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115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277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115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278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115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279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115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304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115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280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115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281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115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313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115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282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115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305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115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283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115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284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115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285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115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286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115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287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115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288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115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289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115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306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115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307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115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290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115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291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115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292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115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0"/>
  <sheetViews>
    <sheetView workbookViewId="0">
      <selection activeCell="C28" sqref="C28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66" t="s">
        <v>297</v>
      </c>
      <c r="AF1" s="166"/>
      <c r="AG1" s="54"/>
      <c r="AH1" s="54" t="s">
        <v>329</v>
      </c>
      <c r="AI1" s="53"/>
    </row>
    <row r="2" spans="1:35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64">
        <v>42370</v>
      </c>
      <c r="AI2" s="25"/>
    </row>
    <row r="3" spans="1:35" x14ac:dyDescent="0.2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64">
        <v>42520</v>
      </c>
      <c r="AI3" s="25"/>
    </row>
    <row r="4" spans="1:35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64">
        <v>42555</v>
      </c>
      <c r="AI4" s="25"/>
    </row>
    <row r="5" spans="1:35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64">
        <v>42618</v>
      </c>
      <c r="AI5" s="25"/>
    </row>
    <row r="6" spans="1:35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64">
        <v>42698</v>
      </c>
      <c r="AI6" s="25"/>
    </row>
    <row r="7" spans="1:35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64">
        <v>42729</v>
      </c>
      <c r="AI7" s="25"/>
    </row>
    <row r="8" spans="1:35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64"/>
      <c r="AI8" s="25"/>
    </row>
    <row r="9" spans="1:35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64"/>
      <c r="AI9" s="25"/>
    </row>
    <row r="10" spans="1:35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64"/>
      <c r="AI10" s="25"/>
    </row>
    <row r="11" spans="1:35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64"/>
      <c r="AI11" s="25"/>
    </row>
    <row r="12" spans="1:35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64"/>
      <c r="AI12" s="25"/>
    </row>
    <row r="13" spans="1:35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64"/>
      <c r="AI13" s="25"/>
    </row>
    <row r="14" spans="1:35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64"/>
      <c r="AI14" s="25"/>
    </row>
    <row r="15" spans="1:35" x14ac:dyDescent="0.2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64"/>
      <c r="AI15" s="25"/>
    </row>
    <row r="16" spans="1:35" x14ac:dyDescent="0.2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64"/>
      <c r="AI16" s="25"/>
    </row>
    <row r="17" spans="1:35" x14ac:dyDescent="0.2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64"/>
      <c r="AI17" s="25"/>
    </row>
    <row r="18" spans="1:35" x14ac:dyDescent="0.2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64"/>
      <c r="AI18" s="25"/>
    </row>
    <row r="19" spans="1:35" x14ac:dyDescent="0.2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64"/>
      <c r="AI19" s="25"/>
    </row>
    <row r="20" spans="1:35" x14ac:dyDescent="0.2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64"/>
      <c r="AI20" s="25"/>
    </row>
    <row r="21" spans="1:35" x14ac:dyDescent="0.2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64"/>
      <c r="AI21" s="25"/>
    </row>
    <row r="22" spans="1:35" x14ac:dyDescent="0.2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64"/>
      <c r="AI22" s="25"/>
    </row>
    <row r="23" spans="1:35" x14ac:dyDescent="0.2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64"/>
      <c r="AI23" s="25"/>
    </row>
    <row r="24" spans="1:35" x14ac:dyDescent="0.2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64"/>
      <c r="AI24" s="25"/>
    </row>
    <row r="25" spans="1:35" x14ac:dyDescent="0.2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64"/>
      <c r="AI25" s="25"/>
    </row>
    <row r="26" spans="1:35" x14ac:dyDescent="0.2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64"/>
      <c r="AI26" s="25"/>
    </row>
    <row r="27" spans="1:35" x14ac:dyDescent="0.2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64"/>
      <c r="AI27" s="25"/>
    </row>
    <row r="28" spans="1:35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64"/>
      <c r="AI28" s="25"/>
    </row>
    <row r="29" spans="1:35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 x14ac:dyDescent="0.2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 x14ac:dyDescent="0.25">
      <c r="K115" s="16"/>
      <c r="O115" s="16"/>
    </row>
    <row r="116" spans="1:35" hidden="1" x14ac:dyDescent="0.25">
      <c r="O116" s="16"/>
    </row>
    <row r="117" spans="1:35" hidden="1" x14ac:dyDescent="0.25">
      <c r="O117" s="16"/>
    </row>
    <row r="118" spans="1:35" hidden="1" x14ac:dyDescent="0.25">
      <c r="O118" s="16"/>
    </row>
    <row r="119" spans="1:35" hidden="1" x14ac:dyDescent="0.25"/>
    <row r="120" spans="1:35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Lisa Combs</cp:lastModifiedBy>
  <cp:lastPrinted>2016-01-15T19:02:47Z</cp:lastPrinted>
  <dcterms:created xsi:type="dcterms:W3CDTF">2015-11-23T17:22:57Z</dcterms:created>
  <dcterms:modified xsi:type="dcterms:W3CDTF">2016-05-13T21:46:30Z</dcterms:modified>
</cp:coreProperties>
</file>