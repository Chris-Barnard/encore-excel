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800" windowHeight="12420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Matrix'!$1:$1)-5)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Z66" i="7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Z4"/>
  <c r="Z3"/>
  <c r="Z2"/>
  <c r="AW51" i="4"/>
  <c r="E5" i="9" l="1"/>
  <c r="B5"/>
  <c r="E4"/>
  <c r="B4"/>
  <c r="E3"/>
  <c r="B3"/>
  <c r="G8" l="1"/>
  <c r="F8"/>
  <c r="E8"/>
  <c r="I5"/>
  <c r="I3"/>
  <c r="K9" s="1"/>
  <c r="I4"/>
  <c r="F13"/>
  <c r="G13"/>
  <c r="E13"/>
  <c r="K10" l="1"/>
  <c r="I6"/>
  <c r="I9" s="1"/>
  <c r="L9" s="1"/>
  <c r="M9" s="1"/>
  <c r="E9" s="1"/>
  <c r="K11"/>
  <c r="L10" l="1"/>
  <c r="M10" s="1"/>
  <c r="F9" s="1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<sst xmlns="http://schemas.openxmlformats.org/spreadsheetml/2006/main" count="421" uniqueCount="366">
  <si>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</si>
  <si>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</si>
  <si>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</si>
  <si>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</si>
  <si>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</si>
  <si>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</si>
  <si>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</si>
  <si>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</si>
  <si>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</si>
  <si>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</si>
  <si>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</si>
  <si>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</si>
  <si>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</si>
  <si>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</si>
  <si>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</si>
  <si>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</si>
  <si>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</si>
  <si>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</si>
  <si>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</si>
  <si>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</si>
  <si>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</si>
  <si>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</si>
  <si>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</si>
  <si>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</si>
  <si>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</si>
  <si>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</si>
  <si>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</si>
  <si>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</si>
  <si>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</si>
  <si>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</si>
  <si>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</si>
  <si>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</si>
  <si>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</si>
  <si>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</si>
  <si>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</si>
  <si>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</si>
  <si>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</si>
  <si>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</si>
  <si>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</si>
  <si>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</si>
  <si>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</si>
  <si>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</si>
  <si>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</si>
  <si>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</si>
  <si>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</si>
  <si>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</si>
  <si>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</si>
  <si>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</si>
  <si>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</si>
  <si>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</si>
  <si>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</si>
  <si>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</si>
  <si>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</si>
  <si>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</si>
  <si>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</si>
  <si>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</si>
  <si>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</si>
  <si>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</si>
  <si>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</si>
  <si>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</si>
  <si>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</si>
  <si>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</si>
  <si>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</si>
  <si>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</si>
  <si>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</si>
  <si>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</si>
  <si>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</si>
  <si>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</si>
  <si>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</si>
  <si>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</si>
  <si>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</si>
  <si>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</si>
  <si>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</si>
  <si>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</si>
  <si>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</si>
  <si>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</si>
  <si>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</si>
  <si>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</si>
  <si>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</si>
  <si>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</si>
  <si>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</si>
  <si>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</si>
  <si>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</si>
  <si>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</si>
  <si>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</si>
  <si>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</si>
  <si>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</si>
  <si>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</si>
  <si>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</si>
  <si>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</si>
  <si>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</si>
  <si>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</si>
  <si>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</si>
  <si>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</si>
  <si>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</si>
  <si>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</si>
  <si>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</si>
  <si>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</si>
  <si>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</si>
  <si>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</si>
  <si>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</si>
  <si>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</si>
  <si>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</si>
  <si>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</si>
  <si>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</si>
  <si>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</si>
  <si>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</si>
  <si>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</si>
  <si>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</si>
  <si>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</si>
  <si>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</si>
  <si>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</si>
  <si>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</si>
  <si>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</si>
  <si>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</si>
  <si>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</si>
  <si>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</si>
  <si>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</si>
  <si>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</si>
  <si>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</si>
  <si>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</si>
  <si>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</si>
  <si>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</si>
  <si>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</si>
  <si>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</si>
  <si>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</si>
  <si>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</si>
  <si>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</si>
  <si>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</si>
  <si>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Trk 1411</t>
  </si>
  <si>
    <t>Waiting on Truck</t>
  </si>
  <si>
    <t>Trk 1723</t>
  </si>
  <si>
    <t>Trk 1818</t>
  </si>
  <si>
    <t>Trk 2109</t>
  </si>
  <si>
    <t>Trk 2224</t>
  </si>
  <si>
    <t>Trk 3136</t>
  </si>
  <si>
    <t>Trk 3385</t>
  </si>
  <si>
    <t>Trk 3389</t>
  </si>
  <si>
    <t>Trk 3520</t>
  </si>
  <si>
    <t>Kelsey Wylie</t>
  </si>
  <si>
    <t>Trk 4526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</si>
  <si>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</si>
  <si>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</si>
  <si>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</si>
  <si>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</si>
  <si>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</si>
  <si>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</si>
  <si>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</si>
  <si>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</si>
  <si>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</si>
  <si>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Trl 4527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</si>
  <si>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</si>
  <si>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</si>
  <si>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</si>
  <si>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</si>
  <si>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</si>
  <si>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</si>
  <si>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</si>
  <si>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</si>
  <si>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</si>
  <si>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</si>
  <si>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</si>
  <si>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</si>
  <si>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</si>
  <si>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</si>
  <si>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</si>
  <si>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</si>
  <si>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</si>
  <si>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</si>
  <si>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</si>
  <si>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</si>
  <si>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</si>
  <si>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</si>
  <si>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</si>
  <si>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</si>
  <si>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</si>
  <si>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</si>
  <si>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</si>
  <si>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</si>
  <si>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</si>
  <si>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</si>
  <si>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</si>
  <si>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</si>
  <si>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</si>
  <si>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</si>
  <si>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</si>
  <si>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</si>
  <si>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</si>
  <si>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</si>
  <si>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</si>
  <si>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</si>
  <si>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</si>
  <si>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</si>
  <si>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</si>
  <si>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</si>
  <si>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</si>
  <si>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</si>
  <si>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</si>
  <si>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</si>
  <si>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</si>
  <si>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</si>
  <si>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</si>
  <si>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</si>
  <si>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</si>
  <si>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</si>
  <si>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</si>
  <si>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</si>
  <si>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</si>
  <si>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</si>
  <si>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</si>
  <si>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</si>
  <si>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</si>
  <si>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</si>
  <si>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</si>
  <si>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</si>
  <si>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</si>
  <si>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</si>
  <si>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</si>
  <si>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</si>
  <si>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</si>
  <si>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</si>
  <si>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</si>
  <si>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</si>
  <si>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</si>
  <si>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</si>
  <si>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</si>
  <si>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</si>
  <si>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</si>
  <si>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</si>
  <si>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</si>
  <si>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</si>
  <si>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</si>
  <si>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</si>
  <si>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</si>
  <si>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</si>
  <si>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</si>
  <si>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</si>
  <si>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</si>
  <si>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</si>
  <si>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</si>
  <si>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</si>
  <si>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</si>
  <si>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</si>
  <si>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</si>
  <si>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</si>
  <si>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</si>
  <si>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</si>
  <si>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</si>
  <si>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</si>
  <si>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</si>
  <si>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</si>
  <si>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</si>
  <si>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</si>
  <si>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</si>
  <si>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</si>
  <si>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</si>
  <si>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</si>
  <si>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</si>
  <si>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</si>
  <si>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</si>
  <si>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</si>
  <si>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</si>
  <si>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</si>
  <si>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</si>
  <si>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</si>
  <si>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</si>
  <si>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</si>
  <si>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</si>
  <si>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</si>
  <si>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</si>
  <si>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</si>
  <si>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</si>
  <si>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</si>
  <si>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</si>
  <si>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</si>
  <si>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</si>
  <si>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</si>
  <si>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</si>
  <si>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</si>
  <si>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</si>
  <si>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</si>
  <si>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</si>
  <si>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</si>
  <si>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</si>
  <si>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</si>
  <si>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</si>
  <si>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</si>
  <si>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</si>
  <si>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</si>
  <si>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</si>
  <si>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</si>
  <si>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</si>
  <si>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</si>
  <si>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</si>
  <si>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</si>
  <si>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5408</t>
  </si>
  <si>
    <t>Personal</t>
  </si>
  <si>
    <t>RICHARD SANDERS</t>
  </si>
  <si>
    <t>FINLEY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</si>
  <si>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</si>
  <si>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</si>
  <si>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</si>
  <si>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</si>
  <si>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</si>
  <si>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</si>
  <si>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</si>
  <si>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</si>
  <si>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</si>
  <si>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</si>
  <si>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</si>
  <si>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</si>
  <si>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Trk 3972</t>
  </si>
  <si>
    <t>Trl 9140</t>
  </si>
  <si>
    <t>N/A</t>
  </si>
  <si>
    <t>Valve Tech, Helper &amp; Truck</t>
  </si>
  <si>
    <t>Production Equip Tech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</si>
  <si>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</si>
  <si>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</si>
  <si>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</si>
  <si>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</si>
  <si>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</si>
  <si>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</si>
  <si>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</si>
  <si>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</si>
  <si>
    <t>BLUESTONE</t>
  </si>
  <si>
    <t>Laser Levalign Expert Tool- $1250.00 Per Alignment</t>
  </si>
  <si>
    <t>Hytorc - $500.00 Per Day</t>
  </si>
  <si>
    <t>GIBSON</t>
  </si>
  <si>
    <t>BRANDON DUNAGAN</t>
  </si>
  <si>
    <t>TRACY DAVIS</t>
  </si>
  <si>
    <t>DON YANDELL</t>
  </si>
  <si>
    <t>GERALD PHILLIPS</t>
  </si>
  <si>
    <t>GILBERT PADRON</t>
  </si>
  <si>
    <t>JACK BENKE</t>
  </si>
  <si>
    <t>JAMES LASLEY</t>
  </si>
  <si>
    <t>JOHN R SIMONETTI JR</t>
  </si>
  <si>
    <t>KELSEY WYLIE</t>
  </si>
  <si>
    <t>KEVIN JOHNSON</t>
  </si>
  <si>
    <t>MARIO SALAS</t>
  </si>
  <si>
    <t>MARTY WINDHAM</t>
  </si>
  <si>
    <t>RICO UGOLETTI</t>
  </si>
  <si>
    <t>ROBERTO HERNANDEZ</t>
  </si>
  <si>
    <t>ROWDY WICKLINE</t>
  </si>
  <si>
    <t>TOMMY BENNETT</t>
  </si>
  <si>
    <t>JASON WARD</t>
  </si>
  <si>
    <t>RYAN BRYANT</t>
  </si>
  <si>
    <t>RANDY THURMOND</t>
  </si>
  <si>
    <t>JUSTIN BLAKENEY</t>
  </si>
  <si>
    <t>GILBERT SANCHEZ</t>
  </si>
  <si>
    <t>JOEY GREGSTON</t>
  </si>
  <si>
    <t>KEITH TRIMPE</t>
  </si>
  <si>
    <t>CIP</t>
  </si>
  <si>
    <t>Cummins</t>
  </si>
  <si>
    <t>JEFF  SHIPMAN</t>
  </si>
  <si>
    <t>Technical Services</t>
  </si>
  <si>
    <t>Trk 5468</t>
  </si>
  <si>
    <t>GRAND OPERATING</t>
  </si>
  <si>
    <t>M &amp; J VALVE</t>
  </si>
  <si>
    <t>JOHN LYNCH</t>
  </si>
  <si>
    <t>CSI</t>
  </si>
  <si>
    <t>MERIT ENERGY</t>
  </si>
  <si>
    <t>TRUE GREEN</t>
  </si>
  <si>
    <t>OWL CREEK</t>
  </si>
  <si>
    <t xml:space="preserve">CANON </t>
  </si>
  <si>
    <t>Rate Per Mile (Production)</t>
  </si>
  <si>
    <t>Rate Per Mile (Calculated)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</si>
</sst>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5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  <xf numFmtId="44" fontId="0" fillId="19" borderId="1" xfId="1" applyFont="1" applyFill="1" applyBorder="1"/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0" zoomScaleNormal="80" workbookViewId="0">
      <selection activeCell="AA18" sqref="AA18:AC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1" t="s">
        <v>171</v>
      </c>
      <c r="AX1" s="101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7" t="str">
        <f>IF(B11="","Report Template",VLOOKUP($B$11,'Pick Sheet'!$AE$2:$AF$22,2,FALSE))</f>
        <v>Report Template</v>
      </c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9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60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2"/>
      <c r="AN3" s="2"/>
      <c r="AO3" s="156" t="str">
        <f ca="1">CONCATENATE(YEAR($AP$7)," ",MONTH(AP$7)," ",DAY($AP$7)," ",$AX$11," ",$AX$18," ","0",$AX$40," ",$AX$20,)</f>
        <v>1900 1 0 0 0 00 0</v>
      </c>
      <c r="AP3" s="156"/>
      <c r="AQ3" s="156"/>
      <c r="AR3" s="156"/>
      <c r="AS3" s="156"/>
      <c r="AT3" s="156"/>
      <c r="AU3" s="15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0"/>
      <c r="V4" s="50"/>
      <c r="W4" s="50"/>
      <c r="X4" s="50"/>
      <c r="Y4" s="5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152" t="s">
        <v>0</v>
      </c>
      <c r="C5" s="152"/>
      <c r="D5" s="152"/>
      <c r="E5" s="152"/>
      <c r="F5" s="152"/>
      <c r="G5" s="152"/>
      <c r="H5" s="112" t="s">
        <v>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2" t="s">
        <v>2</v>
      </c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4"/>
      <c r="AK5" s="112" t="s">
        <v>3</v>
      </c>
      <c r="AL5" s="113"/>
      <c r="AM5" s="113"/>
      <c r="AN5" s="113"/>
      <c r="AO5" s="114"/>
      <c r="AP5" s="112" t="s">
        <v>4</v>
      </c>
      <c r="AQ5" s="113"/>
      <c r="AR5" s="113"/>
      <c r="AS5" s="113"/>
      <c r="AT5" s="113"/>
      <c r="AU5" s="114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100"/>
      <c r="C7" s="100"/>
      <c r="D7" s="100"/>
      <c r="E7" s="100"/>
      <c r="F7" s="100"/>
      <c r="G7" s="100"/>
      <c r="H7" s="126" t="s">
        <v>247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51"/>
      <c r="AQ7" s="100"/>
      <c r="AR7" s="100"/>
      <c r="AS7" s="100"/>
      <c r="AT7" s="100"/>
      <c r="AU7" s="100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152" t="s">
        <v>43</v>
      </c>
      <c r="C9" s="152"/>
      <c r="D9" s="152"/>
      <c r="E9" s="152"/>
      <c r="F9" s="152"/>
      <c r="G9" s="152"/>
      <c r="H9" s="152" t="s">
        <v>158</v>
      </c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 t="s">
        <v>5</v>
      </c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 t="s">
        <v>6</v>
      </c>
      <c r="AL9" s="152"/>
      <c r="AM9" s="152"/>
      <c r="AN9" s="152"/>
      <c r="AO9" s="152"/>
      <c r="AP9" s="152" t="s">
        <v>7</v>
      </c>
      <c r="AQ9" s="152"/>
      <c r="AR9" s="152"/>
      <c r="AS9" s="152"/>
      <c r="AT9" s="152"/>
      <c r="AU9" s="152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26"/>
      <c r="AL11" s="126"/>
      <c r="AM11" s="126"/>
      <c r="AN11" s="126"/>
      <c r="AO11" s="126"/>
      <c r="AP11" s="115"/>
      <c r="AQ11" s="116"/>
      <c r="AR11" s="116"/>
      <c r="AS11" s="116"/>
      <c r="AT11" s="116"/>
      <c r="AU11" s="150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152" t="s">
        <v>44</v>
      </c>
      <c r="C13" s="152"/>
      <c r="D13" s="152"/>
      <c r="E13" s="152"/>
      <c r="F13" s="152"/>
      <c r="G13" s="152"/>
      <c r="H13" s="152" t="s">
        <v>38</v>
      </c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12" t="s">
        <v>8</v>
      </c>
      <c r="V13" s="113"/>
      <c r="W13" s="113"/>
      <c r="X13" s="113"/>
      <c r="Y13" s="113"/>
      <c r="Z13" s="113"/>
      <c r="AA13" s="113"/>
      <c r="AB13" s="114"/>
      <c r="AC13" s="149"/>
      <c r="AD13" s="149"/>
      <c r="AE13" s="149"/>
      <c r="AF13" s="149"/>
      <c r="AG13" s="149"/>
      <c r="AH13" s="149"/>
      <c r="AI13" s="149"/>
      <c r="AJ13" s="149"/>
      <c r="AK13" s="152" t="s">
        <v>45</v>
      </c>
      <c r="AL13" s="152"/>
      <c r="AM13" s="152"/>
      <c r="AN13" s="152"/>
      <c r="AO13" s="152"/>
      <c r="AP13" s="152" t="s">
        <v>46</v>
      </c>
      <c r="AQ13" s="152"/>
      <c r="AR13" s="152"/>
      <c r="AS13" s="152"/>
      <c r="AT13" s="152"/>
      <c r="AU13" s="152"/>
      <c r="AV13" s="3"/>
      <c r="AW13" s="8" t="s">
        <v>176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45" t="str">
        <f ca="1">IFERROR(VLOOKUP(ServiceMan,EmpLookup,2,FALSE),"")</f>
        <v/>
      </c>
      <c r="C15" s="145"/>
      <c r="D15" s="145"/>
      <c r="E15" s="145"/>
      <c r="F15" s="145"/>
      <c r="G15" s="145"/>
      <c r="H15" s="146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8"/>
      <c r="U15" s="115"/>
      <c r="V15" s="116"/>
      <c r="W15" s="116"/>
      <c r="X15" s="116"/>
      <c r="Y15" s="116"/>
      <c r="Z15" s="116"/>
      <c r="AA15" s="116"/>
      <c r="AB15" s="150"/>
      <c r="AC15" s="149"/>
      <c r="AD15" s="149"/>
      <c r="AE15" s="149"/>
      <c r="AF15" s="149"/>
      <c r="AG15" s="149"/>
      <c r="AH15" s="149"/>
      <c r="AI15" s="149"/>
      <c r="AJ15" s="149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112" t="s">
        <v>48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4"/>
      <c r="T17" s="3"/>
      <c r="U17" s="112" t="s">
        <v>49</v>
      </c>
      <c r="V17" s="113"/>
      <c r="W17" s="113"/>
      <c r="X17" s="113"/>
      <c r="Y17" s="113"/>
      <c r="Z17" s="113"/>
      <c r="AA17" s="113"/>
      <c r="AB17" s="113"/>
      <c r="AC17" s="114"/>
      <c r="AD17" s="2"/>
      <c r="AE17" s="112" t="s">
        <v>37</v>
      </c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4"/>
      <c r="AV17" s="2"/>
      <c r="AW17" s="8" t="s">
        <v>4</v>
      </c>
      <c r="AX17" s="11">
        <f>AP7</f>
        <v>0</v>
      </c>
    </row>
    <row r="18" spans="1:50" ht="18" customHeight="1">
      <c r="A18" s="2"/>
      <c r="B18" s="144" t="s">
        <v>160</v>
      </c>
      <c r="C18" s="144"/>
      <c r="D18" s="144"/>
      <c r="E18" s="144"/>
      <c r="F18" s="144"/>
      <c r="G18" s="144"/>
      <c r="H18" s="126" t="s">
        <v>315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4"/>
      <c r="U18" s="110" t="s">
        <v>16</v>
      </c>
      <c r="V18" s="110"/>
      <c r="W18" s="110"/>
      <c r="X18" s="110"/>
      <c r="Y18" s="110"/>
      <c r="Z18" s="110"/>
      <c r="AA18" s="131">
        <f>IFERROR(INDEX('Rate Matrix'!$C$2:$Z$78,MATCH(Mandatory1,'Rate Matrix'!$B$2:$B$78,0),MATCH("Rate Per Mile (Calculated)",'Rate Matrix'!$C$1:$Z$1,0)),0)</f>
        <v>1.75</v>
      </c>
      <c r="AB18" s="132"/>
      <c r="AC18" s="133"/>
      <c r="AD18" s="2"/>
      <c r="AE18" s="106" t="s">
        <v>23</v>
      </c>
      <c r="AF18" s="107"/>
      <c r="AG18" s="107"/>
      <c r="AH18" s="107"/>
      <c r="AI18" s="107"/>
      <c r="AJ18" s="107"/>
      <c r="AK18" s="107"/>
      <c r="AL18" s="107"/>
      <c r="AM18" s="108"/>
      <c r="AN18" s="106" t="s">
        <v>24</v>
      </c>
      <c r="AO18" s="108"/>
      <c r="AP18" s="106" t="s">
        <v>25</v>
      </c>
      <c r="AQ18" s="107"/>
      <c r="AR18" s="107"/>
      <c r="AS18" s="107"/>
      <c r="AT18" s="107"/>
      <c r="AU18" s="108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17" t="s">
        <v>9</v>
      </c>
      <c r="C19" s="117"/>
      <c r="D19" s="117"/>
      <c r="E19" s="117"/>
      <c r="F19" s="117"/>
      <c r="G19" s="117"/>
      <c r="H19" s="117" t="s">
        <v>10</v>
      </c>
      <c r="I19" s="117"/>
      <c r="J19" s="117"/>
      <c r="K19" s="117"/>
      <c r="L19" s="117"/>
      <c r="M19" s="117"/>
      <c r="N19" s="117" t="s">
        <v>15</v>
      </c>
      <c r="O19" s="117"/>
      <c r="P19" s="117"/>
      <c r="Q19" s="117"/>
      <c r="R19" s="117"/>
      <c r="S19" s="117"/>
      <c r="T19" s="5"/>
      <c r="U19" s="110" t="s">
        <v>50</v>
      </c>
      <c r="V19" s="110"/>
      <c r="W19" s="110"/>
      <c r="X19" s="110"/>
      <c r="Y19" s="110"/>
      <c r="Z19" s="110"/>
      <c r="AA19" s="100">
        <v>50</v>
      </c>
      <c r="AB19" s="100"/>
      <c r="AC19" s="100"/>
      <c r="AD19" s="2"/>
      <c r="AE19" s="102"/>
      <c r="AF19" s="103"/>
      <c r="AG19" s="103"/>
      <c r="AH19" s="103"/>
      <c r="AI19" s="103"/>
      <c r="AJ19" s="103"/>
      <c r="AK19" s="103"/>
      <c r="AL19" s="103"/>
      <c r="AM19" s="104"/>
      <c r="AN19" s="102"/>
      <c r="AO19" s="104"/>
      <c r="AP19" s="102"/>
      <c r="AQ19" s="103"/>
      <c r="AR19" s="103"/>
      <c r="AS19" s="103"/>
      <c r="AT19" s="103"/>
      <c r="AU19" s="104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17" t="s">
        <v>13</v>
      </c>
      <c r="C20" s="117"/>
      <c r="D20" s="117"/>
      <c r="E20" s="117" t="s">
        <v>14</v>
      </c>
      <c r="F20" s="117"/>
      <c r="G20" s="117"/>
      <c r="H20" s="117" t="s">
        <v>11</v>
      </c>
      <c r="I20" s="117"/>
      <c r="J20" s="117"/>
      <c r="K20" s="117" t="s">
        <v>12</v>
      </c>
      <c r="L20" s="117"/>
      <c r="M20" s="117"/>
      <c r="N20" s="117" t="s">
        <v>11</v>
      </c>
      <c r="O20" s="117"/>
      <c r="P20" s="117"/>
      <c r="Q20" s="117" t="s">
        <v>12</v>
      </c>
      <c r="R20" s="117"/>
      <c r="S20" s="117"/>
      <c r="T20" s="3"/>
      <c r="U20" s="110" t="s">
        <v>51</v>
      </c>
      <c r="V20" s="110"/>
      <c r="W20" s="110"/>
      <c r="X20" s="110"/>
      <c r="Y20" s="110"/>
      <c r="Z20" s="110"/>
      <c r="AA20" s="100">
        <v>50</v>
      </c>
      <c r="AB20" s="100"/>
      <c r="AC20" s="100"/>
      <c r="AD20" s="2"/>
      <c r="AE20" s="117" t="s">
        <v>26</v>
      </c>
      <c r="AF20" s="117"/>
      <c r="AG20" s="106" t="s">
        <v>53</v>
      </c>
      <c r="AH20" s="107"/>
      <c r="AI20" s="108"/>
      <c r="AJ20" s="117" t="s">
        <v>54</v>
      </c>
      <c r="AK20" s="117"/>
      <c r="AL20" s="117"/>
      <c r="AM20" s="117"/>
      <c r="AN20" s="117"/>
      <c r="AO20" s="117"/>
      <c r="AP20" s="129" t="s">
        <v>27</v>
      </c>
      <c r="AQ20" s="129"/>
      <c r="AR20" s="128" t="s">
        <v>55</v>
      </c>
      <c r="AS20" s="128"/>
      <c r="AT20" s="128"/>
      <c r="AU20" s="128"/>
      <c r="AV20" s="2"/>
      <c r="AW20" s="8" t="s">
        <v>158</v>
      </c>
      <c r="AX20" s="10">
        <f>IF($H$11="",0,VLOOKUP($H$11,ChargeToLookup,2))</f>
        <v>0</v>
      </c>
    </row>
    <row r="21" spans="1:50" ht="18" customHeight="1">
      <c r="A21" s="3"/>
      <c r="B21" s="136"/>
      <c r="C21" s="137"/>
      <c r="D21" s="138"/>
      <c r="E21" s="136"/>
      <c r="F21" s="137"/>
      <c r="G21" s="138"/>
      <c r="H21" s="131" t="str">
        <f ca="1">IF(Overtime!$E$12,Overtime!$E$12,"")</f>
        <v/>
      </c>
      <c r="I21" s="132"/>
      <c r="J21" s="133"/>
      <c r="K21" s="131" t="str">
        <f ca="1">IF(Overtime!$E$11,Overtime!$E$11,"")</f>
        <v/>
      </c>
      <c r="L21" s="132"/>
      <c r="M21" s="133"/>
      <c r="N21" s="139" t="str">
        <f>IFERROR(IF($B21="","",INDEX(ServiceRates,MATCH(Output!$H$7,CustomerNames,0),MATCH(Output!$H$18,ServiceRate,0))*$H21),"")</f>
        <v/>
      </c>
      <c r="O21" s="139"/>
      <c r="P21" s="139"/>
      <c r="Q21" s="140" t="str">
        <f>IFERROR(IF($B21="","",INDEX(ServiceRates,MATCH(Output!$H$7,CustomerNames,0),MATCH(Output!$H$18,ServiceRate,0))*INDEX(OTCalc,MATCH($H$7,CustomerNames,0))*$K21),"")</f>
        <v/>
      </c>
      <c r="R21" s="141"/>
      <c r="S21" s="142"/>
      <c r="T21" s="3"/>
      <c r="U21" s="110" t="s">
        <v>17</v>
      </c>
      <c r="V21" s="110"/>
      <c r="W21" s="110"/>
      <c r="X21" s="110"/>
      <c r="Y21" s="110"/>
      <c r="Z21" s="110"/>
      <c r="AA21" s="134">
        <f>SUM(AA19:AC20)</f>
        <v>100</v>
      </c>
      <c r="AB21" s="134"/>
      <c r="AC21" s="134"/>
      <c r="AD21" s="3"/>
      <c r="AE21" s="130" t="s">
        <v>28</v>
      </c>
      <c r="AF21" s="13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3"/>
      <c r="AW21" s="8" t="s">
        <v>203</v>
      </c>
      <c r="AX21" s="10">
        <f>IF(Clear15="",0,Clear15)</f>
        <v>0</v>
      </c>
    </row>
    <row r="22" spans="1:50" ht="18" customHeight="1">
      <c r="A22" s="3"/>
      <c r="B22" s="136"/>
      <c r="C22" s="137"/>
      <c r="D22" s="138"/>
      <c r="E22" s="136"/>
      <c r="F22" s="137"/>
      <c r="G22" s="138"/>
      <c r="H22" s="131" t="str">
        <f ca="1">IF(Overtime!$F$12,Overtime!$F$12,"")</f>
        <v/>
      </c>
      <c r="I22" s="132"/>
      <c r="J22" s="133"/>
      <c r="K22" s="131" t="str">
        <f ca="1">IF(Overtime!$F$11,Overtime!$F$11,"")</f>
        <v/>
      </c>
      <c r="L22" s="132"/>
      <c r="M22" s="133"/>
      <c r="N22" s="139" t="str">
        <f>IFERROR(IF($B22="","",INDEX(ServiceRates,MATCH(Output!$H$7,CustomerNames,0),MATCH(Output!$H$18,ServiceRate,0))*$H22),"")</f>
        <v/>
      </c>
      <c r="O22" s="139"/>
      <c r="P22" s="139"/>
      <c r="Q22" s="140" t="str">
        <f>IFERROR(IF($B22="","",INDEX(ServiceRates,MATCH(Output!$H$7,CustomerNames,0),MATCH(Output!$H$18,ServiceRate,0))*INDEX(OTCalc,MATCH($H$7,CustomerNames,0))*$K22),"")</f>
        <v/>
      </c>
      <c r="R22" s="141"/>
      <c r="S22" s="142"/>
      <c r="T22" s="3"/>
      <c r="U22" s="110" t="s">
        <v>18</v>
      </c>
      <c r="V22" s="110"/>
      <c r="W22" s="110"/>
      <c r="X22" s="110"/>
      <c r="Y22" s="110"/>
      <c r="Z22" s="110"/>
      <c r="AA22" s="135">
        <f>IF($AA$18="","",AA21*AA18)</f>
        <v>175</v>
      </c>
      <c r="AB22" s="135"/>
      <c r="AC22" s="135"/>
      <c r="AD22" s="3"/>
      <c r="AE22" s="130" t="s">
        <v>29</v>
      </c>
      <c r="AF22" s="130"/>
      <c r="AG22" s="100"/>
      <c r="AH22" s="100"/>
      <c r="AI22" s="100"/>
      <c r="AJ22" s="100"/>
      <c r="AK22" s="100"/>
      <c r="AL22" s="100"/>
      <c r="AM22" s="100"/>
      <c r="AN22" s="100"/>
      <c r="AO22" s="100"/>
      <c r="AP22" s="128" t="s">
        <v>169</v>
      </c>
      <c r="AQ22" s="128"/>
      <c r="AR22" s="128" t="s">
        <v>170</v>
      </c>
      <c r="AS22" s="128"/>
      <c r="AT22" s="128"/>
      <c r="AU22" s="128"/>
      <c r="AV22" s="3"/>
      <c r="AW22" s="8" t="s">
        <v>204</v>
      </c>
      <c r="AX22" s="8">
        <f ca="1">SUM(AX23:AX24)</f>
        <v>0</v>
      </c>
    </row>
    <row r="23" spans="1:50" ht="18" customHeight="1">
      <c r="A23" s="3"/>
      <c r="B23" s="136"/>
      <c r="C23" s="137"/>
      <c r="D23" s="138"/>
      <c r="E23" s="136"/>
      <c r="F23" s="137"/>
      <c r="G23" s="138"/>
      <c r="H23" s="131" t="str">
        <f ca="1">IF(Overtime!$G$12,Overtime!$G$12,"")</f>
        <v/>
      </c>
      <c r="I23" s="132"/>
      <c r="J23" s="133"/>
      <c r="K23" s="131" t="str">
        <f ca="1">IF(Overtime!$G$11,Overtime!$G$11,"")</f>
        <v/>
      </c>
      <c r="L23" s="132"/>
      <c r="M23" s="133"/>
      <c r="N23" s="139" t="str">
        <f>IFERROR(IF($B23="","",INDEX(ServiceRates,MATCH(Output!$H$7,CustomerNames,0),MATCH(Output!$H$18,ServiceRate,0))*$H23),"")</f>
        <v/>
      </c>
      <c r="O23" s="139"/>
      <c r="P23" s="139"/>
      <c r="Q23" s="140" t="str">
        <f>IFERROR(IF($B23="","",INDEX(ServiceRates,MATCH(Output!$H$7,CustomerNames,0),MATCH(Output!$H$18,ServiceRate,0))*INDEX(OTCalc,MATCH($H$7,CustomerNames,0))*$K23),"")</f>
        <v/>
      </c>
      <c r="R23" s="141"/>
      <c r="S23" s="142"/>
      <c r="T23" s="3"/>
      <c r="U23" s="121"/>
      <c r="V23" s="122"/>
      <c r="W23" s="122"/>
      <c r="X23" s="122"/>
      <c r="Y23" s="122"/>
      <c r="Z23" s="122"/>
      <c r="AA23" s="122"/>
      <c r="AB23" s="122"/>
      <c r="AC23" s="123"/>
      <c r="AD23" s="3"/>
      <c r="AE23" s="130" t="s">
        <v>56</v>
      </c>
      <c r="AF23" s="13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20" t="str">
        <f>IF(AG23="","",((AG23+15)*((AP23/2)^2)*PI())-((AG22+15)*(((AP23/2)^2)*PI()-(($AP$21/2)^2)*PI())))</f>
        <v/>
      </c>
      <c r="AS23" s="120"/>
      <c r="AT23" s="120"/>
      <c r="AU23" s="120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124" t="s">
        <v>20</v>
      </c>
      <c r="C24" s="125"/>
      <c r="D24" s="125"/>
      <c r="E24" s="125"/>
      <c r="F24" s="125"/>
      <c r="G24" s="143"/>
      <c r="H24" s="134">
        <f ca="1">SUM(H$21:J$23)</f>
        <v>0</v>
      </c>
      <c r="I24" s="130"/>
      <c r="J24" s="130"/>
      <c r="K24" s="134">
        <f ca="1">SUM(K$21:M$23)</f>
        <v>0</v>
      </c>
      <c r="L24" s="130"/>
      <c r="M24" s="130"/>
      <c r="N24" s="117" t="s">
        <v>47</v>
      </c>
      <c r="O24" s="117"/>
      <c r="P24" s="117"/>
      <c r="Q24" s="139">
        <f>SUM(N21:S23)</f>
        <v>0</v>
      </c>
      <c r="R24" s="130"/>
      <c r="S24" s="130"/>
      <c r="T24" s="3"/>
      <c r="U24" s="124" t="s">
        <v>19</v>
      </c>
      <c r="V24" s="125"/>
      <c r="W24" s="125"/>
      <c r="X24" s="125"/>
      <c r="Y24" s="125"/>
      <c r="Z24" s="126"/>
      <c r="AA24" s="126"/>
      <c r="AB24" s="126"/>
      <c r="AC24" s="126"/>
      <c r="AD24" s="3"/>
      <c r="AE24" s="130" t="s">
        <v>30</v>
      </c>
      <c r="AF24" s="13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20" t="str">
        <f t="shared" ref="AR24:AR25" si="0">IF(AG24="","",((AG24+15)*((AP24/2)^2)*PI())-((AG23+15)*(((AP24/2)^2)*PI()-(($AP$21/2)^2)*PI())))</f>
        <v/>
      </c>
      <c r="AS24" s="120"/>
      <c r="AT24" s="120"/>
      <c r="AU24" s="120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10" t="s">
        <v>22</v>
      </c>
      <c r="C25" s="110"/>
      <c r="D25" s="110"/>
      <c r="E25" s="110"/>
      <c r="F25" s="110"/>
      <c r="G25" s="110"/>
      <c r="H25" s="110"/>
      <c r="I25" s="110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3"/>
      <c r="U25" s="124" t="s">
        <v>52</v>
      </c>
      <c r="V25" s="125"/>
      <c r="W25" s="125"/>
      <c r="X25" s="125"/>
      <c r="Y25" s="125"/>
      <c r="Z25" s="126"/>
      <c r="AA25" s="126"/>
      <c r="AB25" s="126"/>
      <c r="AC25" s="126"/>
      <c r="AD25" s="3"/>
      <c r="AE25" s="130" t="s">
        <v>31</v>
      </c>
      <c r="AF25" s="13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20" t="str">
        <f t="shared" si="0"/>
        <v/>
      </c>
      <c r="AS25" s="120"/>
      <c r="AT25" s="120"/>
      <c r="AU25" s="120"/>
      <c r="AV25" s="3"/>
      <c r="AW25" s="8" t="s">
        <v>177</v>
      </c>
      <c r="AX25" s="8"/>
    </row>
    <row r="26" spans="1:50" ht="18" customHeight="1">
      <c r="A26" s="3"/>
      <c r="B26" s="110" t="s">
        <v>21</v>
      </c>
      <c r="C26" s="110"/>
      <c r="D26" s="110"/>
      <c r="E26" s="110"/>
      <c r="F26" s="110"/>
      <c r="G26" s="110"/>
      <c r="H26" s="110"/>
      <c r="I26" s="110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3"/>
      <c r="U26" s="124" t="s">
        <v>159</v>
      </c>
      <c r="V26" s="125"/>
      <c r="W26" s="125"/>
      <c r="X26" s="125"/>
      <c r="Y26" s="125"/>
      <c r="Z26" s="127"/>
      <c r="AA26" s="127"/>
      <c r="AB26" s="127"/>
      <c r="AC26" s="127"/>
      <c r="AD26" s="3"/>
      <c r="AE26" s="121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3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112" t="s">
        <v>63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4"/>
      <c r="AD28" s="3"/>
      <c r="AE28" s="117" t="s">
        <v>61</v>
      </c>
      <c r="AF28" s="117"/>
      <c r="AG28" s="117"/>
      <c r="AH28" s="117"/>
      <c r="AI28" s="117" t="s">
        <v>57</v>
      </c>
      <c r="AJ28" s="117"/>
      <c r="AK28" s="117" t="s">
        <v>58</v>
      </c>
      <c r="AL28" s="117"/>
      <c r="AM28" s="117"/>
      <c r="AN28" s="117" t="s">
        <v>59</v>
      </c>
      <c r="AO28" s="117"/>
      <c r="AP28" s="117" t="s">
        <v>60</v>
      </c>
      <c r="AQ28" s="117"/>
      <c r="AR28" s="117" t="s">
        <v>32</v>
      </c>
      <c r="AS28" s="117"/>
      <c r="AT28" s="117"/>
      <c r="AU28" s="117"/>
      <c r="AV28" s="3"/>
      <c r="AW28" s="8" t="s">
        <v>178</v>
      </c>
      <c r="AX28" s="8"/>
    </row>
    <row r="29" spans="1:50" ht="18" customHeight="1">
      <c r="A29" s="3"/>
      <c r="B29" s="117" t="s">
        <v>39</v>
      </c>
      <c r="C29" s="117"/>
      <c r="D29" s="117"/>
      <c r="E29" s="106" t="s">
        <v>72</v>
      </c>
      <c r="F29" s="107"/>
      <c r="G29" s="107"/>
      <c r="H29" s="107"/>
      <c r="I29" s="106" t="s">
        <v>73</v>
      </c>
      <c r="J29" s="107"/>
      <c r="K29" s="107"/>
      <c r="L29" s="107"/>
      <c r="M29" s="107"/>
      <c r="N29" s="106" t="s">
        <v>74</v>
      </c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8"/>
      <c r="Z29" s="107" t="s">
        <v>208</v>
      </c>
      <c r="AA29" s="107"/>
      <c r="AB29" s="107"/>
      <c r="AC29" s="108"/>
      <c r="AD29" s="3"/>
      <c r="AE29" s="117" t="s">
        <v>62</v>
      </c>
      <c r="AF29" s="117"/>
      <c r="AG29" s="100"/>
      <c r="AH29" s="100"/>
      <c r="AI29" s="100"/>
      <c r="AJ29" s="100"/>
      <c r="AK29" s="100"/>
      <c r="AL29" s="100"/>
      <c r="AM29" s="100"/>
      <c r="AN29" s="100"/>
      <c r="AO29" s="100"/>
      <c r="AP29" s="119" t="str">
        <f>IF(AG29="","",(CHOOSE(AG29,(AG$23+15)/(AG$22+15),(AG$24+15)/(AG$23+15),(AG$25+15)/(AG$24+15))))</f>
        <v/>
      </c>
      <c r="AQ29" s="119"/>
      <c r="AR29" s="118" t="str">
        <f>IF(AG29="","",((AI29+460)*(AP29^0.206))-460)</f>
        <v/>
      </c>
      <c r="AS29" s="118"/>
      <c r="AT29" s="118"/>
      <c r="AU29" s="11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1"/>
      <c r="C30" s="111"/>
      <c r="D30" s="111"/>
      <c r="E30" s="115"/>
      <c r="F30" s="116"/>
      <c r="G30" s="116"/>
      <c r="H30" s="116"/>
      <c r="I30" s="100"/>
      <c r="J30" s="100"/>
      <c r="K30" s="100"/>
      <c r="L30" s="100"/>
      <c r="M30" s="100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9"/>
      <c r="Z30" s="100"/>
      <c r="AA30" s="100"/>
      <c r="AB30" s="100"/>
      <c r="AC30" s="100"/>
      <c r="AD30" s="3"/>
      <c r="AE30" s="117" t="s">
        <v>62</v>
      </c>
      <c r="AF30" s="117"/>
      <c r="AG30" s="100"/>
      <c r="AH30" s="100"/>
      <c r="AI30" s="100"/>
      <c r="AJ30" s="100"/>
      <c r="AK30" s="100"/>
      <c r="AL30" s="100"/>
      <c r="AM30" s="100"/>
      <c r="AN30" s="100"/>
      <c r="AO30" s="100"/>
      <c r="AP30" s="119" t="str">
        <f t="shared" ref="AP30:AP32" si="1">IF(AG30="","",(CHOOSE(AG30,(AG$23+15)/(AG$22+15),(AG$24+15)/(AG$23+15),(AG$25+15)/(AG$24+15))))</f>
        <v/>
      </c>
      <c r="AQ30" s="119"/>
      <c r="AR30" s="118" t="str">
        <f t="shared" ref="AR30:AR32" si="2">IF(AG30="","",((AI30+460)*(AP30^0.206))-460)</f>
        <v/>
      </c>
      <c r="AS30" s="118"/>
      <c r="AT30" s="118"/>
      <c r="AU30" s="118"/>
      <c r="AV30" s="3"/>
      <c r="AW30" s="8" t="s">
        <v>179</v>
      </c>
      <c r="AX30" s="8"/>
    </row>
    <row r="31" spans="1:50" ht="18" customHeight="1">
      <c r="A31" s="3"/>
      <c r="B31" s="111"/>
      <c r="C31" s="111"/>
      <c r="D31" s="111"/>
      <c r="E31" s="115"/>
      <c r="F31" s="116"/>
      <c r="G31" s="116"/>
      <c r="H31" s="116"/>
      <c r="I31" s="100"/>
      <c r="J31" s="100"/>
      <c r="K31" s="100"/>
      <c r="L31" s="100"/>
      <c r="M31" s="100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9"/>
      <c r="Z31" s="100"/>
      <c r="AA31" s="100"/>
      <c r="AB31" s="100"/>
      <c r="AC31" s="100"/>
      <c r="AD31" s="3"/>
      <c r="AE31" s="117" t="s">
        <v>62</v>
      </c>
      <c r="AF31" s="117"/>
      <c r="AG31" s="100"/>
      <c r="AH31" s="100"/>
      <c r="AI31" s="100"/>
      <c r="AJ31" s="100"/>
      <c r="AK31" s="100"/>
      <c r="AL31" s="100"/>
      <c r="AM31" s="100"/>
      <c r="AN31" s="100"/>
      <c r="AO31" s="100"/>
      <c r="AP31" s="119" t="str">
        <f t="shared" si="1"/>
        <v/>
      </c>
      <c r="AQ31" s="119"/>
      <c r="AR31" s="118" t="str">
        <f t="shared" si="2"/>
        <v/>
      </c>
      <c r="AS31" s="118"/>
      <c r="AT31" s="118"/>
      <c r="AU31" s="118"/>
      <c r="AV31" s="3"/>
      <c r="AW31" s="8" t="s">
        <v>205</v>
      </c>
      <c r="AX31" s="8">
        <f>IF($AX$19="Personal/Time Off",$AX$22,0)</f>
        <v>0</v>
      </c>
    </row>
    <row r="32" spans="1:50" ht="18" customHeight="1">
      <c r="A32" s="3"/>
      <c r="B32" s="111"/>
      <c r="C32" s="111"/>
      <c r="D32" s="111"/>
      <c r="E32" s="115"/>
      <c r="F32" s="116"/>
      <c r="G32" s="116"/>
      <c r="H32" s="116"/>
      <c r="I32" s="100"/>
      <c r="J32" s="100"/>
      <c r="K32" s="100"/>
      <c r="L32" s="100"/>
      <c r="M32" s="100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9"/>
      <c r="Z32" s="100"/>
      <c r="AA32" s="100"/>
      <c r="AB32" s="100"/>
      <c r="AC32" s="100"/>
      <c r="AD32" s="3"/>
      <c r="AE32" s="117" t="s">
        <v>62</v>
      </c>
      <c r="AF32" s="117"/>
      <c r="AG32" s="100"/>
      <c r="AH32" s="100"/>
      <c r="AI32" s="100"/>
      <c r="AJ32" s="100"/>
      <c r="AK32" s="100"/>
      <c r="AL32" s="100"/>
      <c r="AM32" s="100"/>
      <c r="AN32" s="100"/>
      <c r="AO32" s="100"/>
      <c r="AP32" s="119" t="str">
        <f t="shared" si="1"/>
        <v/>
      </c>
      <c r="AQ32" s="119"/>
      <c r="AR32" s="118" t="str">
        <f t="shared" si="2"/>
        <v/>
      </c>
      <c r="AS32" s="118"/>
      <c r="AT32" s="118"/>
      <c r="AU32" s="118"/>
      <c r="AV32" s="3"/>
      <c r="AW32" s="8" t="s">
        <v>180</v>
      </c>
      <c r="AX32" s="8"/>
    </row>
    <row r="33" spans="1:50" ht="18" customHeight="1">
      <c r="A33" s="3"/>
      <c r="B33" s="111"/>
      <c r="C33" s="111"/>
      <c r="D33" s="111"/>
      <c r="E33" s="115"/>
      <c r="F33" s="116"/>
      <c r="G33" s="116"/>
      <c r="H33" s="116"/>
      <c r="I33" s="100"/>
      <c r="J33" s="100"/>
      <c r="K33" s="100"/>
      <c r="L33" s="100"/>
      <c r="M33" s="100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9"/>
      <c r="Z33" s="100"/>
      <c r="AA33" s="100"/>
      <c r="AB33" s="100"/>
      <c r="AC33" s="100"/>
      <c r="AD33" s="3"/>
      <c r="AE33" s="117" t="s">
        <v>64</v>
      </c>
      <c r="AF33" s="117"/>
      <c r="AG33" s="117"/>
      <c r="AH33" s="117"/>
      <c r="AI33" s="117"/>
      <c r="AJ33" s="117" t="s">
        <v>65</v>
      </c>
      <c r="AK33" s="117"/>
      <c r="AL33" s="117"/>
      <c r="AM33" s="117" t="s">
        <v>59</v>
      </c>
      <c r="AN33" s="117"/>
      <c r="AO33" s="117"/>
      <c r="AP33" s="117" t="s">
        <v>66</v>
      </c>
      <c r="AQ33" s="117"/>
      <c r="AR33" s="117"/>
      <c r="AS33" s="117" t="s">
        <v>59</v>
      </c>
      <c r="AT33" s="117"/>
      <c r="AU33" s="117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1"/>
      <c r="C34" s="111"/>
      <c r="D34" s="111"/>
      <c r="E34" s="115"/>
      <c r="F34" s="116"/>
      <c r="G34" s="116"/>
      <c r="H34" s="116"/>
      <c r="I34" s="100"/>
      <c r="J34" s="100"/>
      <c r="K34" s="100"/>
      <c r="L34" s="100"/>
      <c r="M34" s="100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9"/>
      <c r="Z34" s="100"/>
      <c r="AA34" s="100"/>
      <c r="AB34" s="100"/>
      <c r="AC34" s="100"/>
      <c r="AD34" s="3"/>
      <c r="AE34" s="117" t="s">
        <v>67</v>
      </c>
      <c r="AF34" s="117"/>
      <c r="AG34" s="117"/>
      <c r="AH34" s="117"/>
      <c r="AI34" s="117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3"/>
      <c r="AW34" s="8" t="s">
        <v>181</v>
      </c>
      <c r="AX34" s="8"/>
    </row>
    <row r="35" spans="1:50" ht="18" customHeight="1">
      <c r="A35" s="3"/>
      <c r="B35" s="111"/>
      <c r="C35" s="111"/>
      <c r="D35" s="111"/>
      <c r="E35" s="115"/>
      <c r="F35" s="116"/>
      <c r="G35" s="116"/>
      <c r="H35" s="116"/>
      <c r="I35" s="100"/>
      <c r="J35" s="100"/>
      <c r="K35" s="100"/>
      <c r="L35" s="100"/>
      <c r="M35" s="100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9"/>
      <c r="Z35" s="100"/>
      <c r="AA35" s="100"/>
      <c r="AB35" s="100"/>
      <c r="AC35" s="100"/>
      <c r="AD35" s="3"/>
      <c r="AE35" s="117" t="s">
        <v>68</v>
      </c>
      <c r="AF35" s="117" t="s">
        <v>33</v>
      </c>
      <c r="AG35" s="117"/>
      <c r="AH35" s="117"/>
      <c r="AI35" s="117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3"/>
      <c r="AW35" s="8" t="s">
        <v>182</v>
      </c>
      <c r="AX35" s="8">
        <f>IF($AX$19="Personal/Time Off",$AX$22,0)</f>
        <v>0</v>
      </c>
    </row>
    <row r="36" spans="1:50" ht="18" customHeight="1">
      <c r="A36" s="3"/>
      <c r="B36" s="111"/>
      <c r="C36" s="111"/>
      <c r="D36" s="111"/>
      <c r="E36" s="115"/>
      <c r="F36" s="116"/>
      <c r="G36" s="116"/>
      <c r="H36" s="116"/>
      <c r="I36" s="100"/>
      <c r="J36" s="100"/>
      <c r="K36" s="100"/>
      <c r="L36" s="100"/>
      <c r="M36" s="100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9"/>
      <c r="Z36" s="100"/>
      <c r="AA36" s="100"/>
      <c r="AB36" s="100"/>
      <c r="AC36" s="100"/>
      <c r="AD36" s="3"/>
      <c r="AE36" s="117" t="s">
        <v>69</v>
      </c>
      <c r="AF36" s="117" t="s">
        <v>34</v>
      </c>
      <c r="AG36" s="117"/>
      <c r="AH36" s="117"/>
      <c r="AI36" s="117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3"/>
      <c r="AW36" s="8" t="s">
        <v>183</v>
      </c>
      <c r="AX36" s="8"/>
    </row>
    <row r="37" spans="1:50" ht="18" customHeight="1">
      <c r="A37" s="3"/>
      <c r="B37" s="111"/>
      <c r="C37" s="111"/>
      <c r="D37" s="111"/>
      <c r="E37" s="115"/>
      <c r="F37" s="116"/>
      <c r="G37" s="116"/>
      <c r="H37" s="116"/>
      <c r="I37" s="100"/>
      <c r="J37" s="100"/>
      <c r="K37" s="100"/>
      <c r="L37" s="100"/>
      <c r="M37" s="100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9"/>
      <c r="Z37" s="100"/>
      <c r="AA37" s="100"/>
      <c r="AB37" s="100"/>
      <c r="AC37" s="100"/>
      <c r="AD37" s="3"/>
      <c r="AE37" s="117" t="s">
        <v>70</v>
      </c>
      <c r="AF37" s="117" t="s">
        <v>35</v>
      </c>
      <c r="AG37" s="117"/>
      <c r="AH37" s="117"/>
      <c r="AI37" s="117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1"/>
      <c r="C38" s="111"/>
      <c r="D38" s="111"/>
      <c r="E38" s="115"/>
      <c r="F38" s="116"/>
      <c r="G38" s="116"/>
      <c r="H38" s="116"/>
      <c r="I38" s="100"/>
      <c r="J38" s="100"/>
      <c r="K38" s="100"/>
      <c r="L38" s="100"/>
      <c r="M38" s="100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4"/>
      <c r="Z38" s="100"/>
      <c r="AA38" s="100"/>
      <c r="AB38" s="100"/>
      <c r="AC38" s="100"/>
      <c r="AD38" s="3"/>
      <c r="AE38" s="117" t="s">
        <v>71</v>
      </c>
      <c r="AF38" s="117" t="s">
        <v>36</v>
      </c>
      <c r="AG38" s="117"/>
      <c r="AH38" s="117"/>
      <c r="AI38" s="117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3"/>
      <c r="AW38" s="8" t="s">
        <v>206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112" t="s">
        <v>75</v>
      </c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4"/>
      <c r="AV40" s="3"/>
      <c r="AW40" s="8" t="s">
        <v>207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80" t="s">
        <v>76</v>
      </c>
      <c r="C42" s="81"/>
      <c r="D42" s="81"/>
      <c r="E42" s="81"/>
      <c r="F42" s="81"/>
      <c r="G42" s="81"/>
      <c r="H42" s="82"/>
      <c r="I42" s="74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6"/>
      <c r="AV42" s="3"/>
      <c r="AW42" s="8" t="s">
        <v>299</v>
      </c>
      <c r="AX42" s="8">
        <f>WEEKDAY($AX$17)</f>
        <v>7</v>
      </c>
    </row>
    <row r="43" spans="1:50" ht="18" customHeight="1">
      <c r="A43" s="3"/>
      <c r="B43" s="83"/>
      <c r="C43" s="84"/>
      <c r="D43" s="84"/>
      <c r="E43" s="84"/>
      <c r="F43" s="84"/>
      <c r="G43" s="84"/>
      <c r="H43" s="85"/>
      <c r="I43" s="77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9"/>
      <c r="AV43" s="3"/>
      <c r="AW43" s="8" t="s">
        <v>300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80" t="s">
        <v>77</v>
      </c>
      <c r="C45" s="81"/>
      <c r="D45" s="81"/>
      <c r="E45" s="81"/>
      <c r="F45" s="81"/>
      <c r="G45" s="81"/>
      <c r="H45" s="82"/>
      <c r="I45" s="74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6"/>
      <c r="AV45" s="3"/>
      <c r="AW45" s="8"/>
      <c r="AX45" s="8"/>
    </row>
    <row r="46" spans="1:50" ht="18" customHeight="1">
      <c r="A46" s="3"/>
      <c r="B46" s="83"/>
      <c r="C46" s="84"/>
      <c r="D46" s="84"/>
      <c r="E46" s="84"/>
      <c r="F46" s="84"/>
      <c r="G46" s="84"/>
      <c r="H46" s="85"/>
      <c r="I46" s="77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9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80" t="s">
        <v>78</v>
      </c>
      <c r="C48" s="81"/>
      <c r="D48" s="81"/>
      <c r="E48" s="81"/>
      <c r="F48" s="81"/>
      <c r="G48" s="81"/>
      <c r="H48" s="82"/>
      <c r="I48" s="86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8"/>
      <c r="AV48" s="3"/>
      <c r="AW48" s="8"/>
      <c r="AX48" s="8"/>
    </row>
    <row r="49" spans="1:50" ht="18" customHeight="1">
      <c r="A49" s="3"/>
      <c r="B49" s="95"/>
      <c r="C49" s="96"/>
      <c r="D49" s="96"/>
      <c r="E49" s="96"/>
      <c r="F49" s="96"/>
      <c r="G49" s="96"/>
      <c r="H49" s="97"/>
      <c r="I49" s="89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90"/>
      <c r="AT49" s="90"/>
      <c r="AU49" s="91"/>
      <c r="AV49" s="3"/>
      <c r="AW49" s="8"/>
      <c r="AX49" s="8"/>
    </row>
    <row r="50" spans="1:50" ht="18" customHeight="1">
      <c r="A50" s="3"/>
      <c r="B50" s="95"/>
      <c r="C50" s="96"/>
      <c r="D50" s="96"/>
      <c r="E50" s="96"/>
      <c r="F50" s="96"/>
      <c r="G50" s="96"/>
      <c r="H50" s="97"/>
      <c r="I50" s="89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  <c r="AT50" s="90"/>
      <c r="AU50" s="91"/>
      <c r="AV50" s="3"/>
      <c r="AW50" s="8"/>
      <c r="AX50" s="8"/>
    </row>
    <row r="51" spans="1:50" ht="18" customHeight="1">
      <c r="A51" s="3"/>
      <c r="B51" s="95"/>
      <c r="C51" s="96"/>
      <c r="D51" s="96"/>
      <c r="E51" s="96"/>
      <c r="F51" s="96"/>
      <c r="G51" s="96"/>
      <c r="H51" s="97"/>
      <c r="I51" s="89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90"/>
      <c r="AT51" s="90"/>
      <c r="AU51" s="91"/>
      <c r="AV51" s="3"/>
      <c r="AW51" s="8">
        <f>IF(IF(Clear4="Rate Per Mile (Weekly)",1,0),IFERROR(INDEX('Rate Matrix'!$C$2:$X$78,MATCH(Mandatory1,'Rate Matrix'!$B$2:$B$78,0),MATCH("Rate Per Mile (Weekly)",'Rate Matrix'!$C$1:$X$1,0)),0),IFERROR(INDEX('Rate Matrix'!$C$2:$X$78,MATCH(Mandatory1,'Rate Matrix'!$B$2:$B$78,0),MATCH("Rate Per Mile",'Rate Matrix'!$C$1:$X$1,0)),0))</f>
        <v>2.25</v>
      </c>
      <c r="AX51" s="8"/>
    </row>
    <row r="52" spans="1:50" ht="18" customHeight="1">
      <c r="A52" s="3"/>
      <c r="B52" s="95"/>
      <c r="C52" s="96"/>
      <c r="D52" s="96"/>
      <c r="E52" s="96"/>
      <c r="F52" s="96"/>
      <c r="G52" s="96"/>
      <c r="H52" s="97"/>
      <c r="I52" s="89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0"/>
      <c r="AS52" s="90"/>
      <c r="AT52" s="90"/>
      <c r="AU52" s="91"/>
      <c r="AV52" s="3"/>
      <c r="AW52" s="8"/>
      <c r="AX52" s="8"/>
    </row>
    <row r="53" spans="1:50" ht="18" customHeight="1">
      <c r="A53" s="3"/>
      <c r="B53" s="95"/>
      <c r="C53" s="96"/>
      <c r="D53" s="96"/>
      <c r="E53" s="96"/>
      <c r="F53" s="96"/>
      <c r="G53" s="96"/>
      <c r="H53" s="97"/>
      <c r="I53" s="89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1"/>
      <c r="AV53" s="3"/>
      <c r="AW53" s="8"/>
      <c r="AX53" s="8"/>
    </row>
    <row r="54" spans="1:50" ht="18" customHeight="1">
      <c r="A54" s="3"/>
      <c r="B54" s="95"/>
      <c r="C54" s="96"/>
      <c r="D54" s="96"/>
      <c r="E54" s="96"/>
      <c r="F54" s="96"/>
      <c r="G54" s="96"/>
      <c r="H54" s="97"/>
      <c r="I54" s="89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0"/>
      <c r="AS54" s="90"/>
      <c r="AT54" s="90"/>
      <c r="AU54" s="91"/>
      <c r="AV54" s="3"/>
      <c r="AW54" s="8"/>
      <c r="AX54" s="8"/>
    </row>
    <row r="55" spans="1:50" ht="18" customHeight="1">
      <c r="A55" s="3"/>
      <c r="B55" s="95"/>
      <c r="C55" s="96"/>
      <c r="D55" s="96"/>
      <c r="E55" s="96"/>
      <c r="F55" s="96"/>
      <c r="G55" s="96"/>
      <c r="H55" s="97"/>
      <c r="I55" s="89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  <c r="AT55" s="90"/>
      <c r="AU55" s="91"/>
      <c r="AV55" s="3"/>
      <c r="AW55" s="8"/>
      <c r="AX55" s="8"/>
    </row>
    <row r="56" spans="1:50" ht="18" customHeight="1">
      <c r="A56" s="3"/>
      <c r="B56" s="95"/>
      <c r="C56" s="96"/>
      <c r="D56" s="96"/>
      <c r="E56" s="96"/>
      <c r="F56" s="96"/>
      <c r="G56" s="96"/>
      <c r="H56" s="97"/>
      <c r="I56" s="89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1"/>
      <c r="AV56" s="3"/>
      <c r="AW56" s="8"/>
      <c r="AX56" s="8"/>
    </row>
    <row r="57" spans="1:50" ht="5.0999999999999996" customHeight="1">
      <c r="A57" s="3"/>
      <c r="B57" s="95"/>
      <c r="C57" s="96"/>
      <c r="D57" s="96"/>
      <c r="E57" s="96"/>
      <c r="F57" s="96"/>
      <c r="G57" s="96"/>
      <c r="H57" s="97"/>
      <c r="I57" s="89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1"/>
      <c r="AV57" s="3"/>
      <c r="AW57" s="8"/>
      <c r="AX57" s="8"/>
    </row>
    <row r="58" spans="1:50" ht="18" customHeight="1">
      <c r="A58" s="3"/>
      <c r="B58" s="95"/>
      <c r="C58" s="96"/>
      <c r="D58" s="96"/>
      <c r="E58" s="96"/>
      <c r="F58" s="96"/>
      <c r="G58" s="96"/>
      <c r="H58" s="97"/>
      <c r="I58" s="89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/>
      <c r="AQ58" s="90"/>
      <c r="AR58" s="90"/>
      <c r="AS58" s="90"/>
      <c r="AT58" s="90"/>
      <c r="AU58" s="91"/>
      <c r="AV58" s="6"/>
      <c r="AW58" s="9"/>
      <c r="AX58" s="8"/>
    </row>
    <row r="59" spans="1:50" ht="18" customHeight="1">
      <c r="A59" s="3"/>
      <c r="B59" s="83"/>
      <c r="C59" s="84"/>
      <c r="D59" s="84"/>
      <c r="E59" s="84"/>
      <c r="F59" s="84"/>
      <c r="G59" s="84"/>
      <c r="H59" s="85"/>
      <c r="I59" s="92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4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68" t="s">
        <v>79</v>
      </c>
      <c r="C61" s="69"/>
      <c r="D61" s="69"/>
      <c r="E61" s="69"/>
      <c r="F61" s="69"/>
      <c r="G61" s="69"/>
      <c r="H61" s="70"/>
      <c r="I61" s="74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6"/>
      <c r="AV61" s="3"/>
      <c r="AW61" s="8"/>
      <c r="AX61" s="8"/>
    </row>
    <row r="62" spans="1:50" ht="18" customHeight="1">
      <c r="A62" s="3"/>
      <c r="B62" s="71"/>
      <c r="C62" s="72"/>
      <c r="D62" s="72"/>
      <c r="E62" s="72"/>
      <c r="F62" s="72"/>
      <c r="G62" s="72"/>
      <c r="H62" s="73"/>
      <c r="I62" s="77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9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155" t="s">
        <v>209</v>
      </c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26"/>
      <c r="N64" s="126"/>
      <c r="O64" s="126"/>
      <c r="P64" s="126"/>
      <c r="Q64" s="126"/>
      <c r="R64" s="126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8"/>
      <c r="AF64" s="109" t="s">
        <v>168</v>
      </c>
      <c r="AG64" s="109"/>
      <c r="AH64" s="109"/>
      <c r="AI64" s="109"/>
      <c r="AJ64" s="109"/>
      <c r="AK64" s="109"/>
      <c r="AL64" s="110" t="s">
        <v>40</v>
      </c>
      <c r="AM64" s="110"/>
      <c r="AN64" s="110"/>
      <c r="AO64" s="110"/>
      <c r="AP64" s="111"/>
      <c r="AQ64" s="111"/>
      <c r="AR64" s="111"/>
      <c r="AS64" s="105" t="s">
        <v>41</v>
      </c>
      <c r="AT64" s="105"/>
      <c r="AU64" s="105"/>
      <c r="AV64" s="3"/>
      <c r="AW64" s="8"/>
      <c r="AX64" s="8"/>
    </row>
    <row r="65" spans="1:50" ht="18" customHeight="1">
      <c r="A65" s="3"/>
      <c r="B65" s="153" t="s">
        <v>210</v>
      </c>
      <c r="C65" s="154"/>
      <c r="D65" s="154"/>
      <c r="E65" s="154"/>
      <c r="F65" s="154"/>
      <c r="G65" s="154"/>
      <c r="H65" s="154"/>
      <c r="I65" s="154"/>
      <c r="J65" s="154"/>
      <c r="K65" s="154"/>
      <c r="L65" s="154"/>
      <c r="M65" s="126"/>
      <c r="N65" s="126"/>
      <c r="O65" s="126"/>
      <c r="P65" s="126"/>
      <c r="Q65" s="126"/>
      <c r="R65" s="126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40"/>
      <c r="AF65" s="109"/>
      <c r="AG65" s="109"/>
      <c r="AH65" s="109"/>
      <c r="AI65" s="109"/>
      <c r="AJ65" s="109"/>
      <c r="AK65" s="109"/>
      <c r="AL65" s="110" t="s">
        <v>42</v>
      </c>
      <c r="AM65" s="110"/>
      <c r="AN65" s="110"/>
      <c r="AO65" s="110"/>
      <c r="AP65" s="111"/>
      <c r="AQ65" s="111"/>
      <c r="AR65" s="111"/>
      <c r="AS65" s="105" t="s">
        <v>41</v>
      </c>
      <c r="AT65" s="105"/>
      <c r="AU65" s="105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124" t="s">
        <v>80</v>
      </c>
      <c r="C67" s="125"/>
      <c r="D67" s="125"/>
      <c r="E67" s="125"/>
      <c r="F67" s="125"/>
      <c r="G67" s="143"/>
      <c r="H67" s="115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50"/>
      <c r="X67" s="3"/>
      <c r="Y67" s="106" t="s">
        <v>211</v>
      </c>
      <c r="Z67" s="107"/>
      <c r="AA67" s="107"/>
      <c r="AB67" s="107"/>
      <c r="AC67" s="107"/>
      <c r="AD67" s="107"/>
      <c r="AE67" s="108"/>
      <c r="AF67" s="102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4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6" t="s">
        <v>212</v>
      </c>
      <c r="Z69" s="107"/>
      <c r="AA69" s="107"/>
      <c r="AB69" s="107"/>
      <c r="AC69" s="107"/>
      <c r="AD69" s="107"/>
      <c r="AE69" s="108"/>
      <c r="AF69" s="102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4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S13"/>
  <sheetViews>
    <sheetView showGridLines="0" workbookViewId="0">
      <selection activeCell="E8" sqref="E8"/>
    </sheetView>
  </sheetViews>
  <sheetFormatPr defaultRowHeight="15"/>
  <cols>
    <col min="1" max="1" width="2.85546875" style="58" customWidth="1"/>
    <col min="2" max="4" width="9.140625" style="58"/>
    <col min="5" max="5" width="12" style="58" bestFit="1" customWidth="1"/>
    <col min="6" max="8" width="9.140625" style="58"/>
    <col min="9" max="9" width="15.7109375" style="58" bestFit="1" customWidth="1"/>
    <col min="10" max="10" width="9.140625" style="58"/>
    <col min="11" max="11" width="16.7109375" style="58" bestFit="1" customWidth="1"/>
    <col min="12" max="16384" width="9.140625" style="58"/>
  </cols>
  <sheetData>
    <row r="2" spans="2:19">
      <c r="B2" s="56" t="s">
        <v>13</v>
      </c>
      <c r="C2" s="56"/>
      <c r="D2" s="56"/>
      <c r="E2" s="56" t="s">
        <v>14</v>
      </c>
      <c r="F2" s="56"/>
      <c r="G2" s="57"/>
      <c r="I2" s="57" t="s">
        <v>316</v>
      </c>
      <c r="K2" s="166" t="s">
        <v>303</v>
      </c>
      <c r="L2" s="166"/>
      <c r="M2" s="166"/>
      <c r="N2" s="166" t="s">
        <v>304</v>
      </c>
      <c r="O2" s="166"/>
      <c r="P2" s="166"/>
      <c r="Q2" s="166" t="s">
        <v>317</v>
      </c>
      <c r="R2" s="166"/>
      <c r="S2" s="166"/>
    </row>
    <row r="3" spans="2:19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59">
        <f t="shared" ref="I3:I4" si="0">IFERROR((E3-B3)*24,0)</f>
        <v>0</v>
      </c>
      <c r="K3" s="167">
        <v>42370.208333333285</v>
      </c>
      <c r="L3" s="168"/>
      <c r="M3" s="169"/>
      <c r="N3" s="167">
        <v>42370.708333333168</v>
      </c>
      <c r="O3" s="168"/>
      <c r="P3" s="169"/>
      <c r="Q3" s="170">
        <v>8</v>
      </c>
      <c r="R3" s="171"/>
      <c r="S3" s="172"/>
    </row>
    <row r="4" spans="2:19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  <c r="I4" s="59">
        <f t="shared" si="0"/>
        <v>0</v>
      </c>
    </row>
    <row r="5" spans="2:19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  <c r="I5" s="59">
        <f>IFERROR((E5-B5)*24,0)</f>
        <v>0</v>
      </c>
    </row>
    <row r="6" spans="2:19">
      <c r="I6" s="60">
        <f>SUM(I3:I5)</f>
        <v>0</v>
      </c>
    </row>
    <row r="7" spans="2:19">
      <c r="B7" s="56" t="s">
        <v>12</v>
      </c>
      <c r="C7" s="61"/>
      <c r="D7" s="62"/>
      <c r="E7" s="57" t="s">
        <v>306</v>
      </c>
      <c r="F7" s="57" t="s">
        <v>306</v>
      </c>
      <c r="G7" s="57" t="s">
        <v>306</v>
      </c>
    </row>
    <row r="8" spans="2:19">
      <c r="B8" s="63" t="s">
        <v>305</v>
      </c>
      <c r="C8" s="64"/>
      <c r="D8" s="65"/>
      <c r="E8" s="53">
        <f>IFERROR((IF($B$3&lt;$K$3,MIN($K$3,$E$3)-$B$3,0) + IF($E$3&gt;$N$3,$E$3-MAX($N$3,$B$3),0))*24,0)</f>
        <v>0</v>
      </c>
      <c r="F8" s="53">
        <f>IFERROR((IF($B$4&lt;$K$3,MIN($K$3,$E$4)-$B$4,0) + IF($E$4&gt;$N$3,$E$4-MAX($N$3,$B$4),0))*24,0)</f>
        <v>0</v>
      </c>
      <c r="G8" s="53">
        <f>IFERROR((IF($B$5&lt;$K$3,MIN($K$3,$E$5)-$B$5,0) + IF($E$5&gt;$N$3,$E$5-MAX($N$3,$B$5),0))*24,0)</f>
        <v>0</v>
      </c>
      <c r="I8" s="57" t="s">
        <v>318</v>
      </c>
      <c r="K8" s="66" t="s">
        <v>319</v>
      </c>
      <c r="L8" s="66" t="s">
        <v>320</v>
      </c>
      <c r="M8" s="66" t="s">
        <v>321</v>
      </c>
    </row>
    <row r="9" spans="2:19">
      <c r="B9" s="63" t="s">
        <v>302</v>
      </c>
      <c r="C9" s="64"/>
      <c r="D9" s="65"/>
      <c r="E9" s="53">
        <f>M9</f>
        <v>0</v>
      </c>
      <c r="F9" s="53">
        <f>M10</f>
        <v>0</v>
      </c>
      <c r="G9" s="53">
        <f>M11</f>
        <v>0</v>
      </c>
      <c r="I9" s="60">
        <f>MAX(0,(I6-$Q$3)-SUM($E$8:$G$8))</f>
        <v>0</v>
      </c>
      <c r="K9" s="67">
        <f>MAX(0,$Q$3-SUM($I3:$I$3))</f>
        <v>8</v>
      </c>
      <c r="L9" s="67">
        <f>I9</f>
        <v>0</v>
      </c>
      <c r="M9" s="67">
        <f>IF($K9&gt;0,0,$L$9)</f>
        <v>0</v>
      </c>
    </row>
    <row r="10" spans="2:19">
      <c r="B10" s="63" t="s">
        <v>301</v>
      </c>
      <c r="C10" s="64"/>
      <c r="D10" s="65"/>
      <c r="E10" s="53">
        <f ca="1">IF(Output!$AX$43,IFERROR(($E$3-$B$3)*24-SUM($E$8:$E$9),0),0)</f>
        <v>0</v>
      </c>
      <c r="F10" s="53">
        <f ca="1">IF(Output!$AX$43,IFERROR(($E$4-$B$4)*24-SUM($F$8:$F$9),0),0)</f>
        <v>0</v>
      </c>
      <c r="G10" s="53">
        <f ca="1">IF(Output!$AX$43,IFERROR(($E$5-$B$5)*24-SUM($G$8:$G$9),0),0)</f>
        <v>0</v>
      </c>
      <c r="K10" s="67">
        <f>MAX(0,$Q$3-SUM($I$3:$I4))</f>
        <v>8</v>
      </c>
      <c r="L10" s="67">
        <f>L9-M9</f>
        <v>0</v>
      </c>
      <c r="M10" s="67">
        <f>IF($K10&gt;0,0,$L$10)</f>
        <v>0</v>
      </c>
    </row>
    <row r="11" spans="2:19">
      <c r="B11" s="56" t="s">
        <v>307</v>
      </c>
      <c r="C11" s="61"/>
      <c r="D11" s="62"/>
      <c r="E11" s="54">
        <f ca="1">SUM(E8:E10)</f>
        <v>0</v>
      </c>
      <c r="F11" s="54">
        <f ca="1">SUM(F8:F10)</f>
        <v>0</v>
      </c>
      <c r="G11" s="54">
        <f ca="1">SUM(G8:G10)</f>
        <v>0</v>
      </c>
      <c r="K11" s="67">
        <f>MAX(0,$Q$3-SUM($I$3:$I5))</f>
        <v>8</v>
      </c>
      <c r="L11" s="67">
        <f>L10-M10</f>
        <v>0</v>
      </c>
      <c r="M11" s="67">
        <f>IF($K11&gt;0,0,$L$11)</f>
        <v>0</v>
      </c>
    </row>
    <row r="12" spans="2:19">
      <c r="B12" s="56" t="s">
        <v>308</v>
      </c>
      <c r="C12" s="61"/>
      <c r="D12" s="62"/>
      <c r="E12" s="54">
        <f ca="1">E13-E11</f>
        <v>0</v>
      </c>
      <c r="F12" s="54">
        <f ca="1">F13-F11</f>
        <v>0</v>
      </c>
      <c r="G12" s="54">
        <f ca="1">G13-G11</f>
        <v>0</v>
      </c>
    </row>
    <row r="13" spans="2:19">
      <c r="B13" s="56" t="s">
        <v>309</v>
      </c>
      <c r="C13" s="61"/>
      <c r="D13" s="62"/>
      <c r="E13" s="54">
        <f>IFERROR(($E$3-$B$3)*24,0)</f>
        <v>0</v>
      </c>
      <c r="F13" s="54">
        <f>IFERROR(($E$4-$B$4)*24,0)</f>
        <v>0</v>
      </c>
      <c r="G13" s="54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124"/>
  <sheetViews>
    <sheetView topLeftCell="L1" workbookViewId="0">
      <selection activeCell="Z1" sqref="Z1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6" width="15.7109375" style="16" customWidth="1"/>
    <col min="27" max="31" width="0" style="36" hidden="1" customWidth="1"/>
    <col min="32" max="16384" width="9.140625" style="36" hidden="1"/>
  </cols>
  <sheetData>
    <row r="1" spans="1:26" ht="30">
      <c r="A1" s="41" t="s">
        <v>226</v>
      </c>
      <c r="B1" s="41" t="s">
        <v>227</v>
      </c>
      <c r="C1" s="42" t="s">
        <v>86</v>
      </c>
      <c r="D1" s="42" t="s">
        <v>188</v>
      </c>
      <c r="E1" s="42" t="s">
        <v>322</v>
      </c>
      <c r="F1" s="42" t="s">
        <v>189</v>
      </c>
      <c r="G1" s="42" t="s">
        <v>190</v>
      </c>
      <c r="H1" s="42" t="s">
        <v>191</v>
      </c>
      <c r="I1" s="42" t="s">
        <v>192</v>
      </c>
      <c r="J1" s="42" t="s">
        <v>193</v>
      </c>
      <c r="K1" s="42" t="s">
        <v>194</v>
      </c>
      <c r="L1" s="42" t="s">
        <v>195</v>
      </c>
      <c r="M1" s="42" t="s">
        <v>196</v>
      </c>
      <c r="N1" s="42" t="s">
        <v>197</v>
      </c>
      <c r="O1" s="42" t="s">
        <v>198</v>
      </c>
      <c r="P1" s="42" t="s">
        <v>314</v>
      </c>
      <c r="Q1" s="42" t="s">
        <v>199</v>
      </c>
      <c r="R1" s="42" t="s">
        <v>315</v>
      </c>
      <c r="S1" s="42" t="s">
        <v>354</v>
      </c>
      <c r="T1" s="42" t="s">
        <v>200</v>
      </c>
      <c r="U1" s="43" t="s">
        <v>201</v>
      </c>
      <c r="V1" s="42" t="s">
        <v>202</v>
      </c>
      <c r="W1" s="42" t="s">
        <v>187</v>
      </c>
      <c r="X1" s="42" t="s">
        <v>323</v>
      </c>
      <c r="Y1" s="42" t="s">
        <v>364</v>
      </c>
      <c r="Z1" s="42" t="s">
        <v>365</v>
      </c>
    </row>
    <row r="2" spans="1:26">
      <c r="A2" s="44">
        <v>1.5</v>
      </c>
      <c r="B2" s="48" t="s">
        <v>236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17">
        <v>115</v>
      </c>
      <c r="T2" s="33">
        <v>140</v>
      </c>
      <c r="U2" s="17">
        <v>0</v>
      </c>
      <c r="V2" s="33">
        <v>90</v>
      </c>
      <c r="W2" s="17">
        <v>2.25</v>
      </c>
      <c r="X2" s="33">
        <v>0</v>
      </c>
      <c r="Y2" s="17"/>
      <c r="Z2" s="174">
        <f>IF(Clear4='Rate Matrix'!$E$1,'Rate Matrix'!X2,IF(Clear4='Rate Matrix'!$R$1,'Rate Matrix'!Y2,'Rate Matrix'!W2))</f>
        <v>0</v>
      </c>
    </row>
    <row r="3" spans="1:26">
      <c r="A3" s="45">
        <v>1.5</v>
      </c>
      <c r="B3" s="48" t="s">
        <v>324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17">
        <v>115</v>
      </c>
      <c r="T3" s="33">
        <v>130</v>
      </c>
      <c r="U3" s="17">
        <v>0</v>
      </c>
      <c r="V3" s="33">
        <v>90</v>
      </c>
      <c r="W3" s="17">
        <v>2.25</v>
      </c>
      <c r="X3" s="33">
        <v>1.85</v>
      </c>
      <c r="Y3" s="17"/>
      <c r="Z3" s="174">
        <f>IF(Clear4='Rate Matrix'!$E$1,'Rate Matrix'!X3,IF(Clear4='Rate Matrix'!$R$1,'Rate Matrix'!Y3,'Rate Matrix'!W3))</f>
        <v>0</v>
      </c>
    </row>
    <row r="4" spans="1:26">
      <c r="A4" s="44">
        <v>1.5</v>
      </c>
      <c r="B4" s="48" t="s">
        <v>363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17">
        <v>115</v>
      </c>
      <c r="T4" s="33">
        <v>140</v>
      </c>
      <c r="U4" s="17">
        <v>0</v>
      </c>
      <c r="V4" s="33">
        <v>90</v>
      </c>
      <c r="W4" s="17">
        <v>2.25</v>
      </c>
      <c r="X4" s="33">
        <v>0</v>
      </c>
      <c r="Y4" s="17"/>
      <c r="Z4" s="174">
        <f>IF(Clear4='Rate Matrix'!$E$1,'Rate Matrix'!X4,IF(Clear4='Rate Matrix'!$R$1,'Rate Matrix'!Y4,'Rate Matrix'!W4))</f>
        <v>0</v>
      </c>
    </row>
    <row r="5" spans="1:26">
      <c r="A5" s="45">
        <v>1.5</v>
      </c>
      <c r="B5" s="48" t="s">
        <v>237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17">
        <v>115</v>
      </c>
      <c r="T5" s="33">
        <v>140</v>
      </c>
      <c r="U5" s="17">
        <v>0</v>
      </c>
      <c r="V5" s="33">
        <v>90</v>
      </c>
      <c r="W5" s="17">
        <v>2.25</v>
      </c>
      <c r="X5" s="33">
        <v>0</v>
      </c>
      <c r="Y5" s="17"/>
      <c r="Z5" s="174">
        <f>IF(Clear4='Rate Matrix'!$E$1,'Rate Matrix'!X5,IF(Clear4='Rate Matrix'!$R$1,'Rate Matrix'!Y5,'Rate Matrix'!W5))</f>
        <v>0</v>
      </c>
    </row>
    <row r="6" spans="1:26">
      <c r="A6" s="45">
        <v>1.5</v>
      </c>
      <c r="B6" s="48" t="s">
        <v>238</v>
      </c>
      <c r="C6" s="19">
        <v>0</v>
      </c>
      <c r="D6" s="33">
        <v>90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17">
        <v>115</v>
      </c>
      <c r="T6" s="33">
        <v>140</v>
      </c>
      <c r="U6" s="17">
        <v>0</v>
      </c>
      <c r="V6" s="33">
        <v>90</v>
      </c>
      <c r="W6" s="17">
        <v>2.25</v>
      </c>
      <c r="X6" s="33">
        <v>0</v>
      </c>
      <c r="Y6" s="17"/>
      <c r="Z6" s="174">
        <f>IF(Clear4='Rate Matrix'!$E$1,'Rate Matrix'!X6,IF(Clear4='Rate Matrix'!$R$1,'Rate Matrix'!Y6,'Rate Matrix'!W6))</f>
        <v>0</v>
      </c>
    </row>
    <row r="7" spans="1:26">
      <c r="A7" s="45">
        <v>1.5</v>
      </c>
      <c r="B7" s="48" t="s">
        <v>239</v>
      </c>
      <c r="C7" s="19">
        <v>0</v>
      </c>
      <c r="D7" s="33">
        <v>95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17">
        <v>115</v>
      </c>
      <c r="T7" s="33">
        <v>140</v>
      </c>
      <c r="U7" s="17">
        <v>0</v>
      </c>
      <c r="V7" s="33">
        <v>90</v>
      </c>
      <c r="W7" s="17">
        <v>2.75</v>
      </c>
      <c r="X7" s="33">
        <v>0</v>
      </c>
      <c r="Y7" s="17"/>
      <c r="Z7" s="174">
        <f>IF(Clear4='Rate Matrix'!$E$1,'Rate Matrix'!X7,IF(Clear4='Rate Matrix'!$R$1,'Rate Matrix'!Y7,'Rate Matrix'!W7))</f>
        <v>0</v>
      </c>
    </row>
    <row r="8" spans="1:26">
      <c r="A8" s="45">
        <v>1.5</v>
      </c>
      <c r="B8" s="48" t="s">
        <v>359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17">
        <v>115</v>
      </c>
      <c r="T8" s="33">
        <v>140</v>
      </c>
      <c r="U8" s="17">
        <v>0</v>
      </c>
      <c r="V8" s="33">
        <v>90</v>
      </c>
      <c r="W8" s="17">
        <v>2.25</v>
      </c>
      <c r="X8" s="33">
        <v>0</v>
      </c>
      <c r="Y8" s="17"/>
      <c r="Z8" s="174">
        <f>IF(Clear4='Rate Matrix'!$E$1,'Rate Matrix'!X8,IF(Clear4='Rate Matrix'!$R$1,'Rate Matrix'!Y8,'Rate Matrix'!W8))</f>
        <v>0</v>
      </c>
    </row>
    <row r="9" spans="1:26">
      <c r="A9" s="45">
        <v>1.5</v>
      </c>
      <c r="B9" s="48" t="s">
        <v>293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17">
        <v>115</v>
      </c>
      <c r="T9" s="33">
        <v>140</v>
      </c>
      <c r="U9" s="17">
        <v>0</v>
      </c>
      <c r="V9" s="33">
        <v>90</v>
      </c>
      <c r="W9" s="17">
        <v>2.25</v>
      </c>
      <c r="X9" s="33">
        <v>0</v>
      </c>
      <c r="Y9" s="17"/>
      <c r="Z9" s="174">
        <f>IF(Clear4='Rate Matrix'!$E$1,'Rate Matrix'!X9,IF(Clear4='Rate Matrix'!$R$1,'Rate Matrix'!Y9,'Rate Matrix'!W9))</f>
        <v>0</v>
      </c>
    </row>
    <row r="10" spans="1:26">
      <c r="A10" s="45">
        <v>1.5</v>
      </c>
      <c r="B10" s="48" t="s">
        <v>240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17">
        <v>115</v>
      </c>
      <c r="T10" s="33">
        <v>140</v>
      </c>
      <c r="U10" s="17">
        <v>0</v>
      </c>
      <c r="V10" s="33">
        <v>90</v>
      </c>
      <c r="W10" s="17">
        <v>2.35</v>
      </c>
      <c r="X10" s="33">
        <v>0</v>
      </c>
      <c r="Y10" s="17"/>
      <c r="Z10" s="174">
        <f>IF(Clear4='Rate Matrix'!$E$1,'Rate Matrix'!X10,IF(Clear4='Rate Matrix'!$R$1,'Rate Matrix'!Y10,'Rate Matrix'!W10))</f>
        <v>0</v>
      </c>
    </row>
    <row r="11" spans="1:26">
      <c r="A11" s="45">
        <v>1.5</v>
      </c>
      <c r="B11" s="48" t="s">
        <v>241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17">
        <v>115</v>
      </c>
      <c r="T11" s="33">
        <v>140</v>
      </c>
      <c r="U11" s="17">
        <v>0</v>
      </c>
      <c r="V11" s="33">
        <v>90</v>
      </c>
      <c r="W11" s="17">
        <v>2.25</v>
      </c>
      <c r="X11" s="33">
        <v>0</v>
      </c>
      <c r="Y11" s="17"/>
      <c r="Z11" s="174">
        <f>IF(Clear4='Rate Matrix'!$E$1,'Rate Matrix'!X11,IF(Clear4='Rate Matrix'!$R$1,'Rate Matrix'!Y11,'Rate Matrix'!W11))</f>
        <v>0</v>
      </c>
    </row>
    <row r="12" spans="1:26">
      <c r="A12" s="45">
        <v>1.5</v>
      </c>
      <c r="B12" s="48" t="s">
        <v>242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17">
        <v>115</v>
      </c>
      <c r="T12" s="33">
        <v>140</v>
      </c>
      <c r="U12" s="17">
        <v>0</v>
      </c>
      <c r="V12" s="33">
        <v>90</v>
      </c>
      <c r="W12" s="17">
        <v>2.25</v>
      </c>
      <c r="X12" s="33">
        <v>0</v>
      </c>
      <c r="Y12" s="17"/>
      <c r="Z12" s="174">
        <f>IF(Clear4='Rate Matrix'!$E$1,'Rate Matrix'!X12,IF(Clear4='Rate Matrix'!$R$1,'Rate Matrix'!Y12,'Rate Matrix'!W12))</f>
        <v>0</v>
      </c>
    </row>
    <row r="13" spans="1:26">
      <c r="A13" s="45">
        <v>1.5</v>
      </c>
      <c r="B13" s="48" t="s">
        <v>243</v>
      </c>
      <c r="C13" s="19">
        <v>0</v>
      </c>
      <c r="D13" s="33">
        <v>90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17">
        <v>115</v>
      </c>
      <c r="T13" s="33">
        <v>140</v>
      </c>
      <c r="U13" s="17">
        <v>0</v>
      </c>
      <c r="V13" s="33">
        <v>90</v>
      </c>
      <c r="W13" s="17">
        <v>2.25</v>
      </c>
      <c r="X13" s="33">
        <v>0</v>
      </c>
      <c r="Y13" s="17">
        <v>1.75</v>
      </c>
      <c r="Z13" s="174">
        <f>IF(Clear4='Rate Matrix'!$E$1,'Rate Matrix'!X13,IF(Clear4='Rate Matrix'!$R$1,'Rate Matrix'!Y13,'Rate Matrix'!W13))</f>
        <v>1.75</v>
      </c>
    </row>
    <row r="14" spans="1:26">
      <c r="A14" s="45">
        <v>1.5</v>
      </c>
      <c r="B14" s="48" t="s">
        <v>244</v>
      </c>
      <c r="C14" s="19">
        <v>0</v>
      </c>
      <c r="D14" s="33">
        <v>90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17">
        <v>115</v>
      </c>
      <c r="T14" s="33">
        <v>140</v>
      </c>
      <c r="U14" s="17">
        <v>0</v>
      </c>
      <c r="V14" s="33">
        <v>90</v>
      </c>
      <c r="W14" s="17">
        <v>2.25</v>
      </c>
      <c r="X14" s="33">
        <v>0</v>
      </c>
      <c r="Y14" s="17">
        <v>1.75</v>
      </c>
      <c r="Z14" s="174">
        <f>IF(Clear4='Rate Matrix'!$E$1,'Rate Matrix'!X14,IF(Clear4='Rate Matrix'!$R$1,'Rate Matrix'!Y14,'Rate Matrix'!W14))</f>
        <v>1.75</v>
      </c>
    </row>
    <row r="15" spans="1:26">
      <c r="A15" s="45">
        <v>1.5</v>
      </c>
      <c r="B15" s="48" t="s">
        <v>245</v>
      </c>
      <c r="C15" s="19">
        <v>0</v>
      </c>
      <c r="D15" s="33">
        <v>95</v>
      </c>
      <c r="E15" s="33">
        <v>83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17">
        <v>115</v>
      </c>
      <c r="T15" s="33">
        <v>140</v>
      </c>
      <c r="U15" s="17">
        <v>0</v>
      </c>
      <c r="V15" s="33">
        <v>90</v>
      </c>
      <c r="W15" s="17">
        <v>2.75</v>
      </c>
      <c r="X15" s="33">
        <v>2.75</v>
      </c>
      <c r="Y15" s="17">
        <v>1.75</v>
      </c>
      <c r="Z15" s="174">
        <f>IF(Clear4='Rate Matrix'!$E$1,'Rate Matrix'!X15,IF(Clear4='Rate Matrix'!$R$1,'Rate Matrix'!Y15,'Rate Matrix'!W15))</f>
        <v>1.75</v>
      </c>
    </row>
    <row r="16" spans="1:26">
      <c r="A16" s="45">
        <v>1.5</v>
      </c>
      <c r="B16" s="48" t="s">
        <v>246</v>
      </c>
      <c r="C16" s="19">
        <v>0</v>
      </c>
      <c r="D16" s="33">
        <v>95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17">
        <v>115</v>
      </c>
      <c r="T16" s="33">
        <v>140</v>
      </c>
      <c r="U16" s="17">
        <v>0</v>
      </c>
      <c r="V16" s="33">
        <v>90</v>
      </c>
      <c r="W16" s="17">
        <v>2.75</v>
      </c>
      <c r="X16" s="33">
        <v>0</v>
      </c>
      <c r="Y16" s="17">
        <v>1.75</v>
      </c>
      <c r="Z16" s="174">
        <f>IF(Clear4='Rate Matrix'!$E$1,'Rate Matrix'!X16,IF(Clear4='Rate Matrix'!$R$1,'Rate Matrix'!Y16,'Rate Matrix'!W16))</f>
        <v>1.75</v>
      </c>
    </row>
    <row r="17" spans="1:26">
      <c r="A17" s="45">
        <v>1.5</v>
      </c>
      <c r="B17" s="48" t="s">
        <v>247</v>
      </c>
      <c r="C17" s="19">
        <v>0</v>
      </c>
      <c r="D17" s="33">
        <v>90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17">
        <v>115</v>
      </c>
      <c r="T17" s="33">
        <v>140</v>
      </c>
      <c r="U17" s="17">
        <v>0</v>
      </c>
      <c r="V17" s="33">
        <v>90</v>
      </c>
      <c r="W17" s="17">
        <v>2.25</v>
      </c>
      <c r="X17" s="33">
        <v>0</v>
      </c>
      <c r="Y17" s="17">
        <v>1.75</v>
      </c>
      <c r="Z17" s="174">
        <f>IF(Clear4='Rate Matrix'!$E$1,'Rate Matrix'!X17,IF(Clear4='Rate Matrix'!$R$1,'Rate Matrix'!Y17,'Rate Matrix'!W17))</f>
        <v>1.75</v>
      </c>
    </row>
    <row r="18" spans="1:26">
      <c r="A18" s="45">
        <v>1.5</v>
      </c>
      <c r="B18" s="48" t="s">
        <v>248</v>
      </c>
      <c r="C18" s="19">
        <v>0</v>
      </c>
      <c r="D18" s="33">
        <v>90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17">
        <v>115</v>
      </c>
      <c r="T18" s="33">
        <v>140</v>
      </c>
      <c r="U18" s="17">
        <v>0</v>
      </c>
      <c r="V18" s="33">
        <v>90</v>
      </c>
      <c r="W18" s="17">
        <v>2.25</v>
      </c>
      <c r="X18" s="33">
        <v>0</v>
      </c>
      <c r="Y18" s="17">
        <v>1.75</v>
      </c>
      <c r="Z18" s="174">
        <f>IF(Clear4='Rate Matrix'!$E$1,'Rate Matrix'!X18,IF(Clear4='Rate Matrix'!$R$1,'Rate Matrix'!Y18,'Rate Matrix'!W18))</f>
        <v>1.75</v>
      </c>
    </row>
    <row r="19" spans="1:26">
      <c r="A19" s="45">
        <v>1.5</v>
      </c>
      <c r="B19" s="48" t="s">
        <v>249</v>
      </c>
      <c r="C19" s="19">
        <v>0</v>
      </c>
      <c r="D19" s="33">
        <v>95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17">
        <v>115</v>
      </c>
      <c r="T19" s="33">
        <v>140</v>
      </c>
      <c r="U19" s="17">
        <v>0</v>
      </c>
      <c r="V19" s="33">
        <v>90</v>
      </c>
      <c r="W19" s="17">
        <v>2.75</v>
      </c>
      <c r="X19" s="33">
        <v>0</v>
      </c>
      <c r="Y19" s="17">
        <v>1.75</v>
      </c>
      <c r="Z19" s="174">
        <f>IF(Clear4='Rate Matrix'!$E$1,'Rate Matrix'!X19,IF(Clear4='Rate Matrix'!$R$1,'Rate Matrix'!Y19,'Rate Matrix'!W19))</f>
        <v>1.75</v>
      </c>
    </row>
    <row r="20" spans="1:26">
      <c r="A20" s="45">
        <v>1.5</v>
      </c>
      <c r="B20" s="48" t="s">
        <v>250</v>
      </c>
      <c r="C20" s="19">
        <v>0</v>
      </c>
      <c r="D20" s="33">
        <v>95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17">
        <v>115</v>
      </c>
      <c r="T20" s="33">
        <v>135</v>
      </c>
      <c r="U20" s="17">
        <v>135</v>
      </c>
      <c r="V20" s="33">
        <v>90</v>
      </c>
      <c r="W20" s="17">
        <v>2.75</v>
      </c>
      <c r="X20" s="33">
        <v>0</v>
      </c>
      <c r="Y20" s="17"/>
      <c r="Z20" s="174">
        <f>IF(Clear4='Rate Matrix'!$E$1,'Rate Matrix'!X20,IF(Clear4='Rate Matrix'!$R$1,'Rate Matrix'!Y20,'Rate Matrix'!W20))</f>
        <v>0</v>
      </c>
    </row>
    <row r="21" spans="1:26">
      <c r="A21" s="45">
        <v>1.5</v>
      </c>
      <c r="B21" s="48" t="s">
        <v>251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17">
        <v>115</v>
      </c>
      <c r="T21" s="33">
        <v>135</v>
      </c>
      <c r="U21" s="17">
        <v>135</v>
      </c>
      <c r="V21" s="33">
        <v>90</v>
      </c>
      <c r="W21" s="17">
        <v>2.25</v>
      </c>
      <c r="X21" s="33">
        <v>0</v>
      </c>
      <c r="Y21" s="17"/>
      <c r="Z21" s="174">
        <f>IF(Clear4='Rate Matrix'!$E$1,'Rate Matrix'!X21,IF(Clear4='Rate Matrix'!$R$1,'Rate Matrix'!Y21,'Rate Matrix'!W21))</f>
        <v>0</v>
      </c>
    </row>
    <row r="22" spans="1:26">
      <c r="A22" s="45">
        <v>1.5</v>
      </c>
      <c r="B22" s="48" t="s">
        <v>252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17">
        <v>115</v>
      </c>
      <c r="T22" s="33">
        <v>135</v>
      </c>
      <c r="U22" s="17">
        <v>135</v>
      </c>
      <c r="V22" s="33">
        <v>90</v>
      </c>
      <c r="W22" s="17">
        <v>2.25</v>
      </c>
      <c r="X22" s="33">
        <v>0</v>
      </c>
      <c r="Y22" s="17"/>
      <c r="Z22" s="174">
        <f>IF(Clear4='Rate Matrix'!$E$1,'Rate Matrix'!X22,IF(Clear4='Rate Matrix'!$R$1,'Rate Matrix'!Y22,'Rate Matrix'!W22))</f>
        <v>0</v>
      </c>
    </row>
    <row r="23" spans="1:26">
      <c r="A23" s="45">
        <v>1.5</v>
      </c>
      <c r="B23" s="48" t="s">
        <v>253</v>
      </c>
      <c r="C23" s="19">
        <v>0</v>
      </c>
      <c r="D23" s="33">
        <v>90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17">
        <v>115</v>
      </c>
      <c r="T23" s="33">
        <v>140</v>
      </c>
      <c r="U23" s="17">
        <v>0</v>
      </c>
      <c r="V23" s="33">
        <v>90</v>
      </c>
      <c r="W23" s="17">
        <v>2.25</v>
      </c>
      <c r="X23" s="33">
        <v>0</v>
      </c>
      <c r="Y23" s="17"/>
      <c r="Z23" s="174">
        <f>IF(Clear4='Rate Matrix'!$E$1,'Rate Matrix'!X23,IF(Clear4='Rate Matrix'!$R$1,'Rate Matrix'!Y23,'Rate Matrix'!W23))</f>
        <v>0</v>
      </c>
    </row>
    <row r="24" spans="1:26">
      <c r="A24" s="45">
        <v>1.5</v>
      </c>
      <c r="B24" s="48" t="s">
        <v>254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17">
        <v>115</v>
      </c>
      <c r="T24" s="33">
        <v>140</v>
      </c>
      <c r="U24" s="17">
        <v>0</v>
      </c>
      <c r="V24" s="33">
        <v>90</v>
      </c>
      <c r="W24" s="17">
        <v>2.25</v>
      </c>
      <c r="X24" s="33">
        <v>0</v>
      </c>
      <c r="Y24" s="17"/>
      <c r="Z24" s="174">
        <f>IF(Clear4='Rate Matrix'!$E$1,'Rate Matrix'!X24,IF(Clear4='Rate Matrix'!$R$1,'Rate Matrix'!Y24,'Rate Matrix'!W24))</f>
        <v>0</v>
      </c>
    </row>
    <row r="25" spans="1:26">
      <c r="A25" s="45">
        <v>1.5</v>
      </c>
      <c r="B25" s="48" t="s">
        <v>283</v>
      </c>
      <c r="C25" s="19">
        <v>0</v>
      </c>
      <c r="D25" s="33">
        <v>95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17">
        <v>115</v>
      </c>
      <c r="T25" s="33">
        <v>140</v>
      </c>
      <c r="U25" s="17">
        <v>0</v>
      </c>
      <c r="V25" s="33">
        <v>90</v>
      </c>
      <c r="W25" s="17">
        <v>2.75</v>
      </c>
      <c r="X25" s="33">
        <v>0</v>
      </c>
      <c r="Y25" s="17"/>
      <c r="Z25" s="174">
        <f>IF(Clear4='Rate Matrix'!$E$1,'Rate Matrix'!X25,IF(Clear4='Rate Matrix'!$R$1,'Rate Matrix'!Y25,'Rate Matrix'!W25))</f>
        <v>0</v>
      </c>
    </row>
    <row r="26" spans="1:26">
      <c r="A26" s="45">
        <v>1.5</v>
      </c>
      <c r="B26" s="48" t="s">
        <v>255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17">
        <v>115</v>
      </c>
      <c r="T26" s="33">
        <v>140</v>
      </c>
      <c r="U26" s="17">
        <v>0</v>
      </c>
      <c r="V26" s="33">
        <v>90</v>
      </c>
      <c r="W26" s="17">
        <v>2.25</v>
      </c>
      <c r="X26" s="33">
        <v>0</v>
      </c>
      <c r="Y26" s="17"/>
      <c r="Z26" s="174">
        <f>IF(Clear4='Rate Matrix'!$E$1,'Rate Matrix'!X26,IF(Clear4='Rate Matrix'!$R$1,'Rate Matrix'!Y26,'Rate Matrix'!W26))</f>
        <v>0</v>
      </c>
    </row>
    <row r="27" spans="1:26">
      <c r="A27" s="45">
        <v>1.5</v>
      </c>
      <c r="B27" s="48" t="s">
        <v>256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17">
        <v>115</v>
      </c>
      <c r="T27" s="33">
        <v>140</v>
      </c>
      <c r="U27" s="17">
        <v>0</v>
      </c>
      <c r="V27" s="33">
        <v>90</v>
      </c>
      <c r="W27" s="17">
        <v>2.25</v>
      </c>
      <c r="X27" s="33">
        <v>0</v>
      </c>
      <c r="Y27" s="17"/>
      <c r="Z27" s="174">
        <f>IF(Clear4='Rate Matrix'!$E$1,'Rate Matrix'!X27,IF(Clear4='Rate Matrix'!$R$1,'Rate Matrix'!Y27,'Rate Matrix'!W27))</f>
        <v>0</v>
      </c>
    </row>
    <row r="28" spans="1:26">
      <c r="A28" s="45">
        <v>1.5</v>
      </c>
      <c r="B28" s="48" t="s">
        <v>298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17">
        <v>115</v>
      </c>
      <c r="T28" s="33">
        <v>140</v>
      </c>
      <c r="U28" s="17">
        <v>0</v>
      </c>
      <c r="V28" s="33">
        <v>90</v>
      </c>
      <c r="W28" s="17">
        <v>2.25</v>
      </c>
      <c r="X28" s="33">
        <v>0</v>
      </c>
      <c r="Y28" s="17"/>
      <c r="Z28" s="174">
        <f>IF(Clear4='Rate Matrix'!$E$1,'Rate Matrix'!X28,IF(Clear4='Rate Matrix'!$R$1,'Rate Matrix'!Y28,'Rate Matrix'!W28))</f>
        <v>0</v>
      </c>
    </row>
    <row r="29" spans="1:26">
      <c r="A29" s="45">
        <v>1.5</v>
      </c>
      <c r="B29" s="48" t="s">
        <v>257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17">
        <v>115</v>
      </c>
      <c r="T29" s="33">
        <v>140</v>
      </c>
      <c r="U29" s="17">
        <v>0</v>
      </c>
      <c r="V29" s="33">
        <v>90</v>
      </c>
      <c r="W29" s="17">
        <v>2.25</v>
      </c>
      <c r="X29" s="33">
        <v>0</v>
      </c>
      <c r="Y29" s="17"/>
      <c r="Z29" s="174">
        <f>IF(Clear4='Rate Matrix'!$E$1,'Rate Matrix'!X29,IF(Clear4='Rate Matrix'!$R$1,'Rate Matrix'!Y29,'Rate Matrix'!W29))</f>
        <v>0</v>
      </c>
    </row>
    <row r="30" spans="1:26">
      <c r="A30" s="45">
        <v>1.5</v>
      </c>
      <c r="B30" s="48" t="s">
        <v>327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17">
        <v>115</v>
      </c>
      <c r="T30" s="33">
        <v>140</v>
      </c>
      <c r="U30" s="17">
        <v>0</v>
      </c>
      <c r="V30" s="33">
        <v>90</v>
      </c>
      <c r="W30" s="17">
        <v>2.25</v>
      </c>
      <c r="X30" s="33">
        <v>0</v>
      </c>
      <c r="Y30" s="17"/>
      <c r="Z30" s="174">
        <f>IF(Clear4='Rate Matrix'!$E$1,'Rate Matrix'!X30,IF(Clear4='Rate Matrix'!$R$1,'Rate Matrix'!Y30,'Rate Matrix'!W30))</f>
        <v>0</v>
      </c>
    </row>
    <row r="31" spans="1:26">
      <c r="A31" s="45">
        <v>1.5</v>
      </c>
      <c r="B31" s="48" t="s">
        <v>356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17">
        <v>115</v>
      </c>
      <c r="T31" s="33">
        <v>140</v>
      </c>
      <c r="U31" s="17">
        <v>0</v>
      </c>
      <c r="V31" s="33">
        <v>90</v>
      </c>
      <c r="W31" s="17">
        <v>2.25</v>
      </c>
      <c r="X31" s="33">
        <v>0</v>
      </c>
      <c r="Y31" s="17"/>
      <c r="Z31" s="174">
        <f>IF(Clear4='Rate Matrix'!$E$1,'Rate Matrix'!X31,IF(Clear4='Rate Matrix'!$R$1,'Rate Matrix'!Y31,'Rate Matrix'!W31))</f>
        <v>0</v>
      </c>
    </row>
    <row r="32" spans="1:26">
      <c r="A32" s="45">
        <v>1.5</v>
      </c>
      <c r="B32" s="48" t="s">
        <v>284</v>
      </c>
      <c r="C32" s="19">
        <v>0</v>
      </c>
      <c r="D32" s="33">
        <v>90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17">
        <v>115</v>
      </c>
      <c r="T32" s="33">
        <v>140</v>
      </c>
      <c r="U32" s="17">
        <v>0</v>
      </c>
      <c r="V32" s="33">
        <v>90</v>
      </c>
      <c r="W32" s="17">
        <v>2.25</v>
      </c>
      <c r="X32" s="33">
        <v>0</v>
      </c>
      <c r="Y32" s="17"/>
      <c r="Z32" s="174">
        <f>IF(Clear4='Rate Matrix'!$E$1,'Rate Matrix'!X32,IF(Clear4='Rate Matrix'!$R$1,'Rate Matrix'!Y32,'Rate Matrix'!W32))</f>
        <v>0</v>
      </c>
    </row>
    <row r="33" spans="1:26">
      <c r="A33" s="45">
        <v>1.5</v>
      </c>
      <c r="B33" s="48" t="s">
        <v>285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17">
        <v>115</v>
      </c>
      <c r="T33" s="33">
        <v>140</v>
      </c>
      <c r="U33" s="17">
        <v>0</v>
      </c>
      <c r="V33" s="33">
        <v>90</v>
      </c>
      <c r="W33" s="17">
        <v>2.25</v>
      </c>
      <c r="X33" s="33">
        <v>0</v>
      </c>
      <c r="Y33" s="17"/>
      <c r="Z33" s="174">
        <f>IF(Clear4='Rate Matrix'!$E$1,'Rate Matrix'!X33,IF(Clear4='Rate Matrix'!$R$1,'Rate Matrix'!Y33,'Rate Matrix'!W33))</f>
        <v>0</v>
      </c>
    </row>
    <row r="34" spans="1:26">
      <c r="A34" s="45">
        <v>1.5</v>
      </c>
      <c r="B34" s="48" t="s">
        <v>286</v>
      </c>
      <c r="C34" s="19">
        <v>0</v>
      </c>
      <c r="D34" s="33">
        <v>90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17">
        <v>115</v>
      </c>
      <c r="T34" s="33">
        <v>140</v>
      </c>
      <c r="U34" s="17">
        <v>0</v>
      </c>
      <c r="V34" s="33">
        <v>90</v>
      </c>
      <c r="W34" s="17">
        <v>2.25</v>
      </c>
      <c r="X34" s="33">
        <v>0</v>
      </c>
      <c r="Y34" s="17"/>
      <c r="Z34" s="174">
        <f>IF(Clear4='Rate Matrix'!$E$1,'Rate Matrix'!X34,IF(Clear4='Rate Matrix'!$R$1,'Rate Matrix'!Y34,'Rate Matrix'!W34))</f>
        <v>0</v>
      </c>
    </row>
    <row r="35" spans="1:26">
      <c r="A35" s="45">
        <v>1.3</v>
      </c>
      <c r="B35" s="48" t="s">
        <v>258</v>
      </c>
      <c r="C35" s="19">
        <v>0</v>
      </c>
      <c r="D35" s="33">
        <v>90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17">
        <v>115</v>
      </c>
      <c r="T35" s="33">
        <v>140</v>
      </c>
      <c r="U35" s="17">
        <v>0</v>
      </c>
      <c r="V35" s="33">
        <v>90</v>
      </c>
      <c r="W35" s="17">
        <v>2.25</v>
      </c>
      <c r="X35" s="33">
        <v>0</v>
      </c>
      <c r="Y35" s="17"/>
      <c r="Z35" s="174">
        <f>IF(Clear4='Rate Matrix'!$E$1,'Rate Matrix'!X35,IF(Clear4='Rate Matrix'!$R$1,'Rate Matrix'!Y35,'Rate Matrix'!W35))</f>
        <v>0</v>
      </c>
    </row>
    <row r="36" spans="1:26">
      <c r="A36" s="45">
        <v>1.3</v>
      </c>
      <c r="B36" s="48" t="s">
        <v>278</v>
      </c>
      <c r="C36" s="19">
        <v>0</v>
      </c>
      <c r="D36" s="33">
        <v>95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17">
        <v>115</v>
      </c>
      <c r="T36" s="33">
        <v>140</v>
      </c>
      <c r="U36" s="17">
        <v>0</v>
      </c>
      <c r="V36" s="33">
        <v>90</v>
      </c>
      <c r="W36" s="17">
        <v>2.75</v>
      </c>
      <c r="X36" s="33">
        <v>0</v>
      </c>
      <c r="Y36" s="17"/>
      <c r="Z36" s="174">
        <f>IF(Clear4='Rate Matrix'!$E$1,'Rate Matrix'!X36,IF(Clear4='Rate Matrix'!$R$1,'Rate Matrix'!Y36,'Rate Matrix'!W36))</f>
        <v>0</v>
      </c>
    </row>
    <row r="37" spans="1:26">
      <c r="A37" s="45">
        <v>1.5</v>
      </c>
      <c r="B37" s="48" t="s">
        <v>259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17">
        <v>115</v>
      </c>
      <c r="T37" s="33">
        <v>140</v>
      </c>
      <c r="U37" s="17">
        <v>0</v>
      </c>
      <c r="V37" s="33">
        <v>90</v>
      </c>
      <c r="W37" s="17">
        <v>2.25</v>
      </c>
      <c r="X37" s="33">
        <v>0</v>
      </c>
      <c r="Y37" s="17"/>
      <c r="Z37" s="174">
        <f>IF(Clear4='Rate Matrix'!$E$1,'Rate Matrix'!X37,IF(Clear4='Rate Matrix'!$R$1,'Rate Matrix'!Y37,'Rate Matrix'!W37))</f>
        <v>0</v>
      </c>
    </row>
    <row r="38" spans="1:26">
      <c r="A38" s="45">
        <v>1.5</v>
      </c>
      <c r="B38" s="48" t="s">
        <v>287</v>
      </c>
      <c r="C38" s="19">
        <v>0</v>
      </c>
      <c r="D38" s="33">
        <v>95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17">
        <v>115</v>
      </c>
      <c r="T38" s="33">
        <v>140</v>
      </c>
      <c r="U38" s="17">
        <v>0</v>
      </c>
      <c r="V38" s="33">
        <v>90</v>
      </c>
      <c r="W38" s="17">
        <v>2.75</v>
      </c>
      <c r="X38" s="33">
        <v>0</v>
      </c>
      <c r="Y38" s="17"/>
      <c r="Z38" s="174">
        <f>IF(Clear4='Rate Matrix'!$E$1,'Rate Matrix'!X38,IF(Clear4='Rate Matrix'!$R$1,'Rate Matrix'!Y38,'Rate Matrix'!W38))</f>
        <v>0</v>
      </c>
    </row>
    <row r="39" spans="1:26">
      <c r="A39" s="45">
        <v>1.5</v>
      </c>
      <c r="B39" s="48" t="s">
        <v>288</v>
      </c>
      <c r="C39" s="19">
        <v>0</v>
      </c>
      <c r="D39" s="33">
        <v>95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17">
        <v>115</v>
      </c>
      <c r="T39" s="33">
        <v>140</v>
      </c>
      <c r="U39" s="17">
        <v>0</v>
      </c>
      <c r="V39" s="33">
        <v>90</v>
      </c>
      <c r="W39" s="17">
        <v>2.75</v>
      </c>
      <c r="X39" s="33">
        <v>0</v>
      </c>
      <c r="Y39" s="17"/>
      <c r="Z39" s="174">
        <f>IF(Clear4='Rate Matrix'!$E$1,'Rate Matrix'!X39,IF(Clear4='Rate Matrix'!$R$1,'Rate Matrix'!Y39,'Rate Matrix'!W39))</f>
        <v>0</v>
      </c>
    </row>
    <row r="40" spans="1:26">
      <c r="A40" s="45">
        <v>1.5</v>
      </c>
      <c r="B40" s="48" t="s">
        <v>357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17">
        <v>115</v>
      </c>
      <c r="T40" s="33">
        <v>140</v>
      </c>
      <c r="U40" s="17">
        <v>0</v>
      </c>
      <c r="V40" s="33">
        <v>90</v>
      </c>
      <c r="W40" s="17">
        <v>2.25</v>
      </c>
      <c r="X40" s="33">
        <v>0</v>
      </c>
      <c r="Y40" s="17"/>
      <c r="Z40" s="174">
        <f>IF(Clear4='Rate Matrix'!$E$1,'Rate Matrix'!X40,IF(Clear4='Rate Matrix'!$R$1,'Rate Matrix'!Y40,'Rate Matrix'!W40))</f>
        <v>0</v>
      </c>
    </row>
    <row r="41" spans="1:26">
      <c r="A41" s="45">
        <v>1.5</v>
      </c>
      <c r="B41" s="48" t="s">
        <v>360</v>
      </c>
      <c r="C41" s="19">
        <v>0</v>
      </c>
      <c r="D41" s="33">
        <v>90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17">
        <v>115</v>
      </c>
      <c r="T41" s="33">
        <v>140</v>
      </c>
      <c r="U41" s="17">
        <v>0</v>
      </c>
      <c r="V41" s="33">
        <v>90</v>
      </c>
      <c r="W41" s="17">
        <v>2.25</v>
      </c>
      <c r="X41" s="33">
        <v>0</v>
      </c>
      <c r="Y41" s="17"/>
      <c r="Z41" s="174">
        <f>IF(Clear4='Rate Matrix'!$E$1,'Rate Matrix'!X41,IF(Clear4='Rate Matrix'!$R$1,'Rate Matrix'!Y41,'Rate Matrix'!W41))</f>
        <v>0</v>
      </c>
    </row>
    <row r="42" spans="1:26">
      <c r="A42" s="45">
        <v>1.5</v>
      </c>
      <c r="B42" s="48" t="s">
        <v>260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17">
        <v>115</v>
      </c>
      <c r="T42" s="33">
        <v>140</v>
      </c>
      <c r="U42" s="17">
        <v>0</v>
      </c>
      <c r="V42" s="33">
        <v>90</v>
      </c>
      <c r="W42" s="17">
        <v>2.25</v>
      </c>
      <c r="X42" s="33">
        <v>0</v>
      </c>
      <c r="Y42" s="17"/>
      <c r="Z42" s="174">
        <f>IF(Clear4='Rate Matrix'!$E$1,'Rate Matrix'!X42,IF(Clear4='Rate Matrix'!$R$1,'Rate Matrix'!Y42,'Rate Matrix'!W42))</f>
        <v>0</v>
      </c>
    </row>
    <row r="43" spans="1:26">
      <c r="A43" s="45">
        <v>1.5</v>
      </c>
      <c r="B43" s="48" t="s">
        <v>261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17">
        <v>115</v>
      </c>
      <c r="T43" s="33">
        <v>140</v>
      </c>
      <c r="U43" s="17">
        <v>0</v>
      </c>
      <c r="V43" s="33">
        <v>90</v>
      </c>
      <c r="W43" s="17">
        <v>2.25</v>
      </c>
      <c r="X43" s="33">
        <v>0</v>
      </c>
      <c r="Y43" s="17"/>
      <c r="Z43" s="174">
        <f>IF(Clear4='Rate Matrix'!$E$1,'Rate Matrix'!X43,IF(Clear4='Rate Matrix'!$R$1,'Rate Matrix'!Y43,'Rate Matrix'!W43))</f>
        <v>0</v>
      </c>
    </row>
    <row r="44" spans="1:26">
      <c r="A44" s="45">
        <v>1.5</v>
      </c>
      <c r="B44" s="48" t="s">
        <v>262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17">
        <v>115</v>
      </c>
      <c r="T44" s="33">
        <v>140</v>
      </c>
      <c r="U44" s="17">
        <v>0</v>
      </c>
      <c r="V44" s="33">
        <v>90</v>
      </c>
      <c r="W44" s="17">
        <v>2.25</v>
      </c>
      <c r="X44" s="33">
        <v>0</v>
      </c>
      <c r="Y44" s="17"/>
      <c r="Z44" s="174">
        <f>IF(Clear4='Rate Matrix'!$E$1,'Rate Matrix'!X44,IF(Clear4='Rate Matrix'!$R$1,'Rate Matrix'!Y44,'Rate Matrix'!W44))</f>
        <v>0</v>
      </c>
    </row>
    <row r="45" spans="1:26">
      <c r="A45" s="45">
        <v>1.5</v>
      </c>
      <c r="B45" s="48" t="s">
        <v>362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17">
        <v>115</v>
      </c>
      <c r="T45" s="33">
        <v>140</v>
      </c>
      <c r="U45" s="17">
        <v>0</v>
      </c>
      <c r="V45" s="33">
        <v>90</v>
      </c>
      <c r="W45" s="17">
        <v>2.25</v>
      </c>
      <c r="X45" s="33">
        <v>0</v>
      </c>
      <c r="Y45" s="17"/>
      <c r="Z45" s="174">
        <f>IF(Clear4='Rate Matrix'!$E$1,'Rate Matrix'!X45,IF(Clear4='Rate Matrix'!$R$1,'Rate Matrix'!Y45,'Rate Matrix'!W45))</f>
        <v>0</v>
      </c>
    </row>
    <row r="46" spans="1:26">
      <c r="A46" s="45">
        <v>1.5</v>
      </c>
      <c r="B46" s="48" t="s">
        <v>263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17">
        <v>115</v>
      </c>
      <c r="T46" s="33">
        <v>140</v>
      </c>
      <c r="U46" s="17">
        <v>0</v>
      </c>
      <c r="V46" s="33">
        <v>90</v>
      </c>
      <c r="W46" s="17">
        <v>2.25</v>
      </c>
      <c r="X46" s="33">
        <v>0</v>
      </c>
      <c r="Y46" s="17"/>
      <c r="Z46" s="174">
        <f>IF(Clear4='Rate Matrix'!$E$1,'Rate Matrix'!X46,IF(Clear4='Rate Matrix'!$R$1,'Rate Matrix'!Y46,'Rate Matrix'!W46))</f>
        <v>0</v>
      </c>
    </row>
    <row r="47" spans="1:26">
      <c r="A47" s="45">
        <v>1.5</v>
      </c>
      <c r="B47" s="48" t="s">
        <v>264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17">
        <v>115</v>
      </c>
      <c r="T47" s="33">
        <v>140</v>
      </c>
      <c r="U47" s="17">
        <v>0</v>
      </c>
      <c r="V47" s="33">
        <v>90</v>
      </c>
      <c r="W47" s="17">
        <v>2.25</v>
      </c>
      <c r="X47" s="33">
        <v>0</v>
      </c>
      <c r="Y47" s="17"/>
      <c r="Z47" s="174">
        <f>IF(Clear4='Rate Matrix'!$E$1,'Rate Matrix'!X47,IF(Clear4='Rate Matrix'!$R$1,'Rate Matrix'!Y47,'Rate Matrix'!W47))</f>
        <v>0</v>
      </c>
    </row>
    <row r="48" spans="1:26">
      <c r="A48" s="45">
        <v>1.5</v>
      </c>
      <c r="B48" s="48" t="s">
        <v>289</v>
      </c>
      <c r="C48" s="19">
        <v>0</v>
      </c>
      <c r="D48" s="33">
        <v>95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17">
        <v>115</v>
      </c>
      <c r="T48" s="33">
        <v>140</v>
      </c>
      <c r="U48" s="17">
        <v>0</v>
      </c>
      <c r="V48" s="33">
        <v>90</v>
      </c>
      <c r="W48" s="17">
        <v>2.75</v>
      </c>
      <c r="X48" s="33">
        <v>0</v>
      </c>
      <c r="Y48" s="17"/>
      <c r="Z48" s="174">
        <f>IF(Clear4='Rate Matrix'!$E$1,'Rate Matrix'!X48,IF(Clear4='Rate Matrix'!$R$1,'Rate Matrix'!Y48,'Rate Matrix'!W48))</f>
        <v>0</v>
      </c>
    </row>
    <row r="49" spans="1:26">
      <c r="A49" s="45">
        <v>1.5</v>
      </c>
      <c r="B49" s="48" t="s">
        <v>265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17">
        <v>115</v>
      </c>
      <c r="T49" s="33">
        <v>140</v>
      </c>
      <c r="U49" s="17">
        <v>0</v>
      </c>
      <c r="V49" s="33">
        <v>90</v>
      </c>
      <c r="W49" s="17">
        <v>2.25</v>
      </c>
      <c r="X49" s="33">
        <v>0</v>
      </c>
      <c r="Y49" s="17"/>
      <c r="Z49" s="174">
        <f>IF(Clear4='Rate Matrix'!$E$1,'Rate Matrix'!X49,IF(Clear4='Rate Matrix'!$R$1,'Rate Matrix'!Y49,'Rate Matrix'!W49))</f>
        <v>0</v>
      </c>
    </row>
    <row r="50" spans="1:26">
      <c r="A50" s="45">
        <v>1.5</v>
      </c>
      <c r="B50" s="48" t="s">
        <v>266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17">
        <v>115</v>
      </c>
      <c r="T50" s="33">
        <v>140</v>
      </c>
      <c r="U50" s="17">
        <v>0</v>
      </c>
      <c r="V50" s="33">
        <v>90</v>
      </c>
      <c r="W50" s="17">
        <v>2.25</v>
      </c>
      <c r="X50" s="33">
        <v>0</v>
      </c>
      <c r="Y50" s="17"/>
      <c r="Z50" s="174">
        <f>IF(Clear4='Rate Matrix'!$E$1,'Rate Matrix'!X50,IF(Clear4='Rate Matrix'!$R$1,'Rate Matrix'!Y50,'Rate Matrix'!W50))</f>
        <v>0</v>
      </c>
    </row>
    <row r="51" spans="1:26">
      <c r="A51" s="45">
        <v>1.5</v>
      </c>
      <c r="B51" s="48" t="s">
        <v>297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17">
        <v>115</v>
      </c>
      <c r="T51" s="33">
        <v>140</v>
      </c>
      <c r="U51" s="17">
        <v>0</v>
      </c>
      <c r="V51" s="33">
        <v>90</v>
      </c>
      <c r="W51" s="17">
        <v>2.25</v>
      </c>
      <c r="X51" s="33">
        <v>0</v>
      </c>
      <c r="Y51" s="17"/>
      <c r="Z51" s="174">
        <f>IF(Clear4='Rate Matrix'!$E$1,'Rate Matrix'!X51,IF(Clear4='Rate Matrix'!$R$1,'Rate Matrix'!Y51,'Rate Matrix'!W51))</f>
        <v>0</v>
      </c>
    </row>
    <row r="52" spans="1:26">
      <c r="A52" s="45">
        <v>1.5</v>
      </c>
      <c r="B52" s="48" t="s">
        <v>267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17">
        <v>115</v>
      </c>
      <c r="T52" s="33">
        <v>140</v>
      </c>
      <c r="U52" s="17">
        <v>0</v>
      </c>
      <c r="V52" s="33">
        <v>90</v>
      </c>
      <c r="W52" s="17">
        <v>2.25</v>
      </c>
      <c r="X52" s="33">
        <v>0</v>
      </c>
      <c r="Y52" s="17"/>
      <c r="Z52" s="174">
        <f>IF(Clear4='Rate Matrix'!$E$1,'Rate Matrix'!X52,IF(Clear4='Rate Matrix'!$R$1,'Rate Matrix'!Y52,'Rate Matrix'!W52))</f>
        <v>0</v>
      </c>
    </row>
    <row r="53" spans="1:26">
      <c r="A53" s="45">
        <v>1.5</v>
      </c>
      <c r="B53" s="48" t="s">
        <v>290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17">
        <v>115</v>
      </c>
      <c r="T53" s="33">
        <v>140</v>
      </c>
      <c r="U53" s="17">
        <v>0</v>
      </c>
      <c r="V53" s="33">
        <v>90</v>
      </c>
      <c r="W53" s="17">
        <v>2.25</v>
      </c>
      <c r="X53" s="33">
        <v>0</v>
      </c>
      <c r="Y53" s="17"/>
      <c r="Z53" s="174">
        <f>IF(Clear4='Rate Matrix'!$E$1,'Rate Matrix'!X53,IF(Clear4='Rate Matrix'!$R$1,'Rate Matrix'!Y53,'Rate Matrix'!W53))</f>
        <v>0</v>
      </c>
    </row>
    <row r="54" spans="1:26">
      <c r="A54" s="45">
        <v>1.5</v>
      </c>
      <c r="B54" s="48" t="s">
        <v>268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17">
        <v>115</v>
      </c>
      <c r="T54" s="33">
        <v>140</v>
      </c>
      <c r="U54" s="17">
        <v>0</v>
      </c>
      <c r="V54" s="33">
        <v>90</v>
      </c>
      <c r="W54" s="17">
        <v>2.25</v>
      </c>
      <c r="X54" s="33">
        <v>0</v>
      </c>
      <c r="Y54" s="17"/>
      <c r="Z54" s="174">
        <f>IF(Clear4='Rate Matrix'!$E$1,'Rate Matrix'!X54,IF(Clear4='Rate Matrix'!$R$1,'Rate Matrix'!Y54,'Rate Matrix'!W54))</f>
        <v>0</v>
      </c>
    </row>
    <row r="55" spans="1:26">
      <c r="A55" s="45">
        <v>1.5</v>
      </c>
      <c r="B55" s="48" t="s">
        <v>269</v>
      </c>
      <c r="C55" s="19">
        <v>0</v>
      </c>
      <c r="D55" s="33">
        <v>90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17">
        <v>115</v>
      </c>
      <c r="T55" s="33">
        <v>140</v>
      </c>
      <c r="U55" s="17">
        <v>0</v>
      </c>
      <c r="V55" s="33">
        <v>90</v>
      </c>
      <c r="W55" s="17">
        <v>2.25</v>
      </c>
      <c r="X55" s="33">
        <v>0</v>
      </c>
      <c r="Y55" s="17"/>
      <c r="Z55" s="174">
        <f>IF(Clear4='Rate Matrix'!$E$1,'Rate Matrix'!X55,IF(Clear4='Rate Matrix'!$R$1,'Rate Matrix'!Y55,'Rate Matrix'!W55))</f>
        <v>0</v>
      </c>
    </row>
    <row r="56" spans="1:26">
      <c r="A56" s="45">
        <v>1.5</v>
      </c>
      <c r="B56" s="48" t="s">
        <v>270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17">
        <v>115</v>
      </c>
      <c r="T56" s="33">
        <v>140</v>
      </c>
      <c r="U56" s="17">
        <v>0</v>
      </c>
      <c r="V56" s="33">
        <v>90</v>
      </c>
      <c r="W56" s="17">
        <v>2.25</v>
      </c>
      <c r="X56" s="33">
        <v>0</v>
      </c>
      <c r="Y56" s="17"/>
      <c r="Z56" s="174">
        <f>IF(Clear4='Rate Matrix'!$E$1,'Rate Matrix'!X56,IF(Clear4='Rate Matrix'!$R$1,'Rate Matrix'!Y56,'Rate Matrix'!W56))</f>
        <v>0</v>
      </c>
    </row>
    <row r="57" spans="1:26">
      <c r="A57" s="45">
        <v>1.5</v>
      </c>
      <c r="B57" s="48" t="s">
        <v>271</v>
      </c>
      <c r="C57" s="19">
        <v>0</v>
      </c>
      <c r="D57" s="33">
        <v>90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17">
        <v>115</v>
      </c>
      <c r="T57" s="33">
        <v>140</v>
      </c>
      <c r="U57" s="17">
        <v>0</v>
      </c>
      <c r="V57" s="33">
        <v>90</v>
      </c>
      <c r="W57" s="17">
        <v>2.25</v>
      </c>
      <c r="X57" s="33">
        <v>0</v>
      </c>
      <c r="Y57" s="17"/>
      <c r="Z57" s="174">
        <f>IF(Clear4='Rate Matrix'!$E$1,'Rate Matrix'!X57,IF(Clear4='Rate Matrix'!$R$1,'Rate Matrix'!Y57,'Rate Matrix'!W57))</f>
        <v>0</v>
      </c>
    </row>
    <row r="58" spans="1:26">
      <c r="A58" s="45">
        <v>1.5</v>
      </c>
      <c r="B58" s="48" t="s">
        <v>272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17">
        <v>115</v>
      </c>
      <c r="T58" s="33">
        <v>140</v>
      </c>
      <c r="U58" s="17">
        <v>0</v>
      </c>
      <c r="V58" s="33">
        <v>90</v>
      </c>
      <c r="W58" s="17">
        <v>2.25</v>
      </c>
      <c r="X58" s="33">
        <v>0</v>
      </c>
      <c r="Y58" s="17"/>
      <c r="Z58" s="174">
        <f>IF(Clear4='Rate Matrix'!$E$1,'Rate Matrix'!X58,IF(Clear4='Rate Matrix'!$R$1,'Rate Matrix'!Y58,'Rate Matrix'!W58))</f>
        <v>0</v>
      </c>
    </row>
    <row r="59" spans="1:26">
      <c r="A59" s="45">
        <v>1.5</v>
      </c>
      <c r="B59" s="48" t="s">
        <v>273</v>
      </c>
      <c r="C59" s="19">
        <v>0</v>
      </c>
      <c r="D59" s="33">
        <v>90</v>
      </c>
      <c r="E59" s="33">
        <v>0</v>
      </c>
      <c r="F59" s="17">
        <v>70</v>
      </c>
      <c r="G59" s="33">
        <v>90</v>
      </c>
      <c r="H59" s="17">
        <v>73</v>
      </c>
      <c r="I59" s="33">
        <v>125</v>
      </c>
      <c r="J59" s="17">
        <v>125</v>
      </c>
      <c r="K59" s="17">
        <v>125</v>
      </c>
      <c r="L59" s="17">
        <v>85</v>
      </c>
      <c r="M59" s="33">
        <v>65</v>
      </c>
      <c r="N59" s="17">
        <v>110</v>
      </c>
      <c r="O59" s="33">
        <v>120</v>
      </c>
      <c r="P59" s="17">
        <v>115</v>
      </c>
      <c r="Q59" s="17">
        <v>115</v>
      </c>
      <c r="R59" s="17">
        <v>115</v>
      </c>
      <c r="S59" s="17">
        <v>115</v>
      </c>
      <c r="T59" s="33">
        <v>140</v>
      </c>
      <c r="U59" s="17">
        <v>0</v>
      </c>
      <c r="V59" s="33">
        <v>90</v>
      </c>
      <c r="W59" s="17">
        <v>2.25</v>
      </c>
      <c r="X59" s="33">
        <v>0</v>
      </c>
      <c r="Y59" s="17"/>
      <c r="Z59" s="174">
        <f>IF(Clear4='Rate Matrix'!$E$1,'Rate Matrix'!X59,IF(Clear4='Rate Matrix'!$R$1,'Rate Matrix'!Y59,'Rate Matrix'!W59))</f>
        <v>0</v>
      </c>
    </row>
    <row r="60" spans="1:26">
      <c r="A60" s="45">
        <v>1.5</v>
      </c>
      <c r="B60" s="48" t="s">
        <v>274</v>
      </c>
      <c r="C60" s="19">
        <v>0</v>
      </c>
      <c r="D60" s="33">
        <v>90</v>
      </c>
      <c r="E60" s="33">
        <v>0</v>
      </c>
      <c r="F60" s="17">
        <v>70</v>
      </c>
      <c r="G60" s="33">
        <v>90</v>
      </c>
      <c r="H60" s="17">
        <v>73</v>
      </c>
      <c r="I60" s="33">
        <v>125</v>
      </c>
      <c r="J60" s="17">
        <v>125</v>
      </c>
      <c r="K60" s="17">
        <v>125</v>
      </c>
      <c r="L60" s="17">
        <v>85</v>
      </c>
      <c r="M60" s="33">
        <v>65</v>
      </c>
      <c r="N60" s="17">
        <v>110</v>
      </c>
      <c r="O60" s="33">
        <v>120</v>
      </c>
      <c r="P60" s="17">
        <v>115</v>
      </c>
      <c r="Q60" s="17">
        <v>115</v>
      </c>
      <c r="R60" s="17">
        <v>115</v>
      </c>
      <c r="S60" s="17">
        <v>115</v>
      </c>
      <c r="T60" s="33">
        <v>140</v>
      </c>
      <c r="U60" s="17">
        <v>0</v>
      </c>
      <c r="V60" s="33">
        <v>90</v>
      </c>
      <c r="W60" s="17">
        <v>2.25</v>
      </c>
      <c r="X60" s="33">
        <v>0</v>
      </c>
      <c r="Y60" s="17"/>
      <c r="Z60" s="174">
        <f>IF(Clear4='Rate Matrix'!$E$1,'Rate Matrix'!X60,IF(Clear4='Rate Matrix'!$R$1,'Rate Matrix'!Y60,'Rate Matrix'!W60))</f>
        <v>0</v>
      </c>
    </row>
    <row r="61" spans="1:26">
      <c r="A61" s="45">
        <v>1.5</v>
      </c>
      <c r="B61" s="48" t="s">
        <v>361</v>
      </c>
      <c r="C61" s="19">
        <v>0</v>
      </c>
      <c r="D61" s="33">
        <v>90</v>
      </c>
      <c r="E61" s="33">
        <v>0</v>
      </c>
      <c r="F61" s="17">
        <v>70</v>
      </c>
      <c r="G61" s="33">
        <v>90</v>
      </c>
      <c r="H61" s="17">
        <v>73</v>
      </c>
      <c r="I61" s="33">
        <v>125</v>
      </c>
      <c r="J61" s="17">
        <v>125</v>
      </c>
      <c r="K61" s="17">
        <v>125</v>
      </c>
      <c r="L61" s="17">
        <v>85</v>
      </c>
      <c r="M61" s="33">
        <v>65</v>
      </c>
      <c r="N61" s="17">
        <v>110</v>
      </c>
      <c r="O61" s="33">
        <v>120</v>
      </c>
      <c r="P61" s="17">
        <v>115</v>
      </c>
      <c r="Q61" s="17">
        <v>115</v>
      </c>
      <c r="R61" s="17">
        <v>115</v>
      </c>
      <c r="S61" s="17">
        <v>115</v>
      </c>
      <c r="T61" s="33">
        <v>140</v>
      </c>
      <c r="U61" s="17">
        <v>0</v>
      </c>
      <c r="V61" s="33">
        <v>90</v>
      </c>
      <c r="W61" s="17">
        <v>2.25</v>
      </c>
      <c r="X61" s="33">
        <v>0</v>
      </c>
      <c r="Y61" s="17"/>
      <c r="Z61" s="174">
        <f>IF(Clear4='Rate Matrix'!$E$1,'Rate Matrix'!X61,IF(Clear4='Rate Matrix'!$R$1,'Rate Matrix'!Y61,'Rate Matrix'!W61))</f>
        <v>0</v>
      </c>
    </row>
    <row r="62" spans="1:26">
      <c r="A62" s="45">
        <v>1.5</v>
      </c>
      <c r="B62" s="48" t="s">
        <v>291</v>
      </c>
      <c r="C62" s="19">
        <v>0</v>
      </c>
      <c r="D62" s="33">
        <v>90</v>
      </c>
      <c r="E62" s="33">
        <v>0</v>
      </c>
      <c r="F62" s="17">
        <v>70</v>
      </c>
      <c r="G62" s="33">
        <v>90</v>
      </c>
      <c r="H62" s="17">
        <v>73</v>
      </c>
      <c r="I62" s="33">
        <v>125</v>
      </c>
      <c r="J62" s="17">
        <v>125</v>
      </c>
      <c r="K62" s="17">
        <v>125</v>
      </c>
      <c r="L62" s="17">
        <v>85</v>
      </c>
      <c r="M62" s="33">
        <v>65</v>
      </c>
      <c r="N62" s="17">
        <v>110</v>
      </c>
      <c r="O62" s="33">
        <v>120</v>
      </c>
      <c r="P62" s="17">
        <v>115</v>
      </c>
      <c r="Q62" s="17">
        <v>115</v>
      </c>
      <c r="R62" s="17">
        <v>115</v>
      </c>
      <c r="S62" s="17">
        <v>115</v>
      </c>
      <c r="T62" s="33">
        <v>140</v>
      </c>
      <c r="U62" s="17">
        <v>0</v>
      </c>
      <c r="V62" s="33">
        <v>90</v>
      </c>
      <c r="W62" s="17">
        <v>2.25</v>
      </c>
      <c r="X62" s="33">
        <v>0</v>
      </c>
      <c r="Y62" s="17"/>
      <c r="Z62" s="174">
        <f>IF(Clear4='Rate Matrix'!$E$1,'Rate Matrix'!X62,IF(Clear4='Rate Matrix'!$R$1,'Rate Matrix'!Y62,'Rate Matrix'!W62))</f>
        <v>0</v>
      </c>
    </row>
    <row r="63" spans="1:26">
      <c r="A63" s="45">
        <v>1.5</v>
      </c>
      <c r="B63" s="48" t="s">
        <v>292</v>
      </c>
      <c r="C63" s="19">
        <v>0</v>
      </c>
      <c r="D63" s="33">
        <v>95</v>
      </c>
      <c r="E63" s="33">
        <v>0</v>
      </c>
      <c r="F63" s="17">
        <v>70</v>
      </c>
      <c r="G63" s="33">
        <v>90</v>
      </c>
      <c r="H63" s="17">
        <v>73</v>
      </c>
      <c r="I63" s="33">
        <v>125</v>
      </c>
      <c r="J63" s="17">
        <v>125</v>
      </c>
      <c r="K63" s="17">
        <v>125</v>
      </c>
      <c r="L63" s="17">
        <v>85</v>
      </c>
      <c r="M63" s="33">
        <v>65</v>
      </c>
      <c r="N63" s="17">
        <v>110</v>
      </c>
      <c r="O63" s="33">
        <v>120</v>
      </c>
      <c r="P63" s="17">
        <v>115</v>
      </c>
      <c r="Q63" s="17">
        <v>115</v>
      </c>
      <c r="R63" s="17">
        <v>115</v>
      </c>
      <c r="S63" s="17">
        <v>115</v>
      </c>
      <c r="T63" s="33">
        <v>140</v>
      </c>
      <c r="U63" s="17">
        <v>0</v>
      </c>
      <c r="V63" s="33">
        <v>90</v>
      </c>
      <c r="W63" s="17">
        <v>2.75</v>
      </c>
      <c r="X63" s="33">
        <v>0</v>
      </c>
      <c r="Y63" s="17"/>
      <c r="Z63" s="174">
        <f>IF(Clear4='Rate Matrix'!$E$1,'Rate Matrix'!X63,IF(Clear4='Rate Matrix'!$R$1,'Rate Matrix'!Y63,'Rate Matrix'!W63))</f>
        <v>0</v>
      </c>
    </row>
    <row r="64" spans="1:26">
      <c r="A64" s="45">
        <v>1.5</v>
      </c>
      <c r="B64" s="48" t="s">
        <v>275</v>
      </c>
      <c r="C64" s="19">
        <v>0</v>
      </c>
      <c r="D64" s="33">
        <v>90</v>
      </c>
      <c r="E64" s="33">
        <v>0</v>
      </c>
      <c r="F64" s="17">
        <v>70</v>
      </c>
      <c r="G64" s="33">
        <v>90</v>
      </c>
      <c r="H64" s="17">
        <v>73</v>
      </c>
      <c r="I64" s="33">
        <v>125</v>
      </c>
      <c r="J64" s="17">
        <v>125</v>
      </c>
      <c r="K64" s="17">
        <v>125</v>
      </c>
      <c r="L64" s="17">
        <v>85</v>
      </c>
      <c r="M64" s="33">
        <v>65</v>
      </c>
      <c r="N64" s="17">
        <v>110</v>
      </c>
      <c r="O64" s="33">
        <v>120</v>
      </c>
      <c r="P64" s="17">
        <v>115</v>
      </c>
      <c r="Q64" s="17">
        <v>115</v>
      </c>
      <c r="R64" s="17">
        <v>115</v>
      </c>
      <c r="S64" s="17">
        <v>115</v>
      </c>
      <c r="T64" s="33">
        <v>140</v>
      </c>
      <c r="U64" s="17">
        <v>0</v>
      </c>
      <c r="V64" s="33">
        <v>90</v>
      </c>
      <c r="W64" s="17">
        <v>2.25</v>
      </c>
      <c r="X64" s="33">
        <v>0</v>
      </c>
      <c r="Y64" s="17"/>
      <c r="Z64" s="174">
        <f>IF(Clear4='Rate Matrix'!$E$1,'Rate Matrix'!X64,IF(Clear4='Rate Matrix'!$R$1,'Rate Matrix'!Y64,'Rate Matrix'!W64))</f>
        <v>0</v>
      </c>
    </row>
    <row r="65" spans="1:26">
      <c r="A65" s="45">
        <v>1.5</v>
      </c>
      <c r="B65" s="48" t="s">
        <v>276</v>
      </c>
      <c r="C65" s="19">
        <v>0</v>
      </c>
      <c r="D65" s="33">
        <v>95</v>
      </c>
      <c r="E65" s="33">
        <v>0</v>
      </c>
      <c r="F65" s="17">
        <v>70</v>
      </c>
      <c r="G65" s="33">
        <v>90</v>
      </c>
      <c r="H65" s="17">
        <v>73</v>
      </c>
      <c r="I65" s="33">
        <v>125</v>
      </c>
      <c r="J65" s="17">
        <v>125</v>
      </c>
      <c r="K65" s="17">
        <v>125</v>
      </c>
      <c r="L65" s="17">
        <v>85</v>
      </c>
      <c r="M65" s="33">
        <v>65</v>
      </c>
      <c r="N65" s="17">
        <v>110</v>
      </c>
      <c r="O65" s="33">
        <v>120</v>
      </c>
      <c r="P65" s="17">
        <v>115</v>
      </c>
      <c r="Q65" s="17">
        <v>115</v>
      </c>
      <c r="R65" s="17">
        <v>115</v>
      </c>
      <c r="S65" s="17">
        <v>115</v>
      </c>
      <c r="T65" s="33">
        <v>140</v>
      </c>
      <c r="U65" s="17">
        <v>0</v>
      </c>
      <c r="V65" s="33">
        <v>90</v>
      </c>
      <c r="W65" s="17">
        <v>2.75</v>
      </c>
      <c r="X65" s="33">
        <v>0</v>
      </c>
      <c r="Y65" s="17"/>
      <c r="Z65" s="174">
        <f>IF(Clear4='Rate Matrix'!$E$1,'Rate Matrix'!X65,IF(Clear4='Rate Matrix'!$R$1,'Rate Matrix'!Y65,'Rate Matrix'!W65))</f>
        <v>0</v>
      </c>
    </row>
    <row r="66" spans="1:26">
      <c r="A66" s="45">
        <v>1.5</v>
      </c>
      <c r="B66" s="48" t="s">
        <v>277</v>
      </c>
      <c r="C66" s="19">
        <v>0</v>
      </c>
      <c r="D66" s="33">
        <v>90</v>
      </c>
      <c r="E66" s="33">
        <v>0</v>
      </c>
      <c r="F66" s="17">
        <v>70</v>
      </c>
      <c r="G66" s="33">
        <v>90</v>
      </c>
      <c r="H66" s="17">
        <v>73</v>
      </c>
      <c r="I66" s="33">
        <v>125</v>
      </c>
      <c r="J66" s="17">
        <v>125</v>
      </c>
      <c r="K66" s="17">
        <v>125</v>
      </c>
      <c r="L66" s="17">
        <v>85</v>
      </c>
      <c r="M66" s="33">
        <v>65</v>
      </c>
      <c r="N66" s="17">
        <v>110</v>
      </c>
      <c r="O66" s="33">
        <v>120</v>
      </c>
      <c r="P66" s="17">
        <v>115</v>
      </c>
      <c r="Q66" s="17">
        <v>115</v>
      </c>
      <c r="R66" s="17">
        <v>115</v>
      </c>
      <c r="S66" s="17">
        <v>115</v>
      </c>
      <c r="T66" s="33">
        <v>140</v>
      </c>
      <c r="U66" s="17">
        <v>0</v>
      </c>
      <c r="V66" s="33">
        <v>90</v>
      </c>
      <c r="W66" s="17">
        <v>2.25</v>
      </c>
      <c r="X66" s="33">
        <v>0</v>
      </c>
      <c r="Y66" s="17"/>
      <c r="Z66" s="174">
        <f>IF(Clear4='Rate Matrix'!$E$1,'Rate Matrix'!X66,IF(Clear4='Rate Matrix'!$R$1,'Rate Matrix'!Y66,'Rate Matrix'!W66))</f>
        <v>0</v>
      </c>
    </row>
    <row r="67" spans="1:26">
      <c r="A67" s="45"/>
      <c r="B67" s="48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17"/>
      <c r="T67" s="33"/>
      <c r="U67" s="17"/>
      <c r="V67" s="33"/>
      <c r="W67" s="17"/>
      <c r="X67" s="33"/>
      <c r="Y67" s="17"/>
      <c r="Z67" s="33"/>
    </row>
    <row r="68" spans="1:26">
      <c r="A68" s="45"/>
      <c r="B68" s="48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17"/>
      <c r="T68" s="33"/>
      <c r="U68" s="17"/>
      <c r="V68" s="33"/>
      <c r="W68" s="17"/>
      <c r="X68" s="33"/>
      <c r="Y68" s="17"/>
      <c r="Z68" s="33"/>
    </row>
    <row r="69" spans="1:26">
      <c r="A69" s="45"/>
      <c r="B69" s="48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17"/>
      <c r="T69" s="33"/>
      <c r="U69" s="17"/>
      <c r="V69" s="33"/>
      <c r="W69" s="17"/>
      <c r="X69" s="33"/>
      <c r="Y69" s="17"/>
      <c r="Z69" s="33"/>
    </row>
    <row r="70" spans="1:26">
      <c r="A70" s="45"/>
      <c r="B70" s="48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17"/>
      <c r="T70" s="33"/>
      <c r="U70" s="17"/>
      <c r="V70" s="33"/>
      <c r="W70" s="17"/>
      <c r="X70" s="33"/>
      <c r="Y70" s="17"/>
      <c r="Z70" s="33"/>
    </row>
    <row r="71" spans="1:26">
      <c r="A71" s="45"/>
      <c r="B71" s="48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17"/>
      <c r="T71" s="33"/>
      <c r="U71" s="17"/>
      <c r="V71" s="33"/>
      <c r="W71" s="17"/>
      <c r="X71" s="33"/>
      <c r="Y71" s="17"/>
      <c r="Z71" s="33"/>
    </row>
    <row r="72" spans="1:26">
      <c r="A72" s="45"/>
      <c r="B72" s="48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17"/>
      <c r="T72" s="33"/>
      <c r="U72" s="17"/>
      <c r="V72" s="33"/>
      <c r="W72" s="17"/>
      <c r="X72" s="33"/>
      <c r="Y72" s="17"/>
      <c r="Z72" s="33"/>
    </row>
    <row r="73" spans="1:26">
      <c r="A73" s="45"/>
      <c r="B73" s="48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17"/>
      <c r="T73" s="33"/>
      <c r="U73" s="17"/>
      <c r="V73" s="33"/>
      <c r="W73" s="17"/>
      <c r="X73" s="34"/>
      <c r="Y73" s="17"/>
      <c r="Z73" s="34"/>
    </row>
    <row r="74" spans="1:26">
      <c r="A74" s="45"/>
      <c r="B74" s="48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17"/>
      <c r="T74" s="33"/>
      <c r="U74" s="17"/>
      <c r="V74" s="33"/>
      <c r="W74" s="17"/>
      <c r="X74" s="34"/>
      <c r="Y74" s="17"/>
      <c r="Z74" s="34"/>
    </row>
    <row r="75" spans="1:26">
      <c r="A75" s="45"/>
      <c r="B75" s="48"/>
      <c r="C75" s="19"/>
      <c r="D75" s="33"/>
      <c r="E75" s="33"/>
      <c r="F75" s="17"/>
      <c r="G75" s="33"/>
      <c r="H75" s="17"/>
      <c r="I75" s="33"/>
      <c r="J75" s="17"/>
      <c r="K75" s="17"/>
      <c r="L75" s="17"/>
      <c r="M75" s="33"/>
      <c r="N75" s="17"/>
      <c r="O75" s="33"/>
      <c r="P75" s="17"/>
      <c r="Q75" s="17"/>
      <c r="R75" s="17"/>
      <c r="S75" s="17"/>
      <c r="T75" s="33"/>
      <c r="U75" s="17"/>
      <c r="V75" s="33"/>
      <c r="W75" s="17"/>
      <c r="X75" s="34"/>
      <c r="Y75" s="17"/>
      <c r="Z75" s="34"/>
    </row>
    <row r="76" spans="1:26">
      <c r="A76" s="45"/>
      <c r="B76" s="48"/>
      <c r="C76" s="19"/>
      <c r="D76" s="33"/>
      <c r="E76" s="33"/>
      <c r="F76" s="17"/>
      <c r="G76" s="33"/>
      <c r="H76" s="17"/>
      <c r="I76" s="33"/>
      <c r="J76" s="17"/>
      <c r="K76" s="17"/>
      <c r="L76" s="17"/>
      <c r="M76" s="33"/>
      <c r="N76" s="17"/>
      <c r="O76" s="33"/>
      <c r="P76" s="17"/>
      <c r="Q76" s="17"/>
      <c r="R76" s="17"/>
      <c r="S76" s="17"/>
      <c r="T76" s="33"/>
      <c r="U76" s="17"/>
      <c r="V76" s="33"/>
      <c r="W76" s="17"/>
      <c r="X76" s="34"/>
      <c r="Y76" s="17"/>
      <c r="Z76" s="34"/>
    </row>
    <row r="77" spans="1:26">
      <c r="A77" s="45"/>
      <c r="B77" s="48"/>
      <c r="C77" s="19"/>
      <c r="D77" s="33"/>
      <c r="E77" s="33"/>
      <c r="F77" s="17"/>
      <c r="G77" s="33"/>
      <c r="H77" s="17"/>
      <c r="I77" s="33"/>
      <c r="J77" s="17"/>
      <c r="K77" s="17"/>
      <c r="L77" s="17"/>
      <c r="M77" s="33"/>
      <c r="N77" s="17"/>
      <c r="O77" s="33"/>
      <c r="P77" s="17"/>
      <c r="Q77" s="17"/>
      <c r="R77" s="17"/>
      <c r="S77" s="17"/>
      <c r="T77" s="33"/>
      <c r="U77" s="17"/>
      <c r="V77" s="33"/>
      <c r="W77" s="17"/>
      <c r="X77" s="34"/>
      <c r="Y77" s="17"/>
      <c r="Z77" s="34"/>
    </row>
    <row r="78" spans="1:26">
      <c r="A78" s="45"/>
      <c r="B78" s="48"/>
      <c r="C78" s="19"/>
      <c r="D78" s="33"/>
      <c r="E78" s="33"/>
      <c r="F78" s="17"/>
      <c r="G78" s="33"/>
      <c r="H78" s="17"/>
      <c r="I78" s="33"/>
      <c r="J78" s="17"/>
      <c r="K78" s="17"/>
      <c r="L78" s="17"/>
      <c r="M78" s="33"/>
      <c r="N78" s="17"/>
      <c r="O78" s="33"/>
      <c r="P78" s="17"/>
      <c r="Q78" s="17"/>
      <c r="R78" s="17"/>
      <c r="S78" s="17"/>
      <c r="T78" s="33"/>
      <c r="U78" s="17"/>
      <c r="V78" s="33"/>
      <c r="W78" s="17"/>
      <c r="X78" s="34"/>
      <c r="Y78" s="17"/>
      <c r="Z78" s="34"/>
    </row>
    <row r="79" spans="1:26">
      <c r="A79" s="45"/>
      <c r="B79" s="48"/>
      <c r="C79" s="19"/>
      <c r="D79" s="33"/>
      <c r="E79" s="33"/>
      <c r="F79" s="17"/>
      <c r="G79" s="33"/>
      <c r="H79" s="17"/>
      <c r="I79" s="33"/>
      <c r="J79" s="17"/>
      <c r="K79" s="17"/>
      <c r="L79" s="17"/>
      <c r="M79" s="33"/>
      <c r="N79" s="17"/>
      <c r="O79" s="33"/>
      <c r="P79" s="17"/>
      <c r="Q79" s="17"/>
      <c r="R79" s="17"/>
      <c r="S79" s="17"/>
      <c r="T79" s="33"/>
      <c r="U79" s="17"/>
      <c r="V79" s="33"/>
      <c r="W79" s="17"/>
      <c r="X79" s="34"/>
      <c r="Y79" s="17"/>
      <c r="Z79" s="34"/>
    </row>
    <row r="80" spans="1:26">
      <c r="A80" s="45"/>
      <c r="B80" s="48"/>
      <c r="C80" s="19"/>
      <c r="D80" s="33"/>
      <c r="E80" s="33"/>
      <c r="F80" s="17"/>
      <c r="G80" s="33"/>
      <c r="H80" s="17"/>
      <c r="I80" s="33"/>
      <c r="J80" s="17"/>
      <c r="K80" s="17"/>
      <c r="L80" s="17"/>
      <c r="M80" s="33"/>
      <c r="N80" s="17"/>
      <c r="O80" s="33"/>
      <c r="P80" s="17"/>
      <c r="Q80" s="17"/>
      <c r="R80" s="17"/>
      <c r="S80" s="17"/>
      <c r="T80" s="33"/>
      <c r="U80" s="17"/>
      <c r="V80" s="33"/>
      <c r="W80" s="17"/>
      <c r="X80" s="34"/>
      <c r="Y80" s="17"/>
      <c r="Z80" s="34"/>
    </row>
    <row r="81" spans="1:26">
      <c r="A81" s="45"/>
      <c r="B81" s="48"/>
      <c r="C81" s="19"/>
      <c r="D81" s="33"/>
      <c r="E81" s="33"/>
      <c r="F81" s="17"/>
      <c r="G81" s="33"/>
      <c r="H81" s="17"/>
      <c r="I81" s="33"/>
      <c r="J81" s="17"/>
      <c r="K81" s="17"/>
      <c r="L81" s="17"/>
      <c r="M81" s="33"/>
      <c r="N81" s="17"/>
      <c r="O81" s="33"/>
      <c r="P81" s="17"/>
      <c r="Q81" s="17"/>
      <c r="R81" s="17"/>
      <c r="S81" s="17"/>
      <c r="T81" s="33"/>
      <c r="U81" s="17"/>
      <c r="V81" s="33"/>
      <c r="W81" s="17"/>
      <c r="X81" s="34"/>
      <c r="Y81" s="17"/>
      <c r="Z81" s="34"/>
    </row>
    <row r="82" spans="1:26">
      <c r="A82" s="45"/>
      <c r="B82" s="48"/>
      <c r="C82" s="19"/>
      <c r="D82" s="33"/>
      <c r="E82" s="33"/>
      <c r="F82" s="17"/>
      <c r="G82" s="33"/>
      <c r="H82" s="17"/>
      <c r="I82" s="33"/>
      <c r="J82" s="17"/>
      <c r="K82" s="17"/>
      <c r="L82" s="17"/>
      <c r="M82" s="33"/>
      <c r="N82" s="17"/>
      <c r="O82" s="33"/>
      <c r="P82" s="17"/>
      <c r="Q82" s="17"/>
      <c r="R82" s="17"/>
      <c r="S82" s="17"/>
      <c r="T82" s="33"/>
      <c r="U82" s="17"/>
      <c r="V82" s="33"/>
      <c r="W82" s="17"/>
      <c r="X82" s="34"/>
      <c r="Y82" s="17"/>
      <c r="Z82" s="34"/>
    </row>
    <row r="83" spans="1:26">
      <c r="A83" s="46"/>
      <c r="B83" s="48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34"/>
      <c r="U83" s="17"/>
      <c r="V83" s="34"/>
      <c r="W83" s="17"/>
      <c r="X83" s="34"/>
      <c r="Y83" s="17"/>
      <c r="Z83" s="34"/>
    </row>
    <row r="84" spans="1:26">
      <c r="A84" s="46"/>
      <c r="B84" s="48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34"/>
      <c r="U84" s="17"/>
      <c r="V84" s="34"/>
      <c r="W84" s="17"/>
      <c r="X84" s="34"/>
      <c r="Y84" s="17"/>
      <c r="Z84" s="34"/>
    </row>
    <row r="85" spans="1:26">
      <c r="A85" s="46"/>
      <c r="B85" s="48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34"/>
      <c r="U85" s="17"/>
      <c r="V85" s="34"/>
      <c r="W85" s="17"/>
      <c r="X85" s="34"/>
      <c r="Y85" s="17"/>
      <c r="Z85" s="34"/>
    </row>
    <row r="86" spans="1:26">
      <c r="A86" s="46"/>
      <c r="B86" s="48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34"/>
      <c r="U86" s="17"/>
      <c r="V86" s="34"/>
      <c r="W86" s="17"/>
      <c r="X86" s="34"/>
      <c r="Y86" s="17"/>
      <c r="Z86" s="34"/>
    </row>
    <row r="87" spans="1:26">
      <c r="A87" s="46"/>
      <c r="B87" s="48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34"/>
      <c r="U87" s="17"/>
      <c r="V87" s="34"/>
      <c r="W87" s="17"/>
      <c r="X87" s="34"/>
      <c r="Y87" s="17"/>
      <c r="Z87" s="34"/>
    </row>
    <row r="88" spans="1:26">
      <c r="A88" s="46"/>
      <c r="B88" s="48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34"/>
      <c r="U88" s="17"/>
      <c r="V88" s="34"/>
      <c r="W88" s="17"/>
      <c r="X88" s="34"/>
      <c r="Y88" s="17"/>
      <c r="Z88" s="34"/>
    </row>
    <row r="89" spans="1:26">
      <c r="A89" s="46"/>
      <c r="B89" s="48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34"/>
      <c r="U89" s="17"/>
      <c r="V89" s="34"/>
      <c r="W89" s="17"/>
      <c r="X89" s="34"/>
      <c r="Y89" s="17"/>
      <c r="Z89" s="34"/>
    </row>
    <row r="90" spans="1:26">
      <c r="A90" s="46"/>
      <c r="B90" s="48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34"/>
      <c r="U90" s="17"/>
      <c r="V90" s="34"/>
      <c r="W90" s="17"/>
      <c r="X90" s="34"/>
      <c r="Y90" s="17"/>
      <c r="Z90" s="34"/>
    </row>
    <row r="91" spans="1:26">
      <c r="A91" s="46"/>
      <c r="B91" s="48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34"/>
      <c r="U91" s="17"/>
      <c r="V91" s="34"/>
      <c r="W91" s="17"/>
      <c r="X91" s="34"/>
      <c r="Y91" s="17"/>
      <c r="Z91" s="34"/>
    </row>
    <row r="92" spans="1:26">
      <c r="A92" s="46"/>
      <c r="B92" s="48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34"/>
      <c r="U92" s="17"/>
      <c r="V92" s="34"/>
      <c r="W92" s="17"/>
      <c r="X92" s="34"/>
      <c r="Y92" s="17"/>
      <c r="Z92" s="34"/>
    </row>
    <row r="93" spans="1:26">
      <c r="A93" s="46"/>
      <c r="B93" s="48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34"/>
      <c r="U93" s="17"/>
      <c r="V93" s="34"/>
      <c r="W93" s="17"/>
      <c r="X93" s="34"/>
      <c r="Y93" s="17"/>
      <c r="Z93" s="34"/>
    </row>
    <row r="94" spans="1:26">
      <c r="A94" s="46"/>
      <c r="B94" s="48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34"/>
      <c r="U94" s="17"/>
      <c r="V94" s="34"/>
      <c r="W94" s="17"/>
      <c r="X94" s="34"/>
      <c r="Y94" s="17"/>
      <c r="Z94" s="34"/>
    </row>
    <row r="95" spans="1:26">
      <c r="A95" s="46"/>
      <c r="B95" s="48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34"/>
      <c r="U95" s="17"/>
      <c r="V95" s="34"/>
      <c r="W95" s="17"/>
      <c r="X95" s="34"/>
      <c r="Y95" s="17"/>
      <c r="Z95" s="34"/>
    </row>
    <row r="96" spans="1:26">
      <c r="A96" s="46"/>
      <c r="B96" s="48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34"/>
      <c r="U96" s="17"/>
      <c r="V96" s="34"/>
      <c r="W96" s="17"/>
      <c r="X96" s="34"/>
      <c r="Y96" s="17"/>
      <c r="Z96" s="34"/>
    </row>
    <row r="97" spans="1:26">
      <c r="A97" s="46"/>
      <c r="B97" s="48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34"/>
      <c r="U97" s="17"/>
      <c r="V97" s="34"/>
      <c r="W97" s="17"/>
      <c r="X97" s="34"/>
      <c r="Y97" s="17"/>
      <c r="Z97" s="34"/>
    </row>
    <row r="98" spans="1:26">
      <c r="A98" s="46"/>
      <c r="B98" s="48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34"/>
      <c r="U98" s="17"/>
      <c r="V98" s="34"/>
      <c r="W98" s="17"/>
      <c r="X98" s="34"/>
      <c r="Y98" s="17"/>
      <c r="Z98" s="34"/>
    </row>
    <row r="99" spans="1:26">
      <c r="A99" s="46"/>
      <c r="B99" s="48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34"/>
      <c r="U99" s="17"/>
      <c r="V99" s="34"/>
      <c r="W99" s="17"/>
      <c r="X99" s="34"/>
      <c r="Y99" s="17"/>
      <c r="Z99" s="34"/>
    </row>
    <row r="100" spans="1:26">
      <c r="A100" s="46"/>
      <c r="B100" s="48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34"/>
      <c r="U100" s="17"/>
      <c r="V100" s="34"/>
      <c r="W100" s="17"/>
      <c r="X100" s="34"/>
      <c r="Y100" s="17"/>
      <c r="Z100" s="34"/>
    </row>
    <row r="101" spans="1:26">
      <c r="A101" s="46"/>
      <c r="B101" s="48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34"/>
      <c r="U101" s="17"/>
      <c r="V101" s="34"/>
      <c r="W101" s="17"/>
      <c r="X101" s="34"/>
      <c r="Y101" s="17"/>
      <c r="Z101" s="34"/>
    </row>
    <row r="102" spans="1:26">
      <c r="A102" s="46"/>
      <c r="B102" s="48"/>
      <c r="C102" s="17"/>
      <c r="D102" s="34"/>
      <c r="E102" s="34"/>
      <c r="F102" s="17"/>
      <c r="G102" s="34"/>
      <c r="H102" s="17"/>
      <c r="I102" s="34"/>
      <c r="J102" s="17"/>
      <c r="K102" s="34"/>
      <c r="L102" s="17"/>
      <c r="M102" s="34"/>
      <c r="N102" s="17"/>
      <c r="O102" s="34"/>
      <c r="P102" s="17"/>
      <c r="Q102" s="34"/>
      <c r="R102" s="17"/>
      <c r="S102" s="34"/>
      <c r="T102" s="34"/>
      <c r="U102" s="17"/>
      <c r="V102" s="34"/>
      <c r="W102" s="17"/>
      <c r="X102" s="34"/>
      <c r="Y102" s="17"/>
      <c r="Z102" s="34"/>
    </row>
    <row r="103" spans="1:26">
      <c r="A103" s="46"/>
      <c r="B103" s="48"/>
      <c r="C103" s="17"/>
      <c r="D103" s="34"/>
      <c r="E103" s="34"/>
      <c r="F103" s="17"/>
      <c r="G103" s="34"/>
      <c r="H103" s="17"/>
      <c r="I103" s="34"/>
      <c r="J103" s="17"/>
      <c r="K103" s="34"/>
      <c r="L103" s="17"/>
      <c r="M103" s="34"/>
      <c r="N103" s="17"/>
      <c r="O103" s="34"/>
      <c r="P103" s="17"/>
      <c r="Q103" s="34"/>
      <c r="R103" s="17"/>
      <c r="S103" s="34"/>
      <c r="T103" s="34"/>
      <c r="U103" s="17"/>
      <c r="V103" s="34"/>
      <c r="W103" s="17"/>
      <c r="X103" s="34"/>
      <c r="Y103" s="17"/>
      <c r="Z103" s="34"/>
    </row>
    <row r="104" spans="1:26">
      <c r="A104" s="46"/>
      <c r="B104" s="48"/>
      <c r="C104" s="17"/>
      <c r="D104" s="34"/>
      <c r="E104" s="34"/>
      <c r="F104" s="17"/>
      <c r="G104" s="34"/>
      <c r="H104" s="17"/>
      <c r="I104" s="34"/>
      <c r="J104" s="17"/>
      <c r="K104" s="34"/>
      <c r="L104" s="17"/>
      <c r="M104" s="34"/>
      <c r="N104" s="17"/>
      <c r="O104" s="34"/>
      <c r="P104" s="17"/>
      <c r="Q104" s="34"/>
      <c r="R104" s="17"/>
      <c r="S104" s="34"/>
      <c r="T104" s="34"/>
      <c r="U104" s="17"/>
      <c r="V104" s="34"/>
      <c r="W104" s="17"/>
      <c r="X104" s="34"/>
      <c r="Y104" s="17"/>
      <c r="Z104" s="34"/>
    </row>
    <row r="105" spans="1:26">
      <c r="A105" s="46"/>
      <c r="B105" s="48"/>
      <c r="C105" s="17"/>
      <c r="D105" s="34"/>
      <c r="E105" s="34"/>
      <c r="F105" s="17"/>
      <c r="G105" s="34"/>
      <c r="H105" s="17"/>
      <c r="I105" s="34"/>
      <c r="J105" s="17"/>
      <c r="K105" s="34"/>
      <c r="L105" s="17"/>
      <c r="M105" s="34"/>
      <c r="N105" s="17"/>
      <c r="O105" s="34"/>
      <c r="P105" s="17"/>
      <c r="Q105" s="34"/>
      <c r="R105" s="17"/>
      <c r="S105" s="34"/>
      <c r="T105" s="34"/>
      <c r="U105" s="17"/>
      <c r="V105" s="34"/>
      <c r="W105" s="17"/>
      <c r="X105" s="34"/>
      <c r="Y105" s="17"/>
      <c r="Z105" s="34"/>
    </row>
    <row r="106" spans="1:26">
      <c r="A106" s="46"/>
      <c r="B106" s="48"/>
      <c r="C106" s="17"/>
      <c r="D106" s="34"/>
      <c r="E106" s="34"/>
      <c r="F106" s="17"/>
      <c r="G106" s="34"/>
      <c r="H106" s="17"/>
      <c r="I106" s="34"/>
      <c r="J106" s="17"/>
      <c r="K106" s="34"/>
      <c r="L106" s="17"/>
      <c r="M106" s="34"/>
      <c r="N106" s="17"/>
      <c r="O106" s="34"/>
      <c r="P106" s="17"/>
      <c r="Q106" s="34"/>
      <c r="R106" s="17"/>
      <c r="S106" s="34"/>
      <c r="T106" s="34"/>
      <c r="U106" s="17"/>
      <c r="V106" s="34"/>
      <c r="W106" s="17"/>
      <c r="X106" s="34"/>
      <c r="Y106" s="17"/>
      <c r="Z106" s="34"/>
    </row>
    <row r="107" spans="1:26">
      <c r="A107" s="46"/>
      <c r="B107" s="48"/>
      <c r="C107" s="17"/>
      <c r="D107" s="34"/>
      <c r="E107" s="34"/>
      <c r="F107" s="17"/>
      <c r="G107" s="34"/>
      <c r="H107" s="17"/>
      <c r="I107" s="34"/>
      <c r="J107" s="17"/>
      <c r="K107" s="34"/>
      <c r="L107" s="17"/>
      <c r="M107" s="34"/>
      <c r="N107" s="17"/>
      <c r="O107" s="34"/>
      <c r="P107" s="17"/>
      <c r="Q107" s="34"/>
      <c r="R107" s="17"/>
      <c r="S107" s="34"/>
      <c r="T107" s="34"/>
      <c r="U107" s="17"/>
      <c r="V107" s="34"/>
      <c r="W107" s="17"/>
      <c r="X107" s="34"/>
      <c r="Y107" s="17"/>
      <c r="Z107" s="34"/>
    </row>
    <row r="108" spans="1:26">
      <c r="A108" s="46"/>
      <c r="B108" s="48"/>
      <c r="C108" s="17"/>
      <c r="D108" s="34"/>
      <c r="E108" s="34"/>
      <c r="F108" s="17"/>
      <c r="G108" s="34"/>
      <c r="H108" s="17"/>
      <c r="I108" s="34"/>
      <c r="J108" s="17"/>
      <c r="K108" s="34"/>
      <c r="L108" s="17"/>
      <c r="M108" s="34"/>
      <c r="N108" s="17"/>
      <c r="O108" s="34"/>
      <c r="P108" s="17"/>
      <c r="Q108" s="34"/>
      <c r="R108" s="17"/>
      <c r="S108" s="34"/>
      <c r="T108" s="34"/>
      <c r="U108" s="17"/>
      <c r="V108" s="34"/>
      <c r="W108" s="17"/>
      <c r="X108" s="34"/>
      <c r="Y108" s="17"/>
      <c r="Z108" s="34"/>
    </row>
    <row r="109" spans="1:26">
      <c r="A109" s="46"/>
      <c r="B109" s="48"/>
      <c r="C109" s="17"/>
      <c r="D109" s="34"/>
      <c r="E109" s="34"/>
      <c r="F109" s="17"/>
      <c r="G109" s="34"/>
      <c r="H109" s="17"/>
      <c r="I109" s="34"/>
      <c r="J109" s="17"/>
      <c r="K109" s="34"/>
      <c r="L109" s="17"/>
      <c r="M109" s="34"/>
      <c r="N109" s="17"/>
      <c r="O109" s="34"/>
      <c r="P109" s="17"/>
      <c r="Q109" s="34"/>
      <c r="R109" s="17"/>
      <c r="S109" s="34"/>
      <c r="T109" s="34"/>
      <c r="U109" s="17"/>
      <c r="V109" s="34"/>
      <c r="W109" s="17"/>
      <c r="X109" s="34"/>
      <c r="Y109" s="17"/>
      <c r="Z109" s="34"/>
    </row>
    <row r="110" spans="1:26">
      <c r="A110" s="47"/>
      <c r="B110" s="49"/>
      <c r="C110" s="18"/>
      <c r="D110" s="35"/>
      <c r="E110" s="35"/>
      <c r="F110" s="18"/>
      <c r="G110" s="35"/>
      <c r="H110" s="18"/>
      <c r="I110" s="35"/>
      <c r="J110" s="18"/>
      <c r="K110" s="35"/>
      <c r="L110" s="18"/>
      <c r="M110" s="35"/>
      <c r="N110" s="18"/>
      <c r="O110" s="35"/>
      <c r="P110" s="18"/>
      <c r="Q110" s="35"/>
      <c r="R110" s="18"/>
      <c r="S110" s="35"/>
      <c r="T110" s="35"/>
      <c r="U110" s="18"/>
      <c r="V110" s="35"/>
      <c r="W110" s="18"/>
      <c r="X110" s="35"/>
      <c r="Y110" s="18"/>
      <c r="Z110" s="35"/>
    </row>
    <row r="111" spans="1:26" hidden="1"/>
    <row r="112" spans="1:26" hidden="1"/>
    <row r="113" hidden="1"/>
    <row r="114"/>
    <row r="115"/>
    <row r="116"/>
    <row r="117"/>
    <row r="118"/>
    <row r="119"/>
    <row r="120"/>
    <row r="121"/>
    <row r="122"/>
    <row r="123"/>
    <row r="124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2"/>
  <sheetViews>
    <sheetView workbookViewId="0">
      <selection activeCell="C10" sqref="C10:D10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46.8554687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155</v>
      </c>
      <c r="V1" s="21"/>
      <c r="W1" s="21" t="s">
        <v>72</v>
      </c>
      <c r="X1" s="21"/>
      <c r="Y1" s="21" t="s">
        <v>172</v>
      </c>
      <c r="Z1" s="21"/>
      <c r="AA1" s="21" t="s">
        <v>6</v>
      </c>
      <c r="AB1" s="21"/>
      <c r="AC1" s="21" t="s">
        <v>7</v>
      </c>
      <c r="AD1" s="21"/>
      <c r="AE1" s="173" t="s">
        <v>282</v>
      </c>
      <c r="AF1" s="173"/>
      <c r="AG1" s="52"/>
      <c r="AH1" s="52" t="s">
        <v>310</v>
      </c>
      <c r="AI1" s="51"/>
    </row>
    <row r="2" spans="1:35">
      <c r="A2" s="23">
        <v>42370</v>
      </c>
      <c r="B2" s="25"/>
      <c r="C2" s="16" t="s">
        <v>328</v>
      </c>
      <c r="D2" s="16">
        <v>1</v>
      </c>
      <c r="E2" s="29"/>
      <c r="F2" s="16" t="s">
        <v>186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230</v>
      </c>
      <c r="P2" s="25"/>
      <c r="Q2" s="16" t="s">
        <v>161</v>
      </c>
      <c r="R2" s="25"/>
      <c r="S2" s="16" t="s">
        <v>90</v>
      </c>
      <c r="T2" s="29"/>
      <c r="U2" s="16" t="s">
        <v>125</v>
      </c>
      <c r="V2" s="25"/>
      <c r="W2" s="22" t="s">
        <v>279</v>
      </c>
      <c r="X2" s="29"/>
      <c r="Y2" s="16" t="s">
        <v>174</v>
      </c>
      <c r="Z2" s="25"/>
      <c r="AA2" s="16" t="s">
        <v>213</v>
      </c>
      <c r="AB2" s="25"/>
      <c r="AC2" s="22" t="s">
        <v>222</v>
      </c>
      <c r="AD2" s="29"/>
      <c r="AE2" s="16" t="s">
        <v>87</v>
      </c>
      <c r="AF2" s="16" t="s">
        <v>185</v>
      </c>
      <c r="AG2" s="29"/>
      <c r="AH2" s="55">
        <v>42370</v>
      </c>
      <c r="AI2" s="25"/>
    </row>
    <row r="3" spans="1:35">
      <c r="A3" s="23">
        <v>42370.010416666664</v>
      </c>
      <c r="B3" s="25"/>
      <c r="C3" s="16" t="s">
        <v>329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231</v>
      </c>
      <c r="P3" s="25"/>
      <c r="Q3" s="16" t="s">
        <v>167</v>
      </c>
      <c r="R3" s="25"/>
      <c r="S3" s="16" t="s">
        <v>93</v>
      </c>
      <c r="T3" s="29"/>
      <c r="U3" s="16" t="s">
        <v>156</v>
      </c>
      <c r="V3" s="25"/>
      <c r="W3" s="22" t="s">
        <v>280</v>
      </c>
      <c r="X3" s="29"/>
      <c r="Y3" s="16" t="s">
        <v>175</v>
      </c>
      <c r="Z3" s="25"/>
      <c r="AA3" s="16" t="s">
        <v>214</v>
      </c>
      <c r="AB3" s="25"/>
      <c r="AC3" s="22" t="s">
        <v>220</v>
      </c>
      <c r="AD3" s="29"/>
      <c r="AE3" s="16" t="s">
        <v>186</v>
      </c>
      <c r="AF3" s="16" t="s">
        <v>186</v>
      </c>
      <c r="AG3" s="29"/>
      <c r="AH3" s="55">
        <v>42520</v>
      </c>
      <c r="AI3" s="25"/>
    </row>
    <row r="4" spans="1:35">
      <c r="A4" s="23">
        <v>42370.020833333328</v>
      </c>
      <c r="B4" s="25"/>
      <c r="C4" s="16" t="s">
        <v>330</v>
      </c>
      <c r="D4" s="16">
        <v>3</v>
      </c>
      <c r="E4" s="29"/>
      <c r="F4" s="16" t="s">
        <v>228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162</v>
      </c>
      <c r="R4" s="25"/>
      <c r="S4" s="16" t="s">
        <v>97</v>
      </c>
      <c r="T4" s="29"/>
      <c r="U4" s="16" t="s">
        <v>139</v>
      </c>
      <c r="V4" s="25"/>
      <c r="W4" s="22" t="s">
        <v>281</v>
      </c>
      <c r="X4" s="29"/>
      <c r="Y4" s="16" t="s">
        <v>173</v>
      </c>
      <c r="Z4" s="25"/>
      <c r="AA4" s="16" t="s">
        <v>216</v>
      </c>
      <c r="AB4" s="25"/>
      <c r="AC4" s="16" t="s">
        <v>351</v>
      </c>
      <c r="AD4" s="29"/>
      <c r="AE4" s="16" t="s">
        <v>94</v>
      </c>
      <c r="AF4" s="16" t="s">
        <v>184</v>
      </c>
      <c r="AG4" s="29"/>
      <c r="AH4" s="55">
        <v>42555</v>
      </c>
      <c r="AI4" s="25"/>
    </row>
    <row r="5" spans="1:35">
      <c r="A5" s="23">
        <v>42370.031249999993</v>
      </c>
      <c r="B5" s="25"/>
      <c r="C5" s="16" t="s">
        <v>331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163</v>
      </c>
      <c r="R5" s="25"/>
      <c r="S5" s="16" t="s">
        <v>101</v>
      </c>
      <c r="T5" s="29"/>
      <c r="U5" s="16" t="s">
        <v>142</v>
      </c>
      <c r="V5" s="25"/>
      <c r="W5" s="22"/>
      <c r="X5" s="29"/>
      <c r="Y5" s="16" t="s">
        <v>112</v>
      </c>
      <c r="Z5" s="25"/>
      <c r="AA5" s="16" t="s">
        <v>352</v>
      </c>
      <c r="AB5" s="25"/>
      <c r="AC5" s="22" t="s">
        <v>224</v>
      </c>
      <c r="AD5" s="29"/>
      <c r="AE5" s="16" t="s">
        <v>98</v>
      </c>
      <c r="AF5" s="16" t="s">
        <v>184</v>
      </c>
      <c r="AG5" s="29"/>
      <c r="AH5" s="55">
        <v>42618</v>
      </c>
      <c r="AI5" s="25"/>
    </row>
    <row r="6" spans="1:35">
      <c r="A6" s="23">
        <v>42370.041666666657</v>
      </c>
      <c r="B6" s="25"/>
      <c r="C6" s="16" t="s">
        <v>332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164</v>
      </c>
      <c r="R6" s="25"/>
      <c r="S6" s="16" t="s">
        <v>128</v>
      </c>
      <c r="T6" s="29"/>
      <c r="U6" s="16" t="s">
        <v>229</v>
      </c>
      <c r="V6" s="25"/>
      <c r="W6" s="22"/>
      <c r="X6" s="29"/>
      <c r="Y6" s="16"/>
      <c r="Z6" s="25"/>
      <c r="AA6" s="16" t="s">
        <v>215</v>
      </c>
      <c r="AB6" s="25"/>
      <c r="AC6" s="22" t="s">
        <v>221</v>
      </c>
      <c r="AD6" s="29"/>
      <c r="AE6" s="16" t="s">
        <v>102</v>
      </c>
      <c r="AF6" s="16" t="s">
        <v>184</v>
      </c>
      <c r="AG6" s="29"/>
      <c r="AH6" s="55">
        <v>42698</v>
      </c>
      <c r="AI6" s="25"/>
    </row>
    <row r="7" spans="1:35">
      <c r="A7" s="23">
        <v>42370.052083333321</v>
      </c>
      <c r="B7" s="25"/>
      <c r="C7" s="16" t="s">
        <v>333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165</v>
      </c>
      <c r="R7" s="25"/>
      <c r="S7" s="16" t="s">
        <v>130</v>
      </c>
      <c r="T7" s="29"/>
      <c r="U7" s="16"/>
      <c r="V7" s="25"/>
      <c r="W7" s="22"/>
      <c r="X7" s="29"/>
      <c r="Y7" s="16"/>
      <c r="Z7" s="25"/>
      <c r="AA7" s="16" t="s">
        <v>219</v>
      </c>
      <c r="AB7" s="25"/>
      <c r="AC7" s="22" t="s">
        <v>223</v>
      </c>
      <c r="AD7" s="29"/>
      <c r="AE7" s="16" t="s">
        <v>106</v>
      </c>
      <c r="AF7" s="16" t="s">
        <v>184</v>
      </c>
      <c r="AG7" s="29"/>
      <c r="AH7" s="55">
        <v>42729</v>
      </c>
      <c r="AI7" s="25"/>
    </row>
    <row r="8" spans="1:35">
      <c r="A8" s="23">
        <v>42370.062499999985</v>
      </c>
      <c r="B8" s="25"/>
      <c r="C8" s="16" t="s">
        <v>334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232</v>
      </c>
      <c r="P8" s="25"/>
      <c r="Q8" s="16" t="s">
        <v>166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313</v>
      </c>
      <c r="AB8" s="25"/>
      <c r="AC8" s="22" t="s">
        <v>313</v>
      </c>
      <c r="AD8" s="29"/>
      <c r="AE8" s="16" t="s">
        <v>110</v>
      </c>
      <c r="AF8" s="16" t="s">
        <v>184</v>
      </c>
      <c r="AG8" s="29"/>
      <c r="AH8" s="55"/>
      <c r="AI8" s="25"/>
    </row>
    <row r="9" spans="1:35">
      <c r="A9" s="23">
        <v>42370.07291666665</v>
      </c>
      <c r="B9" s="25"/>
      <c r="C9" s="16" t="s">
        <v>335</v>
      </c>
      <c r="D9" s="16">
        <v>8</v>
      </c>
      <c r="E9" s="29"/>
      <c r="F9" s="16" t="s">
        <v>296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129</v>
      </c>
      <c r="P9" s="25"/>
      <c r="Q9" s="16" t="s">
        <v>325</v>
      </c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217</v>
      </c>
      <c r="AB9" s="25"/>
      <c r="AC9" s="22" t="s">
        <v>225</v>
      </c>
      <c r="AD9" s="29"/>
      <c r="AE9" s="16" t="s">
        <v>113</v>
      </c>
      <c r="AF9" s="16" t="s">
        <v>184</v>
      </c>
      <c r="AG9" s="29"/>
      <c r="AH9" s="55"/>
      <c r="AI9" s="25"/>
    </row>
    <row r="10" spans="1:35">
      <c r="A10" s="23">
        <v>42370.083333333314</v>
      </c>
      <c r="B10" s="25"/>
      <c r="C10" s="16" t="s">
        <v>336</v>
      </c>
      <c r="D10" s="16">
        <v>12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131</v>
      </c>
      <c r="P10" s="25"/>
      <c r="Q10" s="16" t="s">
        <v>326</v>
      </c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 t="s">
        <v>218</v>
      </c>
      <c r="AB10" s="25"/>
      <c r="AC10" s="22"/>
      <c r="AD10" s="29"/>
      <c r="AE10" s="16" t="s">
        <v>115</v>
      </c>
      <c r="AF10" s="16" t="s">
        <v>184</v>
      </c>
      <c r="AG10" s="29"/>
      <c r="AH10" s="55"/>
      <c r="AI10" s="25"/>
    </row>
    <row r="11" spans="1:35">
      <c r="A11" s="23">
        <v>42370.093749999978</v>
      </c>
      <c r="B11" s="25"/>
      <c r="C11" s="16" t="s">
        <v>337</v>
      </c>
      <c r="D11" s="16">
        <v>13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132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157</v>
      </c>
      <c r="AF11" s="16" t="s">
        <v>184</v>
      </c>
      <c r="AG11" s="29"/>
      <c r="AH11" s="55"/>
      <c r="AI11" s="25"/>
    </row>
    <row r="12" spans="1:35">
      <c r="A12" s="23">
        <v>42370.104166666642</v>
      </c>
      <c r="B12" s="25"/>
      <c r="C12" s="16" t="s">
        <v>338</v>
      </c>
      <c r="D12" s="16">
        <v>14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294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184</v>
      </c>
      <c r="AG12" s="29"/>
      <c r="AH12" s="55"/>
      <c r="AI12" s="25"/>
    </row>
    <row r="13" spans="1:35">
      <c r="A13" s="23">
        <v>42370.114583333307</v>
      </c>
      <c r="B13" s="25"/>
      <c r="C13" s="16" t="s">
        <v>339</v>
      </c>
      <c r="D13" s="16">
        <v>15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133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184</v>
      </c>
      <c r="AG13" s="29"/>
      <c r="AH13" s="55"/>
      <c r="AI13" s="25"/>
    </row>
    <row r="14" spans="1:35">
      <c r="A14" s="23">
        <v>42370.124999999971</v>
      </c>
      <c r="B14" s="25"/>
      <c r="C14" s="16" t="s">
        <v>340</v>
      </c>
      <c r="D14" s="16">
        <v>18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134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184</v>
      </c>
      <c r="AG14" s="29"/>
      <c r="AH14" s="55"/>
      <c r="AI14" s="25"/>
    </row>
    <row r="15" spans="1:35">
      <c r="A15" s="23">
        <v>42370.135416666635</v>
      </c>
      <c r="B15" s="25"/>
      <c r="C15" s="16" t="s">
        <v>341</v>
      </c>
      <c r="D15" s="16">
        <v>19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135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228</v>
      </c>
      <c r="AF15" s="16" t="s">
        <v>184</v>
      </c>
      <c r="AG15" s="29"/>
      <c r="AH15" s="55"/>
      <c r="AI15" s="25"/>
    </row>
    <row r="16" spans="1:35">
      <c r="A16" s="23">
        <v>42370.145833333299</v>
      </c>
      <c r="B16" s="25"/>
      <c r="C16" s="16" t="s">
        <v>342</v>
      </c>
      <c r="D16" s="16">
        <v>20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136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5"/>
      <c r="AI16" s="25"/>
    </row>
    <row r="17" spans="1:35">
      <c r="A17" s="23">
        <v>42370.156249999964</v>
      </c>
      <c r="B17" s="25"/>
      <c r="C17" s="16" t="s">
        <v>343</v>
      </c>
      <c r="D17" s="16">
        <v>23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137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5"/>
      <c r="AI17" s="25"/>
    </row>
    <row r="18" spans="1:35">
      <c r="A18" s="23">
        <v>42370.166666666628</v>
      </c>
      <c r="B18" s="25"/>
      <c r="C18" s="16" t="s">
        <v>344</v>
      </c>
      <c r="D18" s="16">
        <v>24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138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5"/>
      <c r="AI18" s="25"/>
    </row>
    <row r="19" spans="1:35">
      <c r="A19" s="23">
        <v>42370.177083333292</v>
      </c>
      <c r="B19" s="25"/>
      <c r="C19" s="16" t="s">
        <v>345</v>
      </c>
      <c r="D19" s="16">
        <v>25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311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5"/>
      <c r="AI19" s="25"/>
    </row>
    <row r="20" spans="1:35">
      <c r="A20" s="23">
        <v>42370.187499999956</v>
      </c>
      <c r="B20" s="25"/>
      <c r="C20" s="16" t="s">
        <v>346</v>
      </c>
      <c r="D20" s="16">
        <v>26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140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5"/>
      <c r="AI20" s="25"/>
    </row>
    <row r="21" spans="1:35">
      <c r="A21" s="23">
        <v>42370.197916666621</v>
      </c>
      <c r="B21" s="25"/>
      <c r="C21" s="16" t="s">
        <v>347</v>
      </c>
      <c r="D21" s="16">
        <v>27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233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5"/>
      <c r="AI21" s="25"/>
    </row>
    <row r="22" spans="1:35">
      <c r="A22" s="23">
        <v>42370.208333333285</v>
      </c>
      <c r="B22" s="25"/>
      <c r="C22" s="16" t="s">
        <v>348</v>
      </c>
      <c r="D22" s="16">
        <v>28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234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5"/>
      <c r="AI22" s="25"/>
    </row>
    <row r="23" spans="1:35">
      <c r="A23" s="23">
        <v>42370.218749999949</v>
      </c>
      <c r="B23" s="25"/>
      <c r="C23" s="16" t="s">
        <v>349</v>
      </c>
      <c r="D23" s="16">
        <v>29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295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5"/>
      <c r="AI23" s="25"/>
    </row>
    <row r="24" spans="1:35">
      <c r="A24" s="23">
        <v>42370.229166666613</v>
      </c>
      <c r="B24" s="25"/>
      <c r="C24" s="16" t="s">
        <v>350</v>
      </c>
      <c r="D24" s="16">
        <v>30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355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5"/>
      <c r="AI24" s="25"/>
    </row>
    <row r="25" spans="1:35">
      <c r="A25" s="23">
        <v>42370.239583333278</v>
      </c>
      <c r="B25" s="25"/>
      <c r="C25" s="16" t="s">
        <v>353</v>
      </c>
      <c r="D25" s="16">
        <v>32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141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5"/>
      <c r="AI25" s="25"/>
    </row>
    <row r="26" spans="1:35">
      <c r="A26" s="23">
        <v>42370.249999999942</v>
      </c>
      <c r="B26" s="25"/>
      <c r="C26" s="16" t="s">
        <v>358</v>
      </c>
      <c r="D26" s="16">
        <v>33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143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5"/>
      <c r="AI26" s="25"/>
    </row>
    <row r="27" spans="1:3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144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5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145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5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146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147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148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149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235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150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151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152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153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154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312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  <row r="121" spans="1:35" hidden="1"/>
    <row r="122" spans="1:35" hidden="1"/>
  </sheetData>
  <sortState ref="AC2:AC10">
    <sortCondition ref="AC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2016-07-07T18:57:33Z</cp:lastPrinted>
  <dcterms:created xsi:type="dcterms:W3CDTF">2015-11-23T17:22:57Z</dcterms:created>
  <dcterms:modified xsi:type="dcterms:W3CDTF">2016-08-12T18:40:29Z</dcterms:modified>
</cp:coreProperties>
</file>