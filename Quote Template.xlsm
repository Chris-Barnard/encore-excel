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0490" windowHeight="6705" tabRatio="740" activeTab="6"/>
  </bookViews>
  <sheets>
    <sheet name="Information Sales" sheetId="12" r:id="rId1"/>
    <sheet name="TASK LIST SC" sheetId="2" r:id="rId2"/>
    <sheet name="HRS DIST #1 SC" sheetId="4" r:id="rId3"/>
    <sheet name="PARTS LIST SC" sheetId="1" r:id="rId4"/>
    <sheet name="SUMMARY SC-Mang" sheetId="9" r:id="rId5"/>
    <sheet name="Scope of Work SC" sheetId="11" r:id="rId6"/>
    <sheet name="MRF SC-Mang" sheetId="14" r:id="rId7"/>
    <sheet name="Sheet2" sheetId="13" r:id="rId8"/>
    <sheet name="MRF Calculator" sheetId="16" state="hidden" r:id="rId9"/>
  </sheets>
  <definedNames>
    <definedName name="Area">OFFSET(Sheet2!$F$2,0,0,COUNTA(Sheet2!$F:$F)-1,1)</definedName>
    <definedName name="AreaManager">OFFSET(Sheet2!$I$2,0,0,COUNTA(Sheet2!$I:$I)-1,1)</definedName>
    <definedName name="AreWeSupplyParts">OFFSET(Sheet2!$G$2,0,0,COUNTA(Sheet2!$G:$G),1)</definedName>
    <definedName name="Customers">OFFSET(Sheet2!$R$2,0,0,COUNTA(Sheet2!$R:$R)-1,1)</definedName>
    <definedName name="DescriptionStart" localSheetId="8">'MRF Calculator'!$H$17</definedName>
    <definedName name="DescriptionStart">'MRF SC-Mang'!$H$17</definedName>
    <definedName name="MarginPct">OFFSET(Sheet2!$T$2,0,0,COUNTA(Sheet2!$T:$T)-1,1)</definedName>
    <definedName name="PartNumberStart" localSheetId="8">'MRF Calculator'!$F$17</definedName>
    <definedName name="PartNumberStart">'MRF SC-Mang'!$F$17</definedName>
    <definedName name="_xlnm.Print_Area" localSheetId="8">'MRF Calculator'!$B$2:$O$109</definedName>
    <definedName name="_xlnm.Print_Titles" localSheetId="3">'PARTS LIST SC'!$1:$10</definedName>
    <definedName name="_xlnm.Print_Titles" localSheetId="1">'TASK LIST SC'!$1:$5</definedName>
    <definedName name="ProductPriceStart" localSheetId="8">'MRF Calculator'!$M$17</definedName>
    <definedName name="ProductPriceStart">'MRF SC-Mang'!$M$17</definedName>
    <definedName name="QtyStart" localSheetId="8">'MRF Calculator'!$L$17</definedName>
    <definedName name="QtyStart">'MRF SC-Mang'!$L$17</definedName>
    <definedName name="QuoteOrEstimate">OFFSET(Sheet2!$E$2,0,0,COUNTA(Sheet2!$E:$E),1)</definedName>
    <definedName name="QuoteType">OFFSET(Sheet2!$B$2,0,0,COUNTA(Sheet2!$B:$B)-1,1)</definedName>
    <definedName name="Salesman">OFFSET(Sheet2!$K$2,0,0,COUNTA(Sheet2!$K:$K)-1,1)</definedName>
    <definedName name="TypeOfParts">OFFSET(Sheet2!$N$2,0,0,COUNTA(Sheet2!$N:$N)-1,1)</definedName>
    <definedName name="VendorStart" localSheetId="8">'MRF Calculator'!$E$17</definedName>
    <definedName name="VendorStart">'MRF SC-Mang'!$E$17</definedName>
  </definedNames>
  <calcPr calcId="125725"/>
</workbook>
</file>

<file path=xl/calcChain.xml><?xml version="1.0" encoding="utf-8"?>
<calcChain xmlns="http://schemas.openxmlformats.org/spreadsheetml/2006/main">
  <c r="T7" i="16"/>
  <c r="T5"/>
  <c r="T6"/>
  <c r="U19" s="1"/>
  <c r="D19" s="1"/>
  <c r="D19" i="14" s="1"/>
  <c r="B16"/>
  <c r="C16"/>
  <c r="D16"/>
  <c r="E16"/>
  <c r="F16"/>
  <c r="H16"/>
  <c r="L16"/>
  <c r="M16"/>
  <c r="N16"/>
  <c r="O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AA17" i="16"/>
  <c r="N17" s="1"/>
  <c r="N17" i="14" s="1"/>
  <c r="AA18" i="16"/>
  <c r="N18" s="1"/>
  <c r="N18" i="14" s="1"/>
  <c r="AA19" i="16"/>
  <c r="N19" s="1"/>
  <c r="N19" i="14" s="1"/>
  <c r="AA20" i="16"/>
  <c r="N20" s="1"/>
  <c r="N20" i="14" s="1"/>
  <c r="AA21" i="16"/>
  <c r="N21" s="1"/>
  <c r="N21" i="14" s="1"/>
  <c r="AA22" i="16"/>
  <c r="N22" s="1"/>
  <c r="N22" i="14" s="1"/>
  <c r="AA23" i="16"/>
  <c r="N23" s="1"/>
  <c r="N23" i="14" s="1"/>
  <c r="AA24" i="16"/>
  <c r="N24" s="1"/>
  <c r="N24" i="14" s="1"/>
  <c r="AA25" i="16"/>
  <c r="N25" s="1"/>
  <c r="N25" i="14" s="1"/>
  <c r="AA26" i="16"/>
  <c r="N26" s="1"/>
  <c r="N26" i="14" s="1"/>
  <c r="AA27" i="16"/>
  <c r="N27" s="1"/>
  <c r="N27" i="14" s="1"/>
  <c r="AA28" i="16"/>
  <c r="N28" s="1"/>
  <c r="N28" i="14" s="1"/>
  <c r="AA51" i="16"/>
  <c r="AA52"/>
  <c r="AA44"/>
  <c r="AA29"/>
  <c r="AA30"/>
  <c r="AA31"/>
  <c r="AA32"/>
  <c r="AA33"/>
  <c r="AA34"/>
  <c r="AA35"/>
  <c r="AA36"/>
  <c r="AA45"/>
  <c r="AA53"/>
  <c r="AA54"/>
  <c r="AA46"/>
  <c r="AA47"/>
  <c r="AA37"/>
  <c r="AA38"/>
  <c r="AA39"/>
  <c r="AA40"/>
  <c r="AA41"/>
  <c r="AA42"/>
  <c r="AA43"/>
  <c r="AA48"/>
  <c r="AA49"/>
  <c r="AA50"/>
  <c r="AA55"/>
  <c r="N55" s="1"/>
  <c r="N55" i="14" s="1"/>
  <c r="AA56" i="16"/>
  <c r="N56" s="1"/>
  <c r="N56" i="14" s="1"/>
  <c r="AA57" i="16"/>
  <c r="N57" s="1"/>
  <c r="N57" i="14" s="1"/>
  <c r="AA58" i="16"/>
  <c r="N58" s="1"/>
  <c r="N58" i="14" s="1"/>
  <c r="AA59" i="16"/>
  <c r="N59" s="1"/>
  <c r="N59" i="14" s="1"/>
  <c r="AA60" i="16"/>
  <c r="N60" s="1"/>
  <c r="N60" i="14" s="1"/>
  <c r="AA61" i="16"/>
  <c r="N61" s="1"/>
  <c r="N61" i="14" s="1"/>
  <c r="AA62" i="16"/>
  <c r="N62" s="1"/>
  <c r="N62" i="14" s="1"/>
  <c r="AA63" i="16"/>
  <c r="N63" s="1"/>
  <c r="N63" i="14" s="1"/>
  <c r="AA64" i="16"/>
  <c r="N64" s="1"/>
  <c r="N64" i="14" s="1"/>
  <c r="AA65" i="16"/>
  <c r="N65" s="1"/>
  <c r="N65" i="14" s="1"/>
  <c r="AA66" i="16"/>
  <c r="N66" s="1"/>
  <c r="N66" i="14" s="1"/>
  <c r="AA67" i="16"/>
  <c r="N67" s="1"/>
  <c r="N67" i="14" s="1"/>
  <c r="AA68" i="16"/>
  <c r="N68" s="1"/>
  <c r="N68" i="14" s="1"/>
  <c r="AA69" i="16"/>
  <c r="N69" s="1"/>
  <c r="N69" i="14" s="1"/>
  <c r="AA70" i="16"/>
  <c r="N70" s="1"/>
  <c r="N70" i="14" s="1"/>
  <c r="AA71" i="16"/>
  <c r="N71" s="1"/>
  <c r="N71" i="14" s="1"/>
  <c r="AA72" i="16"/>
  <c r="N72" s="1"/>
  <c r="N72" i="14" s="1"/>
  <c r="AA73" i="16"/>
  <c r="N73" s="1"/>
  <c r="N73" i="14" s="1"/>
  <c r="AA74" i="16"/>
  <c r="N74" s="1"/>
  <c r="N74" i="14" s="1"/>
  <c r="AA75" i="16"/>
  <c r="N75" s="1"/>
  <c r="N75" i="14" s="1"/>
  <c r="AA76" i="16"/>
  <c r="N76" s="1"/>
  <c r="N76" i="14" s="1"/>
  <c r="AA77" i="16"/>
  <c r="N77" s="1"/>
  <c r="N77" i="14" s="1"/>
  <c r="AA78" i="16"/>
  <c r="N78" s="1"/>
  <c r="N78" i="14" s="1"/>
  <c r="AA79" i="16"/>
  <c r="N79" s="1"/>
  <c r="N79" i="14" s="1"/>
  <c r="AA80" i="16"/>
  <c r="N80" s="1"/>
  <c r="N80" i="14" s="1"/>
  <c r="AA81" i="16"/>
  <c r="N81" s="1"/>
  <c r="N81" i="14" s="1"/>
  <c r="AA82" i="16"/>
  <c r="N82" s="1"/>
  <c r="N82" i="14" s="1"/>
  <c r="AA83" i="16"/>
  <c r="N83" s="1"/>
  <c r="N83" i="14" s="1"/>
  <c r="AA84" i="16"/>
  <c r="N84" s="1"/>
  <c r="N84" i="14" s="1"/>
  <c r="AA85" i="16"/>
  <c r="N85" s="1"/>
  <c r="N85" i="14" s="1"/>
  <c r="AA86" i="16"/>
  <c r="N86" s="1"/>
  <c r="N86" i="14" s="1"/>
  <c r="AA87" i="16"/>
  <c r="N87" s="1"/>
  <c r="N87" i="14" s="1"/>
  <c r="AA88" i="16"/>
  <c r="N88" s="1"/>
  <c r="N88" i="14" s="1"/>
  <c r="AA89" i="16"/>
  <c r="N89" s="1"/>
  <c r="N89" i="14" s="1"/>
  <c r="AA90" i="16"/>
  <c r="N90" s="1"/>
  <c r="N90" i="14" s="1"/>
  <c r="AA91" i="16"/>
  <c r="N91" s="1"/>
  <c r="N91" i="14" s="1"/>
  <c r="AA92" i="16"/>
  <c r="N92" s="1"/>
  <c r="N92" i="14" s="1"/>
  <c r="AA93" i="16"/>
  <c r="N93" s="1"/>
  <c r="N93" i="14" s="1"/>
  <c r="AA94" i="16"/>
  <c r="N94" s="1"/>
  <c r="N94" i="14" s="1"/>
  <c r="AA95" i="16"/>
  <c r="N95" s="1"/>
  <c r="N95" i="14" s="1"/>
  <c r="AA96" i="16"/>
  <c r="N96" s="1"/>
  <c r="N96" i="14" s="1"/>
  <c r="AA97" i="16"/>
  <c r="N97" s="1"/>
  <c r="N97" i="14" s="1"/>
  <c r="AA98" i="16"/>
  <c r="N98" s="1"/>
  <c r="N98" i="14" s="1"/>
  <c r="AA99" i="16"/>
  <c r="N99" s="1"/>
  <c r="N99" i="14" s="1"/>
  <c r="AA100" i="16"/>
  <c r="N100" s="1"/>
  <c r="N100" i="14" s="1"/>
  <c r="AA101" i="16"/>
  <c r="N101" s="1"/>
  <c r="N101" i="14" s="1"/>
  <c r="AA102" i="16"/>
  <c r="N102" s="1"/>
  <c r="N102" i="14" s="1"/>
  <c r="AA103" i="16"/>
  <c r="N103" s="1"/>
  <c r="N103" i="14" s="1"/>
  <c r="AA104" i="16"/>
  <c r="N104" s="1"/>
  <c r="N104" i="14" s="1"/>
  <c r="AA105" i="16"/>
  <c r="N105" s="1"/>
  <c r="N105" i="14" s="1"/>
  <c r="AA106" i="16"/>
  <c r="N106" s="1"/>
  <c r="N106" i="14" s="1"/>
  <c r="AA107" i="16"/>
  <c r="N107" s="1"/>
  <c r="N107" i="14" s="1"/>
  <c r="AA108" i="16"/>
  <c r="N108" s="1"/>
  <c r="N108" i="14" s="1"/>
  <c r="AA109" i="16"/>
  <c r="N109" s="1"/>
  <c r="N109" i="14" s="1"/>
  <c r="Y17" i="16"/>
  <c r="L17" s="1"/>
  <c r="L17" i="14" s="1"/>
  <c r="Y18" i="16"/>
  <c r="L18" s="1"/>
  <c r="L18" i="14" s="1"/>
  <c r="Y19" i="16"/>
  <c r="L19" s="1"/>
  <c r="L19" i="14" s="1"/>
  <c r="Y20" i="16"/>
  <c r="L20" s="1"/>
  <c r="L20" i="14" s="1"/>
  <c r="Y21" i="16"/>
  <c r="L21" s="1"/>
  <c r="L21" i="14" s="1"/>
  <c r="Y22" i="16"/>
  <c r="L22" s="1"/>
  <c r="L22" i="14" s="1"/>
  <c r="Y23" i="16"/>
  <c r="L23" s="1"/>
  <c r="L23" i="14" s="1"/>
  <c r="Y24" i="16"/>
  <c r="L24" s="1"/>
  <c r="L24" i="14" s="1"/>
  <c r="Y25" i="16"/>
  <c r="L25" s="1"/>
  <c r="L25" i="14" s="1"/>
  <c r="Y26" i="16"/>
  <c r="L26" s="1"/>
  <c r="L26" i="14" s="1"/>
  <c r="Y27" i="16"/>
  <c r="L27" s="1"/>
  <c r="L27" i="14" s="1"/>
  <c r="Y28" i="16"/>
  <c r="L28" s="1"/>
  <c r="L28" i="14" s="1"/>
  <c r="Y51" i="16"/>
  <c r="Y52"/>
  <c r="L30" s="1"/>
  <c r="L30" i="14" s="1"/>
  <c r="Y44" i="16"/>
  <c r="Y29"/>
  <c r="Y30"/>
  <c r="Y31"/>
  <c r="Y32"/>
  <c r="Y33"/>
  <c r="Y34"/>
  <c r="Y35"/>
  <c r="Y36"/>
  <c r="Y45"/>
  <c r="Y53"/>
  <c r="Y54"/>
  <c r="Y46"/>
  <c r="Y47"/>
  <c r="Y37"/>
  <c r="Y38"/>
  <c r="Y39"/>
  <c r="Y40"/>
  <c r="Y41"/>
  <c r="Y42"/>
  <c r="Y43"/>
  <c r="Y48"/>
  <c r="Y49"/>
  <c r="Y50"/>
  <c r="Y55"/>
  <c r="L55" s="1"/>
  <c r="L55" i="14" s="1"/>
  <c r="Y56" i="16"/>
  <c r="L56" s="1"/>
  <c r="L56" i="14" s="1"/>
  <c r="Y57" i="16"/>
  <c r="L57" s="1"/>
  <c r="L57" i="14" s="1"/>
  <c r="Y58" i="16"/>
  <c r="L58" s="1"/>
  <c r="L58" i="14" s="1"/>
  <c r="Y59" i="16"/>
  <c r="L59" s="1"/>
  <c r="L59" i="14" s="1"/>
  <c r="Y60" i="16"/>
  <c r="L60" s="1"/>
  <c r="L60" i="14" s="1"/>
  <c r="Y61" i="16"/>
  <c r="L61" s="1"/>
  <c r="L61" i="14" s="1"/>
  <c r="Y62" i="16"/>
  <c r="L62" s="1"/>
  <c r="L62" i="14" s="1"/>
  <c r="Y63" i="16"/>
  <c r="L63" s="1"/>
  <c r="L63" i="14" s="1"/>
  <c r="Y64" i="16"/>
  <c r="L64" s="1"/>
  <c r="L64" i="14" s="1"/>
  <c r="Y65" i="16"/>
  <c r="L65" s="1"/>
  <c r="L65" i="14" s="1"/>
  <c r="Y66" i="16"/>
  <c r="L66" s="1"/>
  <c r="L66" i="14" s="1"/>
  <c r="Y67" i="16"/>
  <c r="L67" s="1"/>
  <c r="L67" i="14" s="1"/>
  <c r="Y68" i="16"/>
  <c r="L68" s="1"/>
  <c r="L68" i="14" s="1"/>
  <c r="Y69" i="16"/>
  <c r="L69" s="1"/>
  <c r="L69" i="14" s="1"/>
  <c r="Y70" i="16"/>
  <c r="L70" s="1"/>
  <c r="L70" i="14" s="1"/>
  <c r="Y71" i="16"/>
  <c r="L71" s="1"/>
  <c r="L71" i="14" s="1"/>
  <c r="Y72" i="16"/>
  <c r="L72" s="1"/>
  <c r="L72" i="14" s="1"/>
  <c r="Y73" i="16"/>
  <c r="L73" s="1"/>
  <c r="L73" i="14" s="1"/>
  <c r="Y74" i="16"/>
  <c r="L74" s="1"/>
  <c r="L74" i="14" s="1"/>
  <c r="Y75" i="16"/>
  <c r="L75" s="1"/>
  <c r="L75" i="14" s="1"/>
  <c r="Y76" i="16"/>
  <c r="L76" s="1"/>
  <c r="L76" i="14" s="1"/>
  <c r="Y77" i="16"/>
  <c r="L77" s="1"/>
  <c r="L77" i="14" s="1"/>
  <c r="Y78" i="16"/>
  <c r="L78" s="1"/>
  <c r="L78" i="14" s="1"/>
  <c r="Y79" i="16"/>
  <c r="L79" s="1"/>
  <c r="L79" i="14" s="1"/>
  <c r="Y80" i="16"/>
  <c r="L80" s="1"/>
  <c r="L80" i="14" s="1"/>
  <c r="Y81" i="16"/>
  <c r="L81" s="1"/>
  <c r="L81" i="14" s="1"/>
  <c r="Y82" i="16"/>
  <c r="L82" s="1"/>
  <c r="L82" i="14" s="1"/>
  <c r="Y83" i="16"/>
  <c r="L83" s="1"/>
  <c r="L83" i="14" s="1"/>
  <c r="Y84" i="16"/>
  <c r="L84" s="1"/>
  <c r="L84" i="14" s="1"/>
  <c r="Y85" i="16"/>
  <c r="L85" s="1"/>
  <c r="L85" i="14" s="1"/>
  <c r="Y86" i="16"/>
  <c r="L86" s="1"/>
  <c r="L86" i="14" s="1"/>
  <c r="Y87" i="16"/>
  <c r="L87" s="1"/>
  <c r="L87" i="14" s="1"/>
  <c r="Y88" i="16"/>
  <c r="L88" s="1"/>
  <c r="L88" i="14" s="1"/>
  <c r="Y89" i="16"/>
  <c r="L89" s="1"/>
  <c r="L89" i="14" s="1"/>
  <c r="Y90" i="16"/>
  <c r="L90" s="1"/>
  <c r="L90" i="14" s="1"/>
  <c r="Y91" i="16"/>
  <c r="L91" s="1"/>
  <c r="L91" i="14" s="1"/>
  <c r="Y92" i="16"/>
  <c r="L92" s="1"/>
  <c r="L92" i="14" s="1"/>
  <c r="Y93" i="16"/>
  <c r="L93" s="1"/>
  <c r="L93" i="14" s="1"/>
  <c r="Y94" i="16"/>
  <c r="L94" s="1"/>
  <c r="L94" i="14" s="1"/>
  <c r="Y95" i="16"/>
  <c r="L95" s="1"/>
  <c r="L95" i="14" s="1"/>
  <c r="Y96" i="16"/>
  <c r="L96" s="1"/>
  <c r="L96" i="14" s="1"/>
  <c r="Y97" i="16"/>
  <c r="L97" s="1"/>
  <c r="L97" i="14" s="1"/>
  <c r="Y98" i="16"/>
  <c r="L98" s="1"/>
  <c r="L98" i="14" s="1"/>
  <c r="Y99" i="16"/>
  <c r="L99" s="1"/>
  <c r="L99" i="14" s="1"/>
  <c r="Y100" i="16"/>
  <c r="L100" s="1"/>
  <c r="L100" i="14" s="1"/>
  <c r="Y101" i="16"/>
  <c r="L101" s="1"/>
  <c r="L101" i="14" s="1"/>
  <c r="Y102" i="16"/>
  <c r="L102" s="1"/>
  <c r="L102" i="14" s="1"/>
  <c r="Y103" i="16"/>
  <c r="L103" s="1"/>
  <c r="L103" i="14" s="1"/>
  <c r="Y104" i="16"/>
  <c r="L104" s="1"/>
  <c r="L104" i="14" s="1"/>
  <c r="Y105" i="16"/>
  <c r="L105" s="1"/>
  <c r="L105" i="14" s="1"/>
  <c r="Y106" i="16"/>
  <c r="L106" s="1"/>
  <c r="L106" i="14" s="1"/>
  <c r="Y107" i="16"/>
  <c r="L107" s="1"/>
  <c r="L107" i="14" s="1"/>
  <c r="Y108" i="16"/>
  <c r="L108" s="1"/>
  <c r="L108" i="14" s="1"/>
  <c r="Y109" i="16"/>
  <c r="L109" s="1"/>
  <c r="L109" i="14" s="1"/>
  <c r="X17" i="16"/>
  <c r="H17" s="1"/>
  <c r="H17" i="14" s="1"/>
  <c r="X18" i="16"/>
  <c r="H18" s="1"/>
  <c r="H18" i="14" s="1"/>
  <c r="X19" i="16"/>
  <c r="H19" s="1"/>
  <c r="H19" i="14" s="1"/>
  <c r="X20" i="16"/>
  <c r="H20" s="1"/>
  <c r="H20" i="14" s="1"/>
  <c r="X21" i="16"/>
  <c r="H21" s="1"/>
  <c r="H21" i="14" s="1"/>
  <c r="X22" i="16"/>
  <c r="H22" s="1"/>
  <c r="H22" i="14" s="1"/>
  <c r="X23" i="16"/>
  <c r="H23" s="1"/>
  <c r="H23" i="14" s="1"/>
  <c r="X24" i="16"/>
  <c r="H24" s="1"/>
  <c r="H24" i="14" s="1"/>
  <c r="X25" i="16"/>
  <c r="H25" s="1"/>
  <c r="H25" i="14" s="1"/>
  <c r="X26" i="16"/>
  <c r="H26" s="1"/>
  <c r="H26" i="14" s="1"/>
  <c r="X27" i="16"/>
  <c r="H27" s="1"/>
  <c r="H27" i="14" s="1"/>
  <c r="X28" i="16"/>
  <c r="H28" s="1"/>
  <c r="H28" i="14" s="1"/>
  <c r="X51" i="16"/>
  <c r="H29" s="1"/>
  <c r="H29" i="14" s="1"/>
  <c r="X52" i="16"/>
  <c r="X44"/>
  <c r="X29"/>
  <c r="X30"/>
  <c r="X31"/>
  <c r="X32"/>
  <c r="X33"/>
  <c r="X34"/>
  <c r="X35"/>
  <c r="X36"/>
  <c r="X45"/>
  <c r="X53"/>
  <c r="X54"/>
  <c r="X46"/>
  <c r="X47"/>
  <c r="X37"/>
  <c r="X38"/>
  <c r="X39"/>
  <c r="X40"/>
  <c r="X41"/>
  <c r="X42"/>
  <c r="X43"/>
  <c r="X48"/>
  <c r="X49"/>
  <c r="X50"/>
  <c r="X55"/>
  <c r="H55" s="1"/>
  <c r="H55" i="14" s="1"/>
  <c r="X56" i="16"/>
  <c r="H56" s="1"/>
  <c r="H56" i="14" s="1"/>
  <c r="X57" i="16"/>
  <c r="H57" s="1"/>
  <c r="H57" i="14" s="1"/>
  <c r="X58" i="16"/>
  <c r="H58" s="1"/>
  <c r="H58" i="14" s="1"/>
  <c r="X59" i="16"/>
  <c r="H59" s="1"/>
  <c r="H59" i="14" s="1"/>
  <c r="X60" i="16"/>
  <c r="H60" s="1"/>
  <c r="H60" i="14" s="1"/>
  <c r="X61" i="16"/>
  <c r="H61" s="1"/>
  <c r="H61" i="14" s="1"/>
  <c r="X62" i="16"/>
  <c r="H62" s="1"/>
  <c r="H62" i="14" s="1"/>
  <c r="X63" i="16"/>
  <c r="H63" s="1"/>
  <c r="H63" i="14" s="1"/>
  <c r="X64" i="16"/>
  <c r="H64" s="1"/>
  <c r="H64" i="14" s="1"/>
  <c r="X65" i="16"/>
  <c r="H65" s="1"/>
  <c r="H65" i="14" s="1"/>
  <c r="X66" i="16"/>
  <c r="H66" s="1"/>
  <c r="H66" i="14" s="1"/>
  <c r="X67" i="16"/>
  <c r="H67" s="1"/>
  <c r="H67" i="14" s="1"/>
  <c r="X68" i="16"/>
  <c r="H68" s="1"/>
  <c r="H68" i="14" s="1"/>
  <c r="X69" i="16"/>
  <c r="H69" s="1"/>
  <c r="H69" i="14" s="1"/>
  <c r="X70" i="16"/>
  <c r="H70" s="1"/>
  <c r="H70" i="14" s="1"/>
  <c r="X71" i="16"/>
  <c r="H71" s="1"/>
  <c r="H71" i="14" s="1"/>
  <c r="X72" i="16"/>
  <c r="H72" s="1"/>
  <c r="H72" i="14" s="1"/>
  <c r="X73" i="16"/>
  <c r="H73" s="1"/>
  <c r="H73" i="14" s="1"/>
  <c r="X74" i="16"/>
  <c r="H74" s="1"/>
  <c r="H74" i="14" s="1"/>
  <c r="X75" i="16"/>
  <c r="H75" s="1"/>
  <c r="H75" i="14" s="1"/>
  <c r="X76" i="16"/>
  <c r="H76" s="1"/>
  <c r="H76" i="14" s="1"/>
  <c r="X77" i="16"/>
  <c r="H77" s="1"/>
  <c r="H77" i="14" s="1"/>
  <c r="X78" i="16"/>
  <c r="H78" s="1"/>
  <c r="H78" i="14" s="1"/>
  <c r="X79" i="16"/>
  <c r="H79" s="1"/>
  <c r="H79" i="14" s="1"/>
  <c r="X80" i="16"/>
  <c r="H80" s="1"/>
  <c r="H80" i="14" s="1"/>
  <c r="X81" i="16"/>
  <c r="H81" s="1"/>
  <c r="H81" i="14" s="1"/>
  <c r="X82" i="16"/>
  <c r="H82" s="1"/>
  <c r="H82" i="14" s="1"/>
  <c r="X83" i="16"/>
  <c r="H83" s="1"/>
  <c r="H83" i="14" s="1"/>
  <c r="X84" i="16"/>
  <c r="H84" s="1"/>
  <c r="H84" i="14" s="1"/>
  <c r="X85" i="16"/>
  <c r="H85" s="1"/>
  <c r="H85" i="14" s="1"/>
  <c r="X86" i="16"/>
  <c r="H86" s="1"/>
  <c r="H86" i="14" s="1"/>
  <c r="X87" i="16"/>
  <c r="H87" s="1"/>
  <c r="H87" i="14" s="1"/>
  <c r="X88" i="16"/>
  <c r="H88" s="1"/>
  <c r="H88" i="14" s="1"/>
  <c r="X89" i="16"/>
  <c r="H89" s="1"/>
  <c r="H89" i="14" s="1"/>
  <c r="X90" i="16"/>
  <c r="H90" s="1"/>
  <c r="H90" i="14" s="1"/>
  <c r="X91" i="16"/>
  <c r="H91" s="1"/>
  <c r="H91" i="14" s="1"/>
  <c r="X92" i="16"/>
  <c r="H92" s="1"/>
  <c r="H92" i="14" s="1"/>
  <c r="X93" i="16"/>
  <c r="H93" s="1"/>
  <c r="H93" i="14" s="1"/>
  <c r="X94" i="16"/>
  <c r="H94" s="1"/>
  <c r="H94" i="14" s="1"/>
  <c r="X95" i="16"/>
  <c r="H95" s="1"/>
  <c r="H95" i="14" s="1"/>
  <c r="X96" i="16"/>
  <c r="H96" s="1"/>
  <c r="H96" i="14" s="1"/>
  <c r="X97" i="16"/>
  <c r="H97" s="1"/>
  <c r="H97" i="14" s="1"/>
  <c r="X98" i="16"/>
  <c r="H98" s="1"/>
  <c r="H98" i="14" s="1"/>
  <c r="X99" i="16"/>
  <c r="H99" s="1"/>
  <c r="H99" i="14" s="1"/>
  <c r="X100" i="16"/>
  <c r="H100" s="1"/>
  <c r="H100" i="14" s="1"/>
  <c r="X101" i="16"/>
  <c r="H101" s="1"/>
  <c r="H101" i="14" s="1"/>
  <c r="X102" i="16"/>
  <c r="H102" s="1"/>
  <c r="H102" i="14" s="1"/>
  <c r="X103" i="16"/>
  <c r="H103" s="1"/>
  <c r="H103" i="14" s="1"/>
  <c r="X104" i="16"/>
  <c r="H104" s="1"/>
  <c r="H104" i="14" s="1"/>
  <c r="X105" i="16"/>
  <c r="H105" s="1"/>
  <c r="H105" i="14" s="1"/>
  <c r="X106" i="16"/>
  <c r="H106" s="1"/>
  <c r="H106" i="14" s="1"/>
  <c r="X107" i="16"/>
  <c r="H107" s="1"/>
  <c r="H107" i="14" s="1"/>
  <c r="X108" i="16"/>
  <c r="H108" s="1"/>
  <c r="H108" i="14" s="1"/>
  <c r="X109" i="16"/>
  <c r="H109" s="1"/>
  <c r="H109" i="14" s="1"/>
  <c r="W17" i="16"/>
  <c r="W18"/>
  <c r="W19"/>
  <c r="W20"/>
  <c r="W21"/>
  <c r="W22"/>
  <c r="W23"/>
  <c r="W24"/>
  <c r="W25"/>
  <c r="W26"/>
  <c r="W27"/>
  <c r="W28"/>
  <c r="W51"/>
  <c r="W52"/>
  <c r="W44"/>
  <c r="W29"/>
  <c r="W30"/>
  <c r="W31"/>
  <c r="W32"/>
  <c r="W33"/>
  <c r="W34"/>
  <c r="W35"/>
  <c r="W36"/>
  <c r="W45"/>
  <c r="W53"/>
  <c r="W54"/>
  <c r="W46"/>
  <c r="W47"/>
  <c r="W37"/>
  <c r="W38"/>
  <c r="W39"/>
  <c r="W40"/>
  <c r="W41"/>
  <c r="W42"/>
  <c r="W43"/>
  <c r="W48"/>
  <c r="W49"/>
  <c r="W50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U107" l="1"/>
  <c r="D107" s="1"/>
  <c r="D107" i="14" s="1"/>
  <c r="U97" i="16"/>
  <c r="D97" s="1"/>
  <c r="D97" i="14" s="1"/>
  <c r="U86" i="16"/>
  <c r="D86" s="1"/>
  <c r="D86" i="14" s="1"/>
  <c r="U75" i="16"/>
  <c r="D75" s="1"/>
  <c r="D75" i="14" s="1"/>
  <c r="U65" i="16"/>
  <c r="D65" s="1"/>
  <c r="D65" i="14" s="1"/>
  <c r="U50" i="16"/>
  <c r="U46"/>
  <c r="U30"/>
  <c r="U22"/>
  <c r="D22" s="1"/>
  <c r="D22" i="14" s="1"/>
  <c r="U101" i="16"/>
  <c r="D101" s="1"/>
  <c r="D101" i="14" s="1"/>
  <c r="U90" i="16"/>
  <c r="D90" s="1"/>
  <c r="D90" i="14" s="1"/>
  <c r="U79" i="16"/>
  <c r="D79" s="1"/>
  <c r="D79" i="14" s="1"/>
  <c r="U69" i="16"/>
  <c r="D69" s="1"/>
  <c r="D69" i="14" s="1"/>
  <c r="U58" i="16"/>
  <c r="D58" s="1"/>
  <c r="D58" i="14" s="1"/>
  <c r="U39" i="16"/>
  <c r="U34"/>
  <c r="U26"/>
  <c r="D26" s="1"/>
  <c r="D26" i="14" s="1"/>
  <c r="U102" i="16"/>
  <c r="D102" s="1"/>
  <c r="D102" i="14" s="1"/>
  <c r="U91" i="16"/>
  <c r="D91" s="1"/>
  <c r="D91" i="14" s="1"/>
  <c r="U81" i="16"/>
  <c r="D81" s="1"/>
  <c r="D81" i="14" s="1"/>
  <c r="U70" i="16"/>
  <c r="D70" s="1"/>
  <c r="D70" i="14" s="1"/>
  <c r="U59" i="16"/>
  <c r="D59" s="1"/>
  <c r="D59" i="14" s="1"/>
  <c r="U41" i="16"/>
  <c r="U35"/>
  <c r="U27"/>
  <c r="D27" s="1"/>
  <c r="D27" i="14" s="1"/>
  <c r="U17" i="16"/>
  <c r="D17" s="1"/>
  <c r="U106"/>
  <c r="D106" s="1"/>
  <c r="D106" i="14" s="1"/>
  <c r="U95" i="16"/>
  <c r="D95" s="1"/>
  <c r="D95" i="14" s="1"/>
  <c r="U85" i="16"/>
  <c r="D85" s="1"/>
  <c r="D85" i="14" s="1"/>
  <c r="U74" i="16"/>
  <c r="D74" s="1"/>
  <c r="D74" i="14" s="1"/>
  <c r="U63" i="16"/>
  <c r="D63" s="1"/>
  <c r="D63" i="14" s="1"/>
  <c r="U49" i="16"/>
  <c r="U54"/>
  <c r="U44"/>
  <c r="U21"/>
  <c r="D21" s="1"/>
  <c r="D21" i="14" s="1"/>
  <c r="AB79" i="16"/>
  <c r="O79" s="1"/>
  <c r="O79" i="14" s="1"/>
  <c r="AB108" i="16"/>
  <c r="O108" s="1"/>
  <c r="O108" i="14" s="1"/>
  <c r="AB44" i="16"/>
  <c r="AB31"/>
  <c r="AB63"/>
  <c r="O63" s="1"/>
  <c r="O63" i="14" s="1"/>
  <c r="AB66" i="16"/>
  <c r="O66" s="1"/>
  <c r="O66" i="14" s="1"/>
  <c r="N29" i="16"/>
  <c r="N29" i="14" s="1"/>
  <c r="H30" i="16"/>
  <c r="H30" i="14" s="1"/>
  <c r="L29" i="16"/>
  <c r="L29" i="14" s="1"/>
  <c r="N30" i="16"/>
  <c r="N30" i="14" s="1"/>
  <c r="AB95" i="16"/>
  <c r="O95" s="1"/>
  <c r="O95" i="14" s="1"/>
  <c r="AB18" i="16"/>
  <c r="O18" s="1"/>
  <c r="O18" i="14" s="1"/>
  <c r="AB42" i="16"/>
  <c r="AB83"/>
  <c r="O83" s="1"/>
  <c r="O83" i="14" s="1"/>
  <c r="AB39" i="16"/>
  <c r="AB103"/>
  <c r="O103" s="1"/>
  <c r="O103" i="14" s="1"/>
  <c r="AB26" i="16"/>
  <c r="O26" s="1"/>
  <c r="O26" i="14" s="1"/>
  <c r="AB54" i="16"/>
  <c r="AB58"/>
  <c r="O58" s="1"/>
  <c r="O58" i="14" s="1"/>
  <c r="AB74" i="16"/>
  <c r="O74" s="1"/>
  <c r="O74" i="14" s="1"/>
  <c r="AB99" i="16"/>
  <c r="O99" s="1"/>
  <c r="O99" i="14" s="1"/>
  <c r="AB23" i="16"/>
  <c r="O23" s="1"/>
  <c r="O23" i="14" s="1"/>
  <c r="AB36" i="16"/>
  <c r="AB55"/>
  <c r="O55" s="1"/>
  <c r="O55" i="14" s="1"/>
  <c r="AB71" i="16"/>
  <c r="O71" s="1"/>
  <c r="O71" i="14" s="1"/>
  <c r="AB22" i="16"/>
  <c r="O22" s="1"/>
  <c r="O22" i="14" s="1"/>
  <c r="AB52" i="16"/>
  <c r="AB35"/>
  <c r="AB38"/>
  <c r="AB50"/>
  <c r="AB62"/>
  <c r="O62" s="1"/>
  <c r="O62" i="14" s="1"/>
  <c r="AB70" i="16"/>
  <c r="O70" s="1"/>
  <c r="O70" i="14" s="1"/>
  <c r="AB78" i="16"/>
  <c r="O78" s="1"/>
  <c r="O78" i="14" s="1"/>
  <c r="AB91" i="16"/>
  <c r="O91" s="1"/>
  <c r="O91" i="14" s="1"/>
  <c r="AB107" i="16"/>
  <c r="O107" s="1"/>
  <c r="O107" i="14" s="1"/>
  <c r="AB19" i="16"/>
  <c r="O19" s="1"/>
  <c r="O19" i="14" s="1"/>
  <c r="AB27" i="16"/>
  <c r="O27" s="1"/>
  <c r="O27" i="14" s="1"/>
  <c r="AB32" i="16"/>
  <c r="AB46"/>
  <c r="AB43"/>
  <c r="AB59"/>
  <c r="O59" s="1"/>
  <c r="O59" i="14" s="1"/>
  <c r="AB67" i="16"/>
  <c r="O67" s="1"/>
  <c r="O67" i="14" s="1"/>
  <c r="AB75" i="16"/>
  <c r="O75" s="1"/>
  <c r="O75" i="14" s="1"/>
  <c r="AB87" i="16"/>
  <c r="O87" s="1"/>
  <c r="O87" i="14" s="1"/>
  <c r="U109" i="16"/>
  <c r="D109" s="1"/>
  <c r="D109" i="14" s="1"/>
  <c r="U103" i="16"/>
  <c r="D103" s="1"/>
  <c r="D103" i="14" s="1"/>
  <c r="U93" i="16"/>
  <c r="D93" s="1"/>
  <c r="D93" i="14" s="1"/>
  <c r="U87" i="16"/>
  <c r="D87" s="1"/>
  <c r="D87" i="14" s="1"/>
  <c r="U82" i="16"/>
  <c r="D82" s="1"/>
  <c r="D82" i="14" s="1"/>
  <c r="U77" i="16"/>
  <c r="D77" s="1"/>
  <c r="D77" i="14" s="1"/>
  <c r="U71" i="16"/>
  <c r="D71" s="1"/>
  <c r="D71" i="14" s="1"/>
  <c r="U66" i="16"/>
  <c r="D66" s="1"/>
  <c r="D66" i="14" s="1"/>
  <c r="U61" i="16"/>
  <c r="D61" s="1"/>
  <c r="D61" i="14" s="1"/>
  <c r="U55" i="16"/>
  <c r="D55" s="1"/>
  <c r="D55" i="14" s="1"/>
  <c r="U42" i="16"/>
  <c r="D50" s="1"/>
  <c r="D50" i="14" s="1"/>
  <c r="U37" i="16"/>
  <c r="U36"/>
  <c r="U31"/>
  <c r="D34" s="1"/>
  <c r="D34" i="14" s="1"/>
  <c r="U51" i="16"/>
  <c r="U23"/>
  <c r="D23" s="1"/>
  <c r="D23" i="14" s="1"/>
  <c r="U18" i="16"/>
  <c r="D18" s="1"/>
  <c r="D18" i="14" s="1"/>
  <c r="U20" i="16"/>
  <c r="D20" s="1"/>
  <c r="D20" i="14" s="1"/>
  <c r="U98" i="16"/>
  <c r="D98" s="1"/>
  <c r="D98" i="14" s="1"/>
  <c r="U105" i="16"/>
  <c r="D105" s="1"/>
  <c r="D105" i="14" s="1"/>
  <c r="U99" i="16"/>
  <c r="D99" s="1"/>
  <c r="D99" i="14" s="1"/>
  <c r="U94" i="16"/>
  <c r="D94" s="1"/>
  <c r="D94" i="14" s="1"/>
  <c r="U89" i="16"/>
  <c r="D89" s="1"/>
  <c r="D89" i="14" s="1"/>
  <c r="U83" i="16"/>
  <c r="D83" s="1"/>
  <c r="D83" i="14" s="1"/>
  <c r="U78" i="16"/>
  <c r="D78" s="1"/>
  <c r="D78" i="14" s="1"/>
  <c r="U73" i="16"/>
  <c r="D73" s="1"/>
  <c r="D73" i="14" s="1"/>
  <c r="U67" i="16"/>
  <c r="D67" s="1"/>
  <c r="D67" i="14" s="1"/>
  <c r="U62" i="16"/>
  <c r="D62" s="1"/>
  <c r="D62" i="14" s="1"/>
  <c r="U57" i="16"/>
  <c r="D57" s="1"/>
  <c r="D57" i="14" s="1"/>
  <c r="U43" i="16"/>
  <c r="D51" s="1"/>
  <c r="D51" i="14" s="1"/>
  <c r="U38" i="16"/>
  <c r="D46" s="1"/>
  <c r="D46" i="14" s="1"/>
  <c r="U53" i="16"/>
  <c r="D53" s="1"/>
  <c r="D53" i="14" s="1"/>
  <c r="U32" i="16"/>
  <c r="D35" s="1"/>
  <c r="D35" i="14" s="1"/>
  <c r="U52" i="16"/>
  <c r="D30" s="1"/>
  <c r="D30" i="14" s="1"/>
  <c r="U25" i="16"/>
  <c r="D25" s="1"/>
  <c r="D25" i="14" s="1"/>
  <c r="U108" i="16"/>
  <c r="D108" s="1"/>
  <c r="D108" i="14" s="1"/>
  <c r="U104" i="16"/>
  <c r="D104" s="1"/>
  <c r="D104" i="14" s="1"/>
  <c r="U100" i="16"/>
  <c r="D100" s="1"/>
  <c r="D100" i="14" s="1"/>
  <c r="U96" i="16"/>
  <c r="D96" s="1"/>
  <c r="D96" i="14" s="1"/>
  <c r="U92" i="16"/>
  <c r="D92" s="1"/>
  <c r="D92" i="14" s="1"/>
  <c r="U88" i="16"/>
  <c r="D88" s="1"/>
  <c r="D88" i="14" s="1"/>
  <c r="U84" i="16"/>
  <c r="D84" s="1"/>
  <c r="D84" i="14" s="1"/>
  <c r="U80" i="16"/>
  <c r="D80" s="1"/>
  <c r="D80" i="14" s="1"/>
  <c r="U76" i="16"/>
  <c r="D76" s="1"/>
  <c r="D76" i="14" s="1"/>
  <c r="U72" i="16"/>
  <c r="D72" s="1"/>
  <c r="D72" i="14" s="1"/>
  <c r="U68" i="16"/>
  <c r="D68" s="1"/>
  <c r="D68" i="14" s="1"/>
  <c r="U64" i="16"/>
  <c r="D64" s="1"/>
  <c r="D64" i="14" s="1"/>
  <c r="U60" i="16"/>
  <c r="D60" s="1"/>
  <c r="D60" i="14" s="1"/>
  <c r="U56" i="16"/>
  <c r="D56" s="1"/>
  <c r="D56" i="14" s="1"/>
  <c r="U48" i="16"/>
  <c r="U40"/>
  <c r="U47"/>
  <c r="U45"/>
  <c r="D40" s="1"/>
  <c r="D40" i="14" s="1"/>
  <c r="U33" i="16"/>
  <c r="D36" s="1"/>
  <c r="D36" i="14" s="1"/>
  <c r="U29" i="16"/>
  <c r="U28"/>
  <c r="D28" s="1"/>
  <c r="D28" i="14" s="1"/>
  <c r="U24" i="16"/>
  <c r="D24" s="1"/>
  <c r="D24" i="14" s="1"/>
  <c r="H53" i="16"/>
  <c r="H53" i="14" s="1"/>
  <c r="H44" i="16"/>
  <c r="H44" i="14" s="1"/>
  <c r="H48" i="16"/>
  <c r="H48" i="14" s="1"/>
  <c r="H37" i="16"/>
  <c r="H37" i="14" s="1"/>
  <c r="H33" i="16"/>
  <c r="H33" i="14" s="1"/>
  <c r="L45" i="16"/>
  <c r="L45" i="14" s="1"/>
  <c r="L41" i="16"/>
  <c r="L41" i="14" s="1"/>
  <c r="L49" i="16"/>
  <c r="L49" i="14" s="1"/>
  <c r="L34" i="16"/>
  <c r="L34" i="14" s="1"/>
  <c r="F48" i="16"/>
  <c r="F48" i="14" s="1"/>
  <c r="F44" i="16"/>
  <c r="F44" i="14" s="1"/>
  <c r="D45" i="16"/>
  <c r="D45" i="14" s="1"/>
  <c r="D41" i="16"/>
  <c r="D41" i="14" s="1"/>
  <c r="D49" i="16"/>
  <c r="D49" i="14" s="1"/>
  <c r="O54" i="16"/>
  <c r="O54" i="14" s="1"/>
  <c r="F52" i="16"/>
  <c r="F52" i="14" s="1"/>
  <c r="F36" i="16"/>
  <c r="F36" i="14" s="1"/>
  <c r="F32" i="16"/>
  <c r="F32" i="14" s="1"/>
  <c r="D48" i="16"/>
  <c r="D48" i="14" s="1"/>
  <c r="D37" i="16"/>
  <c r="D37" i="14" s="1"/>
  <c r="D47" i="16"/>
  <c r="D47" i="14" s="1"/>
  <c r="D32" i="16"/>
  <c r="D32" i="14" s="1"/>
  <c r="H52" i="16"/>
  <c r="H52" i="14" s="1"/>
  <c r="H43" i="16"/>
  <c r="H43" i="14" s="1"/>
  <c r="H47" i="16"/>
  <c r="H47" i="14" s="1"/>
  <c r="H36" i="16"/>
  <c r="H36" i="14" s="1"/>
  <c r="H32" i="16"/>
  <c r="H32" i="14" s="1"/>
  <c r="L53" i="16"/>
  <c r="L53" i="14" s="1"/>
  <c r="L44" i="16"/>
  <c r="L44" i="14" s="1"/>
  <c r="L40" i="16"/>
  <c r="L40" i="14" s="1"/>
  <c r="L48" i="16"/>
  <c r="L48" i="14" s="1"/>
  <c r="L37" i="16"/>
  <c r="L37" i="14" s="1"/>
  <c r="L33" i="16"/>
  <c r="L33" i="14" s="1"/>
  <c r="N54" i="16"/>
  <c r="N54" i="14" s="1"/>
  <c r="N45" i="16"/>
  <c r="N45" i="14" s="1"/>
  <c r="N41" i="16"/>
  <c r="N41" i="14" s="1"/>
  <c r="N49" i="16"/>
  <c r="N49" i="14" s="1"/>
  <c r="N38" i="16"/>
  <c r="N38" i="14" s="1"/>
  <c r="N34" i="16"/>
  <c r="N34" i="14" s="1"/>
  <c r="F68" i="16"/>
  <c r="F68" i="14" s="1"/>
  <c r="F64" i="16"/>
  <c r="F64" i="14" s="1"/>
  <c r="F60" i="16"/>
  <c r="F60" i="14" s="1"/>
  <c r="F56" i="16"/>
  <c r="F56" i="14" s="1"/>
  <c r="F28" i="16"/>
  <c r="F28" i="14" s="1"/>
  <c r="F24" i="16"/>
  <c r="F24" i="14" s="1"/>
  <c r="F20" i="16"/>
  <c r="F20" i="14" s="1"/>
  <c r="H46" i="16"/>
  <c r="H46" i="14" s="1"/>
  <c r="H42" i="16"/>
  <c r="H42" i="14" s="1"/>
  <c r="H50" i="16"/>
  <c r="H50" i="14" s="1"/>
  <c r="H39" i="16"/>
  <c r="H39" i="14" s="1"/>
  <c r="H35" i="16"/>
  <c r="H35" i="14" s="1"/>
  <c r="H31" i="16"/>
  <c r="H31" i="14" s="1"/>
  <c r="L52" i="16"/>
  <c r="L52" i="14" s="1"/>
  <c r="L43" i="16"/>
  <c r="L43" i="14" s="1"/>
  <c r="L47" i="16"/>
  <c r="L47" i="14" s="1"/>
  <c r="L36" i="16"/>
  <c r="L36" i="14" s="1"/>
  <c r="L32" i="16"/>
  <c r="L32" i="14" s="1"/>
  <c r="N53" i="16"/>
  <c r="N53" i="14" s="1"/>
  <c r="N44" i="16"/>
  <c r="N44" i="14" s="1"/>
  <c r="N40" i="16"/>
  <c r="N40" i="14" s="1"/>
  <c r="N48" i="16"/>
  <c r="N48" i="14" s="1"/>
  <c r="N37" i="16"/>
  <c r="N37" i="14" s="1"/>
  <c r="N33" i="16"/>
  <c r="N33" i="14" s="1"/>
  <c r="N46" i="16"/>
  <c r="N46" i="14" s="1"/>
  <c r="N42" i="16"/>
  <c r="N42" i="14" s="1"/>
  <c r="N50" i="16"/>
  <c r="N50" i="14" s="1"/>
  <c r="N35" i="16"/>
  <c r="N35" i="14" s="1"/>
  <c r="N31" i="16"/>
  <c r="N31" i="14" s="1"/>
  <c r="L51" i="16"/>
  <c r="L51" i="14" s="1"/>
  <c r="H51" i="16"/>
  <c r="H51" i="14" s="1"/>
  <c r="N39" i="16"/>
  <c r="N39" i="14" s="1"/>
  <c r="H54" i="16"/>
  <c r="H54" i="14" s="1"/>
  <c r="H45" i="16"/>
  <c r="H45" i="14" s="1"/>
  <c r="H41" i="16"/>
  <c r="H41" i="14" s="1"/>
  <c r="H49" i="16"/>
  <c r="H49" i="14" s="1"/>
  <c r="H38" i="16"/>
  <c r="H38" i="14" s="1"/>
  <c r="H34" i="16"/>
  <c r="H34" i="14" s="1"/>
  <c r="L46" i="16"/>
  <c r="L46" i="14" s="1"/>
  <c r="L42" i="16"/>
  <c r="L42" i="14" s="1"/>
  <c r="L50" i="16"/>
  <c r="L50" i="14" s="1"/>
  <c r="L39" i="16"/>
  <c r="L39" i="14" s="1"/>
  <c r="L35" i="16"/>
  <c r="L35" i="14" s="1"/>
  <c r="L31" i="16"/>
  <c r="L31" i="14" s="1"/>
  <c r="N52" i="16"/>
  <c r="N52" i="14" s="1"/>
  <c r="N43" i="16"/>
  <c r="N43" i="14" s="1"/>
  <c r="N51" i="16"/>
  <c r="N51" i="14" s="1"/>
  <c r="N47" i="16"/>
  <c r="N47" i="14" s="1"/>
  <c r="N36" i="16"/>
  <c r="N36" i="14" s="1"/>
  <c r="N32" i="16"/>
  <c r="N32" i="14" s="1"/>
  <c r="H40" i="16"/>
  <c r="H40" i="14" s="1"/>
  <c r="L54" i="16"/>
  <c r="L54" i="14" s="1"/>
  <c r="L38" i="16"/>
  <c r="L38" i="14" s="1"/>
  <c r="AB82" i="16"/>
  <c r="O82" s="1"/>
  <c r="O82" i="14" s="1"/>
  <c r="AB86" i="16"/>
  <c r="O86" s="1"/>
  <c r="O86" i="14" s="1"/>
  <c r="AB90" i="16"/>
  <c r="O90" s="1"/>
  <c r="O90" i="14" s="1"/>
  <c r="AB94" i="16"/>
  <c r="O94" s="1"/>
  <c r="O94" i="14" s="1"/>
  <c r="AB98" i="16"/>
  <c r="O98" s="1"/>
  <c r="O98" i="14" s="1"/>
  <c r="AB102" i="16"/>
  <c r="O102" s="1"/>
  <c r="O102" i="14" s="1"/>
  <c r="AB106" i="16"/>
  <c r="O106" s="1"/>
  <c r="O106" i="14" s="1"/>
  <c r="AB17" i="16"/>
  <c r="O17" s="1"/>
  <c r="AB21"/>
  <c r="O21" s="1"/>
  <c r="O21" i="14" s="1"/>
  <c r="AB25" i="16"/>
  <c r="O25" s="1"/>
  <c r="O25" i="14" s="1"/>
  <c r="AB51" i="16"/>
  <c r="AB30"/>
  <c r="AB34"/>
  <c r="O34" s="1"/>
  <c r="O34" i="14" s="1"/>
  <c r="AB53" i="16"/>
  <c r="AB37"/>
  <c r="AB41"/>
  <c r="AB49"/>
  <c r="AB57"/>
  <c r="O57" s="1"/>
  <c r="O57" i="14" s="1"/>
  <c r="AB61" i="16"/>
  <c r="O61" s="1"/>
  <c r="O61" i="14" s="1"/>
  <c r="AB65" i="16"/>
  <c r="O65" s="1"/>
  <c r="O65" i="14" s="1"/>
  <c r="AB69" i="16"/>
  <c r="O69" s="1"/>
  <c r="O69" i="14" s="1"/>
  <c r="AB73" i="16"/>
  <c r="O73" s="1"/>
  <c r="O73" i="14" s="1"/>
  <c r="AB77" i="16"/>
  <c r="O77" s="1"/>
  <c r="O77" i="14" s="1"/>
  <c r="AB81" i="16"/>
  <c r="O81" s="1"/>
  <c r="O81" i="14" s="1"/>
  <c r="AB85" i="16"/>
  <c r="O85" s="1"/>
  <c r="O85" i="14" s="1"/>
  <c r="AB89" i="16"/>
  <c r="O89" s="1"/>
  <c r="O89" i="14" s="1"/>
  <c r="AB93" i="16"/>
  <c r="O93" s="1"/>
  <c r="O93" i="14" s="1"/>
  <c r="AB97" i="16"/>
  <c r="O97" s="1"/>
  <c r="O97" i="14" s="1"/>
  <c r="AB101" i="16"/>
  <c r="O101" s="1"/>
  <c r="O101" i="14" s="1"/>
  <c r="AB105" i="16"/>
  <c r="O105" s="1"/>
  <c r="O105" i="14" s="1"/>
  <c r="AB109" i="16"/>
  <c r="O109" s="1"/>
  <c r="O109" i="14" s="1"/>
  <c r="AB20" i="16"/>
  <c r="O20" s="1"/>
  <c r="O20" i="14" s="1"/>
  <c r="AB24" i="16"/>
  <c r="O24" s="1"/>
  <c r="O24" i="14" s="1"/>
  <c r="AB28" i="16"/>
  <c r="O28" s="1"/>
  <c r="O28" i="14" s="1"/>
  <c r="AB29" i="16"/>
  <c r="O32" s="1"/>
  <c r="O32" i="14" s="1"/>
  <c r="AB33" i="16"/>
  <c r="AB45"/>
  <c r="AB47"/>
  <c r="AB40"/>
  <c r="O43" s="1"/>
  <c r="O43" i="14" s="1"/>
  <c r="AB48" i="16"/>
  <c r="AB56"/>
  <c r="O56" s="1"/>
  <c r="O56" i="14" s="1"/>
  <c r="AB60" i="16"/>
  <c r="O60" s="1"/>
  <c r="O60" i="14" s="1"/>
  <c r="AB64" i="16"/>
  <c r="O64" s="1"/>
  <c r="O64" i="14" s="1"/>
  <c r="AB68" i="16"/>
  <c r="O68" s="1"/>
  <c r="O68" i="14" s="1"/>
  <c r="AB72" i="16"/>
  <c r="O72" s="1"/>
  <c r="O72" i="14" s="1"/>
  <c r="AB76" i="16"/>
  <c r="O76" s="1"/>
  <c r="O76" i="14" s="1"/>
  <c r="AB80" i="16"/>
  <c r="O80" s="1"/>
  <c r="O80" i="14" s="1"/>
  <c r="AB84" i="16"/>
  <c r="O84" s="1"/>
  <c r="O84" i="14" s="1"/>
  <c r="AB88" i="16"/>
  <c r="O88" s="1"/>
  <c r="O88" i="14" s="1"/>
  <c r="AB92" i="16"/>
  <c r="O92" s="1"/>
  <c r="O92" i="14" s="1"/>
  <c r="AB96" i="16"/>
  <c r="O96" s="1"/>
  <c r="O96" i="14" s="1"/>
  <c r="AB100" i="16"/>
  <c r="O100" s="1"/>
  <c r="O100" i="14" s="1"/>
  <c r="AB104" i="16"/>
  <c r="O104" s="1"/>
  <c r="O104" i="14" s="1"/>
  <c r="F89" i="16"/>
  <c r="F89" i="14" s="1"/>
  <c r="F101" i="16"/>
  <c r="F101" i="14" s="1"/>
  <c r="F93" i="16"/>
  <c r="F93" i="14" s="1"/>
  <c r="F81" i="16"/>
  <c r="F81" i="14" s="1"/>
  <c r="F69" i="16"/>
  <c r="F69" i="14" s="1"/>
  <c r="F61" i="16"/>
  <c r="F61" i="14" s="1"/>
  <c r="F53" i="16"/>
  <c r="F53" i="14" s="1"/>
  <c r="F45" i="16"/>
  <c r="F45" i="14" s="1"/>
  <c r="F37" i="16"/>
  <c r="F37" i="14" s="1"/>
  <c r="F29" i="16"/>
  <c r="F29" i="14" s="1"/>
  <c r="F21" i="16"/>
  <c r="F21" i="14" s="1"/>
  <c r="F105" i="16"/>
  <c r="F105" i="14" s="1"/>
  <c r="F97" i="16"/>
  <c r="F97" i="14" s="1"/>
  <c r="F85" i="16"/>
  <c r="F85" i="14" s="1"/>
  <c r="F65" i="16"/>
  <c r="F65" i="14" s="1"/>
  <c r="F57" i="16"/>
  <c r="F57" i="14" s="1"/>
  <c r="F49" i="16"/>
  <c r="F49" i="14" s="1"/>
  <c r="F41" i="16"/>
  <c r="F41" i="14" s="1"/>
  <c r="F33" i="16"/>
  <c r="F33" i="14" s="1"/>
  <c r="F25" i="16"/>
  <c r="F25" i="14" s="1"/>
  <c r="F17" i="16"/>
  <c r="F17" i="14" s="1"/>
  <c r="F109" i="16"/>
  <c r="F109" i="14" s="1"/>
  <c r="F40" i="16"/>
  <c r="F40" i="14" s="1"/>
  <c r="F108" i="16"/>
  <c r="F108" i="14" s="1"/>
  <c r="F104" i="16"/>
  <c r="F104" i="14" s="1"/>
  <c r="F79" i="16"/>
  <c r="F79" i="14" s="1"/>
  <c r="F74" i="16"/>
  <c r="F74" i="14" s="1"/>
  <c r="F102" i="16"/>
  <c r="F102" i="14" s="1"/>
  <c r="F94" i="16"/>
  <c r="F94" i="14" s="1"/>
  <c r="F86" i="16"/>
  <c r="F86" i="14" s="1"/>
  <c r="F70" i="16"/>
  <c r="F70" i="14" s="1"/>
  <c r="F66" i="16"/>
  <c r="F66" i="14" s="1"/>
  <c r="F62" i="16"/>
  <c r="F62" i="14" s="1"/>
  <c r="F58" i="16"/>
  <c r="F58" i="14" s="1"/>
  <c r="F54" i="16"/>
  <c r="F54" i="14" s="1"/>
  <c r="F50" i="16"/>
  <c r="F50" i="14" s="1"/>
  <c r="F46" i="16"/>
  <c r="F46" i="14" s="1"/>
  <c r="F42" i="16"/>
  <c r="F42" i="14" s="1"/>
  <c r="F38" i="16"/>
  <c r="F38" i="14" s="1"/>
  <c r="F34" i="16"/>
  <c r="F34" i="14" s="1"/>
  <c r="F30" i="16"/>
  <c r="F30" i="14" s="1"/>
  <c r="F26" i="16"/>
  <c r="F26" i="14" s="1"/>
  <c r="F22" i="16"/>
  <c r="F22" i="14" s="1"/>
  <c r="F18" i="16"/>
  <c r="F18" i="14" s="1"/>
  <c r="F77" i="16"/>
  <c r="F77" i="14" s="1"/>
  <c r="F106" i="16"/>
  <c r="F106" i="14" s="1"/>
  <c r="F76" i="16"/>
  <c r="F76" i="14" s="1"/>
  <c r="F72" i="16"/>
  <c r="F72" i="14" s="1"/>
  <c r="F99" i="16"/>
  <c r="F99" i="14" s="1"/>
  <c r="F95" i="16"/>
  <c r="F95" i="14" s="1"/>
  <c r="F91" i="16"/>
  <c r="F91" i="14" s="1"/>
  <c r="F87" i="16"/>
  <c r="F87" i="14" s="1"/>
  <c r="F83" i="16"/>
  <c r="F83" i="14" s="1"/>
  <c r="F75" i="16"/>
  <c r="F75" i="14" s="1"/>
  <c r="F98" i="16"/>
  <c r="F98" i="14" s="1"/>
  <c r="F90" i="16"/>
  <c r="F90" i="14" s="1"/>
  <c r="F82" i="16"/>
  <c r="F82" i="14" s="1"/>
  <c r="F71" i="16"/>
  <c r="F71" i="14" s="1"/>
  <c r="F67" i="16"/>
  <c r="F67" i="14" s="1"/>
  <c r="F63" i="16"/>
  <c r="F63" i="14" s="1"/>
  <c r="F59" i="16"/>
  <c r="F59" i="14" s="1"/>
  <c r="F55" i="16"/>
  <c r="F55" i="14" s="1"/>
  <c r="F51" i="16"/>
  <c r="F51" i="14" s="1"/>
  <c r="F47" i="16"/>
  <c r="F47" i="14" s="1"/>
  <c r="F43" i="16"/>
  <c r="F43" i="14" s="1"/>
  <c r="F39" i="16"/>
  <c r="F39" i="14" s="1"/>
  <c r="F35" i="16"/>
  <c r="F35" i="14" s="1"/>
  <c r="F31" i="16"/>
  <c r="F31" i="14" s="1"/>
  <c r="F27" i="16"/>
  <c r="F27" i="14" s="1"/>
  <c r="F23" i="16"/>
  <c r="F23" i="14" s="1"/>
  <c r="F19" i="16"/>
  <c r="F19" i="14" s="1"/>
  <c r="F78" i="16"/>
  <c r="F78" i="14" s="1"/>
  <c r="F107" i="16"/>
  <c r="F107" i="14" s="1"/>
  <c r="F103" i="16"/>
  <c r="F103" i="14" s="1"/>
  <c r="F73" i="16"/>
  <c r="F73" i="14" s="1"/>
  <c r="F100" i="16"/>
  <c r="F100" i="14" s="1"/>
  <c r="F96" i="16"/>
  <c r="F96" i="14" s="1"/>
  <c r="F92" i="16"/>
  <c r="F92" i="14" s="1"/>
  <c r="F88" i="16"/>
  <c r="F88" i="14" s="1"/>
  <c r="F84" i="16"/>
  <c r="F84" i="14" s="1"/>
  <c r="F80" i="16"/>
  <c r="F80" i="14" s="1"/>
  <c r="D52" i="16" l="1"/>
  <c r="D52" i="14" s="1"/>
  <c r="D43" i="16"/>
  <c r="D43" i="14" s="1"/>
  <c r="D42" i="16"/>
  <c r="D42" i="14" s="1"/>
  <c r="D29" i="16"/>
  <c r="D29" i="14" s="1"/>
  <c r="D31" i="16"/>
  <c r="D31" i="14" s="1"/>
  <c r="D54" i="16"/>
  <c r="D54" i="14" s="1"/>
  <c r="D33" i="16"/>
  <c r="D33" i="14" s="1"/>
  <c r="D38" i="16"/>
  <c r="D38" i="14" s="1"/>
  <c r="D44" i="16"/>
  <c r="D44" i="14" s="1"/>
  <c r="D39" i="16"/>
  <c r="D39" i="14" s="1"/>
  <c r="O29" i="16"/>
  <c r="O29" i="14" s="1"/>
  <c r="O33" i="16"/>
  <c r="O33" i="14" s="1"/>
  <c r="O30" i="16"/>
  <c r="O30" i="14" s="1"/>
  <c r="O53" i="16"/>
  <c r="O53" i="14" s="1"/>
  <c r="O37" i="16"/>
  <c r="O37" i="14" s="1"/>
  <c r="O38" i="16"/>
  <c r="O38" i="14" s="1"/>
  <c r="O47" i="16"/>
  <c r="O47" i="14" s="1"/>
  <c r="O50" i="16"/>
  <c r="O50" i="14" s="1"/>
  <c r="O48" i="16"/>
  <c r="O48" i="14" s="1"/>
  <c r="O40" i="16"/>
  <c r="O40" i="14" s="1"/>
  <c r="O44" i="16"/>
  <c r="O44" i="14" s="1"/>
  <c r="O49" i="16"/>
  <c r="O49" i="14" s="1"/>
  <c r="O41" i="16"/>
  <c r="O41" i="14" s="1"/>
  <c r="O45" i="16"/>
  <c r="O45" i="14" s="1"/>
  <c r="O52" i="16"/>
  <c r="O52" i="14" s="1"/>
  <c r="O36" i="16"/>
  <c r="O36" i="14" s="1"/>
  <c r="O35" i="16"/>
  <c r="O35" i="14" s="1"/>
  <c r="O31" i="16"/>
  <c r="O31" i="14" s="1"/>
  <c r="O39" i="16"/>
  <c r="O39" i="14" s="1"/>
  <c r="O51" i="16"/>
  <c r="O51" i="14" s="1"/>
  <c r="O46" i="16"/>
  <c r="O46" i="14" s="1"/>
  <c r="O42" i="16"/>
  <c r="O42" i="14" s="1"/>
  <c r="V103" i="1"/>
  <c r="W103" s="1"/>
  <c r="V109" i="16" s="1"/>
  <c r="E109" s="1"/>
  <c r="E109" i="14" s="1"/>
  <c r="V102" i="1"/>
  <c r="W102" s="1"/>
  <c r="V108" i="16" s="1"/>
  <c r="E108" s="1"/>
  <c r="E108" i="14" s="1"/>
  <c r="V101" i="1"/>
  <c r="W101" s="1"/>
  <c r="V107" i="16" s="1"/>
  <c r="E107" s="1"/>
  <c r="E107" i="14" s="1"/>
  <c r="V100" i="1"/>
  <c r="W100" s="1"/>
  <c r="V106" i="16" s="1"/>
  <c r="E106" s="1"/>
  <c r="E106" i="14" s="1"/>
  <c r="V99" i="1"/>
  <c r="W99" s="1"/>
  <c r="V105" i="16" s="1"/>
  <c r="E105" s="1"/>
  <c r="E105" i="14" s="1"/>
  <c r="V98" i="1"/>
  <c r="W98" s="1"/>
  <c r="V104" i="16" s="1"/>
  <c r="E104" s="1"/>
  <c r="E104" i="14" s="1"/>
  <c r="V97" i="1"/>
  <c r="W97" s="1"/>
  <c r="V103" i="16" s="1"/>
  <c r="E103" s="1"/>
  <c r="E103" i="14" s="1"/>
  <c r="V96" i="1"/>
  <c r="W96" s="1"/>
  <c r="V102" i="16" s="1"/>
  <c r="E102" s="1"/>
  <c r="E102" i="14" s="1"/>
  <c r="V95" i="1"/>
  <c r="W95" s="1"/>
  <c r="V101" i="16" s="1"/>
  <c r="E101" s="1"/>
  <c r="E101" i="14" s="1"/>
  <c r="V94" i="1"/>
  <c r="W94" s="1"/>
  <c r="V100" i="16" s="1"/>
  <c r="E100" s="1"/>
  <c r="E100" i="14" s="1"/>
  <c r="V93" i="1"/>
  <c r="W93" s="1"/>
  <c r="V99" i="16" s="1"/>
  <c r="E99" s="1"/>
  <c r="E99" i="14" s="1"/>
  <c r="V92" i="1"/>
  <c r="W92" s="1"/>
  <c r="V98" i="16" s="1"/>
  <c r="E98" s="1"/>
  <c r="E98" i="14" s="1"/>
  <c r="V91" i="1"/>
  <c r="W91" s="1"/>
  <c r="V97" i="16" s="1"/>
  <c r="E97" s="1"/>
  <c r="E97" i="14" s="1"/>
  <c r="V90" i="1"/>
  <c r="W90" s="1"/>
  <c r="V96" i="16" s="1"/>
  <c r="E96" s="1"/>
  <c r="E96" i="14" s="1"/>
  <c r="V89" i="1"/>
  <c r="W89" s="1"/>
  <c r="V95" i="16" s="1"/>
  <c r="E95" s="1"/>
  <c r="E95" i="14" s="1"/>
  <c r="V88" i="1"/>
  <c r="W88" s="1"/>
  <c r="V94" i="16" s="1"/>
  <c r="E94" s="1"/>
  <c r="E94" i="14" s="1"/>
  <c r="V87" i="1"/>
  <c r="W87" s="1"/>
  <c r="V93" i="16" s="1"/>
  <c r="E93" s="1"/>
  <c r="E93" i="14" s="1"/>
  <c r="V86" i="1"/>
  <c r="W86" s="1"/>
  <c r="V92" i="16" s="1"/>
  <c r="E92" s="1"/>
  <c r="E92" i="14" s="1"/>
  <c r="V85" i="1"/>
  <c r="W85" s="1"/>
  <c r="V91" i="16" s="1"/>
  <c r="E91" s="1"/>
  <c r="E91" i="14" s="1"/>
  <c r="V84" i="1"/>
  <c r="W84" s="1"/>
  <c r="V90" i="16" s="1"/>
  <c r="E90" s="1"/>
  <c r="E90" i="14" s="1"/>
  <c r="V83" i="1"/>
  <c r="W83" s="1"/>
  <c r="V89" i="16" s="1"/>
  <c r="E89" s="1"/>
  <c r="E89" i="14" s="1"/>
  <c r="V82" i="1"/>
  <c r="W82" s="1"/>
  <c r="V88" i="16" s="1"/>
  <c r="E88" s="1"/>
  <c r="E88" i="14" s="1"/>
  <c r="V81" i="1"/>
  <c r="W81" s="1"/>
  <c r="V87" i="16" s="1"/>
  <c r="E87" s="1"/>
  <c r="E87" i="14" s="1"/>
  <c r="V80" i="1"/>
  <c r="W80" s="1"/>
  <c r="V86" i="16" s="1"/>
  <c r="E86" s="1"/>
  <c r="E86" i="14" s="1"/>
  <c r="V79" i="1"/>
  <c r="W79" s="1"/>
  <c r="V85" i="16" s="1"/>
  <c r="E85" s="1"/>
  <c r="E85" i="14" s="1"/>
  <c r="V78" i="1"/>
  <c r="W78" s="1"/>
  <c r="V84" i="16" s="1"/>
  <c r="E84" s="1"/>
  <c r="E84" i="14" s="1"/>
  <c r="V77" i="1"/>
  <c r="W77" s="1"/>
  <c r="V83" i="16" s="1"/>
  <c r="E83" s="1"/>
  <c r="E83" i="14" s="1"/>
  <c r="V76" i="1"/>
  <c r="W76" s="1"/>
  <c r="V82" i="16" s="1"/>
  <c r="E82" s="1"/>
  <c r="E82" i="14" s="1"/>
  <c r="V75" i="1"/>
  <c r="W75" s="1"/>
  <c r="V81" i="16" s="1"/>
  <c r="E81" s="1"/>
  <c r="E81" i="14" s="1"/>
  <c r="V74" i="1"/>
  <c r="W74" s="1"/>
  <c r="V80" i="16" s="1"/>
  <c r="E80" s="1"/>
  <c r="E80" i="14" s="1"/>
  <c r="V73" i="1"/>
  <c r="W73" s="1"/>
  <c r="V79" i="16" s="1"/>
  <c r="E79" s="1"/>
  <c r="E79" i="14" s="1"/>
  <c r="V72" i="1"/>
  <c r="W72" s="1"/>
  <c r="V78" i="16" s="1"/>
  <c r="E78" s="1"/>
  <c r="E78" i="14" s="1"/>
  <c r="V71" i="1"/>
  <c r="W71" s="1"/>
  <c r="V77" i="16" s="1"/>
  <c r="E77" s="1"/>
  <c r="E77" i="14" s="1"/>
  <c r="V70" i="1"/>
  <c r="W70" s="1"/>
  <c r="V76" i="16" s="1"/>
  <c r="E76" s="1"/>
  <c r="E76" i="14" s="1"/>
  <c r="V69" i="1"/>
  <c r="W69" s="1"/>
  <c r="V75" i="16" s="1"/>
  <c r="E75" s="1"/>
  <c r="E75" i="14" s="1"/>
  <c r="V68" i="1"/>
  <c r="W68" s="1"/>
  <c r="V74" i="16" s="1"/>
  <c r="E74" s="1"/>
  <c r="E74" i="14" s="1"/>
  <c r="V67" i="1"/>
  <c r="W67" s="1"/>
  <c r="V73" i="16" s="1"/>
  <c r="E73" s="1"/>
  <c r="E73" i="14" s="1"/>
  <c r="V66" i="1"/>
  <c r="W66" s="1"/>
  <c r="V72" i="16" s="1"/>
  <c r="E72" s="1"/>
  <c r="E72" i="14" s="1"/>
  <c r="V65" i="1"/>
  <c r="W65" s="1"/>
  <c r="V71" i="16" s="1"/>
  <c r="E71" s="1"/>
  <c r="E71" i="14" s="1"/>
  <c r="V64" i="1"/>
  <c r="W64" s="1"/>
  <c r="V70" i="16" s="1"/>
  <c r="E70" s="1"/>
  <c r="E70" i="14" s="1"/>
  <c r="V63" i="1"/>
  <c r="W63" s="1"/>
  <c r="V69" i="16" s="1"/>
  <c r="E69" s="1"/>
  <c r="E69" i="14" s="1"/>
  <c r="V62" i="1"/>
  <c r="W62" s="1"/>
  <c r="V68" i="16" s="1"/>
  <c r="E68" s="1"/>
  <c r="E68" i="14" s="1"/>
  <c r="V61" i="1"/>
  <c r="W61" s="1"/>
  <c r="V67" i="16" s="1"/>
  <c r="E67" s="1"/>
  <c r="E67" i="14" s="1"/>
  <c r="V60" i="1"/>
  <c r="W60" s="1"/>
  <c r="V66" i="16" s="1"/>
  <c r="E66" s="1"/>
  <c r="E66" i="14" s="1"/>
  <c r="V59" i="1"/>
  <c r="W59" s="1"/>
  <c r="V65" i="16" s="1"/>
  <c r="E65" s="1"/>
  <c r="E65" i="14" s="1"/>
  <c r="V58" i="1"/>
  <c r="W58" s="1"/>
  <c r="V64" i="16" s="1"/>
  <c r="E64" s="1"/>
  <c r="E64" i="14" s="1"/>
  <c r="V57" i="1"/>
  <c r="W57" s="1"/>
  <c r="V63" i="16" s="1"/>
  <c r="E63" s="1"/>
  <c r="E63" i="14" s="1"/>
  <c r="V56" i="1"/>
  <c r="W56" s="1"/>
  <c r="V62" i="16" s="1"/>
  <c r="E62" s="1"/>
  <c r="E62" i="14" s="1"/>
  <c r="V55" i="1"/>
  <c r="W55" s="1"/>
  <c r="V61" i="16" s="1"/>
  <c r="E61" s="1"/>
  <c r="E61" i="14" s="1"/>
  <c r="V54" i="1"/>
  <c r="W54" s="1"/>
  <c r="V60" i="16" s="1"/>
  <c r="E60" s="1"/>
  <c r="E60" i="14" s="1"/>
  <c r="V53" i="1"/>
  <c r="W53" s="1"/>
  <c r="V59" i="16" s="1"/>
  <c r="E59" s="1"/>
  <c r="E59" i="14" s="1"/>
  <c r="V52" i="1"/>
  <c r="W52" s="1"/>
  <c r="V58" i="16" s="1"/>
  <c r="E58" s="1"/>
  <c r="E58" i="14" s="1"/>
  <c r="V51" i="1"/>
  <c r="W51" s="1"/>
  <c r="V57" i="16" s="1"/>
  <c r="E57" s="1"/>
  <c r="E57" i="14" s="1"/>
  <c r="V50" i="1"/>
  <c r="W50" s="1"/>
  <c r="V56" i="16" s="1"/>
  <c r="E56" s="1"/>
  <c r="E56" i="14" s="1"/>
  <c r="V49" i="1"/>
  <c r="W49" s="1"/>
  <c r="V55" i="16" s="1"/>
  <c r="E55" s="1"/>
  <c r="E55" i="14" s="1"/>
  <c r="V48" i="1"/>
  <c r="W48" s="1"/>
  <c r="V50" i="16" s="1"/>
  <c r="V47" i="1"/>
  <c r="W47" s="1"/>
  <c r="V49" i="16" s="1"/>
  <c r="V46" i="1"/>
  <c r="W46" s="1"/>
  <c r="V48" i="16" s="1"/>
  <c r="E52" s="1"/>
  <c r="E52" i="14" s="1"/>
  <c r="V45" i="1"/>
  <c r="W45" s="1"/>
  <c r="V43" i="16" s="1"/>
  <c r="V44" i="1"/>
  <c r="W44" s="1"/>
  <c r="V42" i="16" s="1"/>
  <c r="V43" i="1"/>
  <c r="W43" s="1"/>
  <c r="V41" i="16" s="1"/>
  <c r="V42" i="1"/>
  <c r="W42" s="1"/>
  <c r="V40" i="16" s="1"/>
  <c r="E42" s="1"/>
  <c r="E42" i="14" s="1"/>
  <c r="V41" i="1"/>
  <c r="W41" s="1"/>
  <c r="V39" i="16" s="1"/>
  <c r="E41" s="1"/>
  <c r="E41" i="14" s="1"/>
  <c r="V40" i="1"/>
  <c r="W40" s="1"/>
  <c r="V38" i="16" s="1"/>
  <c r="V39" i="1"/>
  <c r="W39" s="1"/>
  <c r="V37" i="16" s="1"/>
  <c r="V38" i="1"/>
  <c r="W38" s="1"/>
  <c r="V47" i="16" s="1"/>
  <c r="E51" s="1"/>
  <c r="E51" i="14" s="1"/>
  <c r="V37" i="1"/>
  <c r="W37" s="1"/>
  <c r="V46" i="16" s="1"/>
  <c r="E50" s="1"/>
  <c r="E50" i="14" s="1"/>
  <c r="V36" i="1"/>
  <c r="W36" s="1"/>
  <c r="V54" i="16" s="1"/>
  <c r="E49" s="1"/>
  <c r="E49" i="14" s="1"/>
  <c r="V35" i="1"/>
  <c r="W35" s="1"/>
  <c r="V53" i="16" s="1"/>
  <c r="V34" i="1"/>
  <c r="W34" s="1"/>
  <c r="V45" i="16" s="1"/>
  <c r="E47" s="1"/>
  <c r="E47" i="14" s="1"/>
  <c r="V33" i="1"/>
  <c r="W33" s="1"/>
  <c r="V36" i="16" s="1"/>
  <c r="E38" s="1"/>
  <c r="E38" i="14" s="1"/>
  <c r="V32" i="1"/>
  <c r="W32" s="1"/>
  <c r="V35" i="16" s="1"/>
  <c r="E37" s="1"/>
  <c r="E37" i="14" s="1"/>
  <c r="V31" i="1"/>
  <c r="W31" s="1"/>
  <c r="V34" i="16" s="1"/>
  <c r="V30" i="1"/>
  <c r="W30" s="1"/>
  <c r="V33" i="16" s="1"/>
  <c r="E35" s="1"/>
  <c r="E35" i="14" s="1"/>
  <c r="V29" i="1"/>
  <c r="W29" s="1"/>
  <c r="V32" i="16" s="1"/>
  <c r="E34" s="1"/>
  <c r="E34" i="14" s="1"/>
  <c r="V28" i="1"/>
  <c r="W28" s="1"/>
  <c r="V31" i="16" s="1"/>
  <c r="V27" i="1"/>
  <c r="W27" s="1"/>
  <c r="V30" i="16" s="1"/>
  <c r="V26" i="1"/>
  <c r="W26" s="1"/>
  <c r="V29" i="16" s="1"/>
  <c r="V25" i="1"/>
  <c r="W25" s="1"/>
  <c r="V24"/>
  <c r="W24" s="1"/>
  <c r="V52" i="16" s="1"/>
  <c r="E30" s="1"/>
  <c r="E30" i="14" s="1"/>
  <c r="V23" i="1"/>
  <c r="W23" s="1"/>
  <c r="V51" i="16" s="1"/>
  <c r="V22" i="1"/>
  <c r="W22" s="1"/>
  <c r="V28" i="16" s="1"/>
  <c r="E28" s="1"/>
  <c r="E28" i="14" s="1"/>
  <c r="V21" i="1"/>
  <c r="W21" s="1"/>
  <c r="V27" i="16" s="1"/>
  <c r="E27" s="1"/>
  <c r="E27" i="14" s="1"/>
  <c r="V20" i="1"/>
  <c r="W20" s="1"/>
  <c r="V26" i="16" s="1"/>
  <c r="E26" s="1"/>
  <c r="E26" i="14" s="1"/>
  <c r="V19" i="1"/>
  <c r="W19" s="1"/>
  <c r="V25" i="16" s="1"/>
  <c r="E25" s="1"/>
  <c r="E25" i="14" s="1"/>
  <c r="V18" i="1"/>
  <c r="W18" s="1"/>
  <c r="V24" i="16" s="1"/>
  <c r="E24" s="1"/>
  <c r="E24" i="14" s="1"/>
  <c r="V17" i="1"/>
  <c r="W17" s="1"/>
  <c r="V23" i="16" s="1"/>
  <c r="E23" s="1"/>
  <c r="E23" i="14" s="1"/>
  <c r="V16" i="1"/>
  <c r="W16" s="1"/>
  <c r="V22" i="16" s="1"/>
  <c r="E22" s="1"/>
  <c r="E22" i="14" s="1"/>
  <c r="V15" i="1"/>
  <c r="W15" s="1"/>
  <c r="V21" i="16" s="1"/>
  <c r="E21" s="1"/>
  <c r="E21" i="14" s="1"/>
  <c r="V14" i="1"/>
  <c r="W14" s="1"/>
  <c r="V20" i="16" s="1"/>
  <c r="E20" s="1"/>
  <c r="E20" i="14" s="1"/>
  <c r="V13" i="1"/>
  <c r="W13" s="1"/>
  <c r="V19" i="16" s="1"/>
  <c r="E19" s="1"/>
  <c r="E19" i="14" s="1"/>
  <c r="V12" i="1"/>
  <c r="W12" s="1"/>
  <c r="V18" i="16" s="1"/>
  <c r="E18" s="1"/>
  <c r="E18" i="14" s="1"/>
  <c r="V11" i="1"/>
  <c r="W11" s="1"/>
  <c r="V17" i="16" s="1"/>
  <c r="E17" s="1"/>
  <c r="E17" i="14" s="1"/>
  <c r="E33" i="16" l="1"/>
  <c r="E33" i="14" s="1"/>
  <c r="E40" i="16"/>
  <c r="E40" i="14" s="1"/>
  <c r="E29" i="16"/>
  <c r="E29" i="14" s="1"/>
  <c r="E32" i="16"/>
  <c r="E32" i="14" s="1"/>
  <c r="E36" i="16"/>
  <c r="E36" i="14" s="1"/>
  <c r="E48" i="16"/>
  <c r="E48" i="14" s="1"/>
  <c r="E39" i="16"/>
  <c r="E39" i="14" s="1"/>
  <c r="E43" i="16"/>
  <c r="E43" i="14" s="1"/>
  <c r="E53" i="16"/>
  <c r="E53" i="14" s="1"/>
  <c r="E45" i="16"/>
  <c r="E45" i="14" s="1"/>
  <c r="E44" i="16"/>
  <c r="E44" i="14" s="1"/>
  <c r="V44" i="16"/>
  <c r="E46" s="1"/>
  <c r="E46" i="14" s="1"/>
  <c r="P10" i="1"/>
  <c r="Q10"/>
  <c r="T10"/>
  <c r="E31" i="16" l="1"/>
  <c r="E31" i="14" s="1"/>
  <c r="E54" i="16"/>
  <c r="E54" i="14" s="1"/>
  <c r="H15" i="9"/>
  <c r="B4" i="4" l="1"/>
  <c r="L6" i="2"/>
  <c r="H5"/>
  <c r="E5"/>
  <c r="C5"/>
  <c r="M3"/>
  <c r="I3"/>
  <c r="F3"/>
  <c r="D3"/>
  <c r="J2"/>
  <c r="F2"/>
  <c r="D2"/>
  <c r="B3" i="9" s="1"/>
  <c r="N15" i="14"/>
  <c r="M15"/>
  <c r="L15"/>
  <c r="K15"/>
  <c r="J15"/>
  <c r="I15"/>
  <c r="K12"/>
  <c r="K11"/>
  <c r="K10"/>
  <c r="K9"/>
  <c r="K8"/>
  <c r="K7"/>
  <c r="L6"/>
  <c r="I6"/>
  <c r="G58" i="4" l="1"/>
  <c r="H64" l="1"/>
  <c r="H65"/>
  <c r="E35"/>
  <c r="E30"/>
  <c r="E29"/>
  <c r="E28"/>
  <c r="E16"/>
  <c r="E15"/>
  <c r="E7" l="1"/>
  <c r="L10" i="2" l="1"/>
  <c r="G6" i="9" l="1"/>
  <c r="E5" i="1"/>
  <c r="E37" i="4"/>
  <c r="E36"/>
  <c r="C3" i="1"/>
  <c r="C2"/>
  <c r="E21" i="4" l="1"/>
  <c r="E22" s="1"/>
  <c r="E23" s="1"/>
  <c r="K39" i="1" l="1"/>
  <c r="P39" s="1"/>
  <c r="K40"/>
  <c r="P40" s="1"/>
  <c r="K41"/>
  <c r="P41" s="1"/>
  <c r="K42"/>
  <c r="P42" s="1"/>
  <c r="K43"/>
  <c r="P43" s="1"/>
  <c r="K10"/>
  <c r="K3"/>
  <c r="E3"/>
  <c r="O26"/>
  <c r="T26" s="1"/>
  <c r="O27"/>
  <c r="T27" s="1"/>
  <c r="O28"/>
  <c r="T28" s="1"/>
  <c r="O29"/>
  <c r="T29" s="1"/>
  <c r="O30"/>
  <c r="T30" s="1"/>
  <c r="O31"/>
  <c r="T31" s="1"/>
  <c r="O32"/>
  <c r="T32" s="1"/>
  <c r="O33"/>
  <c r="T33" s="1"/>
  <c r="O34"/>
  <c r="T34" s="1"/>
  <c r="O35"/>
  <c r="T35" s="1"/>
  <c r="O36"/>
  <c r="T36" s="1"/>
  <c r="O37"/>
  <c r="T37" s="1"/>
  <c r="O38"/>
  <c r="T38" s="1"/>
  <c r="O39"/>
  <c r="T39" s="1"/>
  <c r="O40"/>
  <c r="T40" s="1"/>
  <c r="O41"/>
  <c r="T41" s="1"/>
  <c r="O42"/>
  <c r="T42" s="1"/>
  <c r="O43"/>
  <c r="T43" s="1"/>
  <c r="O44"/>
  <c r="T44" s="1"/>
  <c r="O45"/>
  <c r="T45" s="1"/>
  <c r="O46"/>
  <c r="T46" s="1"/>
  <c r="O47"/>
  <c r="T47" s="1"/>
  <c r="O48"/>
  <c r="T48" s="1"/>
  <c r="O49"/>
  <c r="T49" s="1"/>
  <c r="O50"/>
  <c r="T50" s="1"/>
  <c r="O51"/>
  <c r="T51" s="1"/>
  <c r="O52"/>
  <c r="T52" s="1"/>
  <c r="O53"/>
  <c r="T53" s="1"/>
  <c r="O54"/>
  <c r="T54" s="1"/>
  <c r="O55"/>
  <c r="T55" s="1"/>
  <c r="O56"/>
  <c r="T56" s="1"/>
  <c r="O57"/>
  <c r="T57" s="1"/>
  <c r="O58"/>
  <c r="T58" s="1"/>
  <c r="O59"/>
  <c r="T59" s="1"/>
  <c r="O60"/>
  <c r="T60" s="1"/>
  <c r="O61"/>
  <c r="T61" s="1"/>
  <c r="O62"/>
  <c r="T62" s="1"/>
  <c r="O63"/>
  <c r="T63" s="1"/>
  <c r="O64"/>
  <c r="T64" s="1"/>
  <c r="O65"/>
  <c r="T65" s="1"/>
  <c r="O66"/>
  <c r="T66" s="1"/>
  <c r="O67"/>
  <c r="T67" s="1"/>
  <c r="O68"/>
  <c r="T68" s="1"/>
  <c r="O69"/>
  <c r="T69" s="1"/>
  <c r="O70"/>
  <c r="T70" s="1"/>
  <c r="O71"/>
  <c r="T71" s="1"/>
  <c r="O72"/>
  <c r="T72" s="1"/>
  <c r="O73"/>
  <c r="T73" s="1"/>
  <c r="O74"/>
  <c r="T74" s="1"/>
  <c r="O75"/>
  <c r="T75" s="1"/>
  <c r="O76"/>
  <c r="T76" s="1"/>
  <c r="O77"/>
  <c r="T77" s="1"/>
  <c r="O78"/>
  <c r="T78" s="1"/>
  <c r="O79"/>
  <c r="T79" s="1"/>
  <c r="O80"/>
  <c r="T80" s="1"/>
  <c r="O81"/>
  <c r="T81" s="1"/>
  <c r="O82"/>
  <c r="T82" s="1"/>
  <c r="O83"/>
  <c r="T83" s="1"/>
  <c r="O84"/>
  <c r="T84" s="1"/>
  <c r="O85"/>
  <c r="T85" s="1"/>
  <c r="O86"/>
  <c r="T86" s="1"/>
  <c r="O87"/>
  <c r="T87" s="1"/>
  <c r="O88"/>
  <c r="T88" s="1"/>
  <c r="O89"/>
  <c r="T89" s="1"/>
  <c r="O90"/>
  <c r="T90" s="1"/>
  <c r="O91"/>
  <c r="T91" s="1"/>
  <c r="O92"/>
  <c r="T92" s="1"/>
  <c r="O93"/>
  <c r="T93" s="1"/>
  <c r="O94"/>
  <c r="T94" s="1"/>
  <c r="O95"/>
  <c r="T95" s="1"/>
  <c r="O96"/>
  <c r="T96" s="1"/>
  <c r="O97"/>
  <c r="T97" s="1"/>
  <c r="O98"/>
  <c r="T98" s="1"/>
  <c r="O99"/>
  <c r="T99" s="1"/>
  <c r="O100"/>
  <c r="T100" s="1"/>
  <c r="O101"/>
  <c r="T101" s="1"/>
  <c r="O102"/>
  <c r="T102" s="1"/>
  <c r="O103"/>
  <c r="T103" s="1"/>
  <c r="N26"/>
  <c r="S26" s="1"/>
  <c r="N27"/>
  <c r="S27" s="1"/>
  <c r="N28"/>
  <c r="S28" s="1"/>
  <c r="N29"/>
  <c r="S29" s="1"/>
  <c r="N30"/>
  <c r="S30" s="1"/>
  <c r="N31"/>
  <c r="S31" s="1"/>
  <c r="N32"/>
  <c r="S32" s="1"/>
  <c r="N33"/>
  <c r="S33" s="1"/>
  <c r="N34"/>
  <c r="S34" s="1"/>
  <c r="N35"/>
  <c r="S35" s="1"/>
  <c r="N36"/>
  <c r="S36" s="1"/>
  <c r="N37"/>
  <c r="S37" s="1"/>
  <c r="N38"/>
  <c r="S38" s="1"/>
  <c r="N39"/>
  <c r="S39" s="1"/>
  <c r="N40"/>
  <c r="S40" s="1"/>
  <c r="N41"/>
  <c r="S41" s="1"/>
  <c r="N42"/>
  <c r="S42" s="1"/>
  <c r="N43"/>
  <c r="S43" s="1"/>
  <c r="N44"/>
  <c r="S44" s="1"/>
  <c r="N45"/>
  <c r="S45" s="1"/>
  <c r="N46"/>
  <c r="S46" s="1"/>
  <c r="N47"/>
  <c r="S47" s="1"/>
  <c r="N48"/>
  <c r="S48" s="1"/>
  <c r="N49"/>
  <c r="S49" s="1"/>
  <c r="N50"/>
  <c r="S50" s="1"/>
  <c r="N51"/>
  <c r="S51" s="1"/>
  <c r="N52"/>
  <c r="S52" s="1"/>
  <c r="N53"/>
  <c r="S53" s="1"/>
  <c r="N54"/>
  <c r="S54" s="1"/>
  <c r="N55"/>
  <c r="S55" s="1"/>
  <c r="N56"/>
  <c r="S56" s="1"/>
  <c r="N57"/>
  <c r="S57" s="1"/>
  <c r="N58"/>
  <c r="S58" s="1"/>
  <c r="N59"/>
  <c r="S59" s="1"/>
  <c r="N60"/>
  <c r="S60" s="1"/>
  <c r="N61"/>
  <c r="S61" s="1"/>
  <c r="N62"/>
  <c r="S62" s="1"/>
  <c r="N63"/>
  <c r="S63" s="1"/>
  <c r="N64"/>
  <c r="S64" s="1"/>
  <c r="N65"/>
  <c r="S65" s="1"/>
  <c r="N66"/>
  <c r="S66" s="1"/>
  <c r="N67"/>
  <c r="S67" s="1"/>
  <c r="N68"/>
  <c r="S68" s="1"/>
  <c r="N69"/>
  <c r="S69" s="1"/>
  <c r="N70"/>
  <c r="S70" s="1"/>
  <c r="N71"/>
  <c r="S71" s="1"/>
  <c r="N72"/>
  <c r="S72" s="1"/>
  <c r="N73"/>
  <c r="S73" s="1"/>
  <c r="N74"/>
  <c r="S74" s="1"/>
  <c r="N75"/>
  <c r="S75" s="1"/>
  <c r="N76"/>
  <c r="S76" s="1"/>
  <c r="N77"/>
  <c r="S77" s="1"/>
  <c r="N78"/>
  <c r="S78" s="1"/>
  <c r="N79"/>
  <c r="S79" s="1"/>
  <c r="N80"/>
  <c r="S80" s="1"/>
  <c r="N81"/>
  <c r="S81" s="1"/>
  <c r="N82"/>
  <c r="S82" s="1"/>
  <c r="N83"/>
  <c r="S83" s="1"/>
  <c r="N84"/>
  <c r="S84" s="1"/>
  <c r="N85"/>
  <c r="S85" s="1"/>
  <c r="N86"/>
  <c r="S86" s="1"/>
  <c r="N87"/>
  <c r="S87" s="1"/>
  <c r="N88"/>
  <c r="S88" s="1"/>
  <c r="N89"/>
  <c r="S89" s="1"/>
  <c r="N90"/>
  <c r="S90" s="1"/>
  <c r="N91"/>
  <c r="S91" s="1"/>
  <c r="N92"/>
  <c r="S92" s="1"/>
  <c r="N93"/>
  <c r="S93" s="1"/>
  <c r="N94"/>
  <c r="S94" s="1"/>
  <c r="N95"/>
  <c r="S95" s="1"/>
  <c r="N96"/>
  <c r="S96" s="1"/>
  <c r="N97"/>
  <c r="S97" s="1"/>
  <c r="N98"/>
  <c r="S98" s="1"/>
  <c r="N99"/>
  <c r="S99" s="1"/>
  <c r="N100"/>
  <c r="S100" s="1"/>
  <c r="N101"/>
  <c r="S101" s="1"/>
  <c r="N102"/>
  <c r="S102" s="1"/>
  <c r="N103"/>
  <c r="S103" s="1"/>
  <c r="M26"/>
  <c r="R26" s="1"/>
  <c r="M27"/>
  <c r="R27" s="1"/>
  <c r="M28"/>
  <c r="R28" s="1"/>
  <c r="M29"/>
  <c r="R29" s="1"/>
  <c r="M30"/>
  <c r="R30" s="1"/>
  <c r="M31"/>
  <c r="R31" s="1"/>
  <c r="M32"/>
  <c r="R32" s="1"/>
  <c r="M33"/>
  <c r="R33" s="1"/>
  <c r="M34"/>
  <c r="R34" s="1"/>
  <c r="M35"/>
  <c r="R35" s="1"/>
  <c r="M36"/>
  <c r="R36" s="1"/>
  <c r="M37"/>
  <c r="R37" s="1"/>
  <c r="M38"/>
  <c r="R38" s="1"/>
  <c r="M39"/>
  <c r="R39" s="1"/>
  <c r="M40"/>
  <c r="R40" s="1"/>
  <c r="M41"/>
  <c r="R41" s="1"/>
  <c r="M42"/>
  <c r="R42" s="1"/>
  <c r="M43"/>
  <c r="R43" s="1"/>
  <c r="M44"/>
  <c r="R44" s="1"/>
  <c r="M45"/>
  <c r="R45" s="1"/>
  <c r="M46"/>
  <c r="R46" s="1"/>
  <c r="M47"/>
  <c r="R47" s="1"/>
  <c r="M48"/>
  <c r="R48" s="1"/>
  <c r="M49"/>
  <c r="R49" s="1"/>
  <c r="M50"/>
  <c r="R50" s="1"/>
  <c r="M51"/>
  <c r="R51" s="1"/>
  <c r="M52"/>
  <c r="R52" s="1"/>
  <c r="M53"/>
  <c r="R53" s="1"/>
  <c r="M54"/>
  <c r="R54" s="1"/>
  <c r="M55"/>
  <c r="R55" s="1"/>
  <c r="M56"/>
  <c r="R56" s="1"/>
  <c r="M57"/>
  <c r="R57" s="1"/>
  <c r="M58"/>
  <c r="R58" s="1"/>
  <c r="M59"/>
  <c r="R59" s="1"/>
  <c r="M60"/>
  <c r="R60" s="1"/>
  <c r="M61"/>
  <c r="R61" s="1"/>
  <c r="M62"/>
  <c r="R62" s="1"/>
  <c r="M63"/>
  <c r="R63" s="1"/>
  <c r="M64"/>
  <c r="R64" s="1"/>
  <c r="M65"/>
  <c r="R65" s="1"/>
  <c r="M66"/>
  <c r="R66" s="1"/>
  <c r="M67"/>
  <c r="R67" s="1"/>
  <c r="M68"/>
  <c r="R68" s="1"/>
  <c r="M69"/>
  <c r="R69" s="1"/>
  <c r="M70"/>
  <c r="R70" s="1"/>
  <c r="M71"/>
  <c r="R71" s="1"/>
  <c r="M72"/>
  <c r="R72" s="1"/>
  <c r="M73"/>
  <c r="R73" s="1"/>
  <c r="M74"/>
  <c r="R74" s="1"/>
  <c r="M75"/>
  <c r="R75" s="1"/>
  <c r="M76"/>
  <c r="R76" s="1"/>
  <c r="M77"/>
  <c r="R77" s="1"/>
  <c r="M78"/>
  <c r="R78" s="1"/>
  <c r="M79"/>
  <c r="R79" s="1"/>
  <c r="M80"/>
  <c r="R80" s="1"/>
  <c r="M81"/>
  <c r="R81" s="1"/>
  <c r="M82"/>
  <c r="R82" s="1"/>
  <c r="M83"/>
  <c r="R83" s="1"/>
  <c r="M84"/>
  <c r="R84" s="1"/>
  <c r="M85"/>
  <c r="R85" s="1"/>
  <c r="M86"/>
  <c r="R86" s="1"/>
  <c r="M87"/>
  <c r="R87" s="1"/>
  <c r="M88"/>
  <c r="R88" s="1"/>
  <c r="M89"/>
  <c r="R89" s="1"/>
  <c r="M90"/>
  <c r="R90" s="1"/>
  <c r="M91"/>
  <c r="R91" s="1"/>
  <c r="M92"/>
  <c r="R92" s="1"/>
  <c r="M93"/>
  <c r="R93" s="1"/>
  <c r="M94"/>
  <c r="R94" s="1"/>
  <c r="M95"/>
  <c r="R95" s="1"/>
  <c r="M96"/>
  <c r="R96" s="1"/>
  <c r="M97"/>
  <c r="R97" s="1"/>
  <c r="M98"/>
  <c r="R98" s="1"/>
  <c r="M99"/>
  <c r="R99" s="1"/>
  <c r="M100"/>
  <c r="R100" s="1"/>
  <c r="M101"/>
  <c r="R101" s="1"/>
  <c r="M102"/>
  <c r="R102" s="1"/>
  <c r="M103"/>
  <c r="R103" s="1"/>
  <c r="L26"/>
  <c r="Q26" s="1"/>
  <c r="L27"/>
  <c r="Q27" s="1"/>
  <c r="L28"/>
  <c r="Q28" s="1"/>
  <c r="L29"/>
  <c r="Q29" s="1"/>
  <c r="L30"/>
  <c r="Q30" s="1"/>
  <c r="L31"/>
  <c r="Q31" s="1"/>
  <c r="L32"/>
  <c r="Q32" s="1"/>
  <c r="L33"/>
  <c r="Q33" s="1"/>
  <c r="L34"/>
  <c r="Q34" s="1"/>
  <c r="L35"/>
  <c r="Q35" s="1"/>
  <c r="L36"/>
  <c r="Q36" s="1"/>
  <c r="L37"/>
  <c r="Q37" s="1"/>
  <c r="L38"/>
  <c r="Q38" s="1"/>
  <c r="L39"/>
  <c r="Q39" s="1"/>
  <c r="L40"/>
  <c r="Q40" s="1"/>
  <c r="L41"/>
  <c r="Q41" s="1"/>
  <c r="L42"/>
  <c r="Q42" s="1"/>
  <c r="L43"/>
  <c r="Q43" s="1"/>
  <c r="L44"/>
  <c r="Q44" s="1"/>
  <c r="L45"/>
  <c r="Q45" s="1"/>
  <c r="L46"/>
  <c r="Q46" s="1"/>
  <c r="L47"/>
  <c r="Q47" s="1"/>
  <c r="L48"/>
  <c r="Q48" s="1"/>
  <c r="L49"/>
  <c r="Q49" s="1"/>
  <c r="L50"/>
  <c r="Q50" s="1"/>
  <c r="L51"/>
  <c r="Q51" s="1"/>
  <c r="L52"/>
  <c r="Q52" s="1"/>
  <c r="L53"/>
  <c r="Q53" s="1"/>
  <c r="L54"/>
  <c r="Q54" s="1"/>
  <c r="L55"/>
  <c r="Q55" s="1"/>
  <c r="L56"/>
  <c r="Q56" s="1"/>
  <c r="L57"/>
  <c r="Q57" s="1"/>
  <c r="L58"/>
  <c r="Q58" s="1"/>
  <c r="L59"/>
  <c r="Q59" s="1"/>
  <c r="L60"/>
  <c r="Q60" s="1"/>
  <c r="L61"/>
  <c r="Q61" s="1"/>
  <c r="L62"/>
  <c r="Q62" s="1"/>
  <c r="L63"/>
  <c r="Q63" s="1"/>
  <c r="L64"/>
  <c r="Q64" s="1"/>
  <c r="L65"/>
  <c r="Q65" s="1"/>
  <c r="L66"/>
  <c r="Q66" s="1"/>
  <c r="L67"/>
  <c r="Q67" s="1"/>
  <c r="L68"/>
  <c r="Q68" s="1"/>
  <c r="L69"/>
  <c r="Q69" s="1"/>
  <c r="L70"/>
  <c r="Q70" s="1"/>
  <c r="L71"/>
  <c r="Q71" s="1"/>
  <c r="L72"/>
  <c r="Q72" s="1"/>
  <c r="L73"/>
  <c r="Q73" s="1"/>
  <c r="L74"/>
  <c r="Q74" s="1"/>
  <c r="L75"/>
  <c r="Q75" s="1"/>
  <c r="L76"/>
  <c r="Q76" s="1"/>
  <c r="L77"/>
  <c r="Q77" s="1"/>
  <c r="L78"/>
  <c r="Q78" s="1"/>
  <c r="L79"/>
  <c r="Q79" s="1"/>
  <c r="L80"/>
  <c r="Q80" s="1"/>
  <c r="L81"/>
  <c r="Q81" s="1"/>
  <c r="L82"/>
  <c r="Q82" s="1"/>
  <c r="L83"/>
  <c r="Q83" s="1"/>
  <c r="L84"/>
  <c r="Q84" s="1"/>
  <c r="L85"/>
  <c r="Q85" s="1"/>
  <c r="L86"/>
  <c r="Q86" s="1"/>
  <c r="L87"/>
  <c r="Q87" s="1"/>
  <c r="L88"/>
  <c r="Q88" s="1"/>
  <c r="L89"/>
  <c r="Q89" s="1"/>
  <c r="L90"/>
  <c r="Q90" s="1"/>
  <c r="L91"/>
  <c r="Q91" s="1"/>
  <c r="L92"/>
  <c r="Q92" s="1"/>
  <c r="L93"/>
  <c r="Q93" s="1"/>
  <c r="L94"/>
  <c r="Q94" s="1"/>
  <c r="L95"/>
  <c r="Q95" s="1"/>
  <c r="L96"/>
  <c r="Q96" s="1"/>
  <c r="L97"/>
  <c r="Q97" s="1"/>
  <c r="L98"/>
  <c r="Q98" s="1"/>
  <c r="L99"/>
  <c r="Q99" s="1"/>
  <c r="L100"/>
  <c r="Q100" s="1"/>
  <c r="L101"/>
  <c r="Q101" s="1"/>
  <c r="L102"/>
  <c r="Q102" s="1"/>
  <c r="L103"/>
  <c r="Q103" s="1"/>
  <c r="K26"/>
  <c r="P26" s="1"/>
  <c r="K27"/>
  <c r="P27" s="1"/>
  <c r="K28"/>
  <c r="P28" s="1"/>
  <c r="K29"/>
  <c r="P29" s="1"/>
  <c r="K30"/>
  <c r="P30" s="1"/>
  <c r="K31"/>
  <c r="P31" s="1"/>
  <c r="K32"/>
  <c r="P32" s="1"/>
  <c r="K33"/>
  <c r="P33" s="1"/>
  <c r="K34"/>
  <c r="P34" s="1"/>
  <c r="K35"/>
  <c r="P35" s="1"/>
  <c r="K36"/>
  <c r="P36" s="1"/>
  <c r="K37"/>
  <c r="P37" s="1"/>
  <c r="K38"/>
  <c r="P38" s="1"/>
  <c r="K44"/>
  <c r="P44" s="1"/>
  <c r="K45"/>
  <c r="P45" s="1"/>
  <c r="K46"/>
  <c r="P46" s="1"/>
  <c r="K47"/>
  <c r="P47" s="1"/>
  <c r="K48"/>
  <c r="P48" s="1"/>
  <c r="K49"/>
  <c r="P49" s="1"/>
  <c r="K50"/>
  <c r="P50" s="1"/>
  <c r="K51"/>
  <c r="P51" s="1"/>
  <c r="K52"/>
  <c r="P52" s="1"/>
  <c r="K53"/>
  <c r="P53" s="1"/>
  <c r="K54"/>
  <c r="P54" s="1"/>
  <c r="K55"/>
  <c r="P55" s="1"/>
  <c r="K56"/>
  <c r="P56" s="1"/>
  <c r="K57"/>
  <c r="P57" s="1"/>
  <c r="K58"/>
  <c r="P58" s="1"/>
  <c r="K59"/>
  <c r="P59" s="1"/>
  <c r="K60"/>
  <c r="P60" s="1"/>
  <c r="K61"/>
  <c r="P61" s="1"/>
  <c r="K62"/>
  <c r="P62" s="1"/>
  <c r="K63"/>
  <c r="P63" s="1"/>
  <c r="K64"/>
  <c r="P64" s="1"/>
  <c r="K65"/>
  <c r="P65" s="1"/>
  <c r="K66"/>
  <c r="P66" s="1"/>
  <c r="K67"/>
  <c r="P67" s="1"/>
  <c r="K68"/>
  <c r="P68" s="1"/>
  <c r="K69"/>
  <c r="P69" s="1"/>
  <c r="K70"/>
  <c r="P70" s="1"/>
  <c r="K71"/>
  <c r="P71" s="1"/>
  <c r="K72"/>
  <c r="P72" s="1"/>
  <c r="K73"/>
  <c r="P73" s="1"/>
  <c r="K74"/>
  <c r="P74" s="1"/>
  <c r="K75"/>
  <c r="P75" s="1"/>
  <c r="K76"/>
  <c r="P76" s="1"/>
  <c r="K77"/>
  <c r="P77" s="1"/>
  <c r="K78"/>
  <c r="P78" s="1"/>
  <c r="K79"/>
  <c r="P79" s="1"/>
  <c r="K80"/>
  <c r="P80" s="1"/>
  <c r="K81"/>
  <c r="P81" s="1"/>
  <c r="K82"/>
  <c r="P82" s="1"/>
  <c r="K83"/>
  <c r="P83" s="1"/>
  <c r="K84"/>
  <c r="P84" s="1"/>
  <c r="K85"/>
  <c r="P85" s="1"/>
  <c r="K86"/>
  <c r="P86" s="1"/>
  <c r="K87"/>
  <c r="P87" s="1"/>
  <c r="K88"/>
  <c r="P88" s="1"/>
  <c r="K89"/>
  <c r="P89" s="1"/>
  <c r="K90"/>
  <c r="P90" s="1"/>
  <c r="K91"/>
  <c r="P91" s="1"/>
  <c r="K92"/>
  <c r="P92" s="1"/>
  <c r="K93"/>
  <c r="P93" s="1"/>
  <c r="K94"/>
  <c r="P94" s="1"/>
  <c r="K95"/>
  <c r="P95" s="1"/>
  <c r="K96"/>
  <c r="P96" s="1"/>
  <c r="K97"/>
  <c r="P97" s="1"/>
  <c r="K98"/>
  <c r="P98" s="1"/>
  <c r="K99"/>
  <c r="P99" s="1"/>
  <c r="K100"/>
  <c r="P100" s="1"/>
  <c r="K101"/>
  <c r="P101" s="1"/>
  <c r="K102"/>
  <c r="P102" s="1"/>
  <c r="K103"/>
  <c r="P103" s="1"/>
  <c r="K25" l="1"/>
  <c r="P25" s="1"/>
  <c r="L25"/>
  <c r="Q25" s="1"/>
  <c r="M25"/>
  <c r="R25" s="1"/>
  <c r="N25"/>
  <c r="S25" s="1"/>
  <c r="O25"/>
  <c r="T25" s="1"/>
  <c r="E9" i="4" l="1"/>
  <c r="E8"/>
  <c r="K15" i="1" l="1"/>
  <c r="P15" s="1"/>
  <c r="L15"/>
  <c r="Q15" s="1"/>
  <c r="M15"/>
  <c r="R15" s="1"/>
  <c r="N15"/>
  <c r="S15" s="1"/>
  <c r="O15"/>
  <c r="T15" s="1"/>
  <c r="K16"/>
  <c r="P16" s="1"/>
  <c r="L16"/>
  <c r="Q16" s="1"/>
  <c r="M16"/>
  <c r="R16" s="1"/>
  <c r="N16"/>
  <c r="S16" s="1"/>
  <c r="O16"/>
  <c r="T16" s="1"/>
  <c r="K17"/>
  <c r="P17" s="1"/>
  <c r="L17"/>
  <c r="Q17" s="1"/>
  <c r="M17"/>
  <c r="R17" s="1"/>
  <c r="N17"/>
  <c r="S17" s="1"/>
  <c r="O17"/>
  <c r="T17" s="1"/>
  <c r="K18"/>
  <c r="P18" s="1"/>
  <c r="L18"/>
  <c r="Q18" s="1"/>
  <c r="M18"/>
  <c r="R18" s="1"/>
  <c r="N18"/>
  <c r="S18" s="1"/>
  <c r="O18"/>
  <c r="T18" s="1"/>
  <c r="K19"/>
  <c r="P19" s="1"/>
  <c r="L19"/>
  <c r="Q19" s="1"/>
  <c r="M19"/>
  <c r="R19" s="1"/>
  <c r="N19"/>
  <c r="S19" s="1"/>
  <c r="O19"/>
  <c r="T19" s="1"/>
  <c r="K20"/>
  <c r="P20" s="1"/>
  <c r="L20"/>
  <c r="Q20" s="1"/>
  <c r="M20"/>
  <c r="R20" s="1"/>
  <c r="N20"/>
  <c r="S20" s="1"/>
  <c r="O20"/>
  <c r="T20" s="1"/>
  <c r="K21"/>
  <c r="P21" s="1"/>
  <c r="L21"/>
  <c r="Q21" s="1"/>
  <c r="M21"/>
  <c r="R21" s="1"/>
  <c r="N21"/>
  <c r="S21" s="1"/>
  <c r="O21"/>
  <c r="T21" s="1"/>
  <c r="K22"/>
  <c r="P22" s="1"/>
  <c r="L22"/>
  <c r="Q22" s="1"/>
  <c r="M22"/>
  <c r="R22" s="1"/>
  <c r="N22"/>
  <c r="S22" s="1"/>
  <c r="O22"/>
  <c r="T22" s="1"/>
  <c r="K23"/>
  <c r="P23" s="1"/>
  <c r="L23"/>
  <c r="Q23" s="1"/>
  <c r="M23"/>
  <c r="R23" s="1"/>
  <c r="N23"/>
  <c r="S23" s="1"/>
  <c r="O23"/>
  <c r="T23" s="1"/>
  <c r="K24"/>
  <c r="P24" s="1"/>
  <c r="L24"/>
  <c r="Q24" s="1"/>
  <c r="M24"/>
  <c r="R24" s="1"/>
  <c r="N24"/>
  <c r="S24" s="1"/>
  <c r="O24"/>
  <c r="T24" s="1"/>
  <c r="K14" l="1"/>
  <c r="P14" s="1"/>
  <c r="L14"/>
  <c r="Q14" s="1"/>
  <c r="M14"/>
  <c r="R14" s="1"/>
  <c r="N14"/>
  <c r="S14" s="1"/>
  <c r="O14"/>
  <c r="T14" s="1"/>
  <c r="H14" i="4" l="1"/>
  <c r="H7"/>
  <c r="L19" i="2"/>
  <c r="L7"/>
  <c r="L22"/>
  <c r="L21"/>
  <c r="L20"/>
  <c r="L18"/>
  <c r="L17"/>
  <c r="L16"/>
  <c r="L15"/>
  <c r="L13"/>
  <c r="L12"/>
  <c r="L11"/>
  <c r="K11" i="1"/>
  <c r="P11" s="1"/>
  <c r="K12"/>
  <c r="P12" s="1"/>
  <c r="K13"/>
  <c r="P13" s="1"/>
  <c r="L11"/>
  <c r="Q11" s="1"/>
  <c r="L12"/>
  <c r="Q12" s="1"/>
  <c r="L13"/>
  <c r="Q13" s="1"/>
  <c r="M11"/>
  <c r="R11" s="1"/>
  <c r="M12"/>
  <c r="R12" s="1"/>
  <c r="M13"/>
  <c r="R13" s="1"/>
  <c r="N11"/>
  <c r="S11" s="1"/>
  <c r="N12"/>
  <c r="S12" s="1"/>
  <c r="N13"/>
  <c r="S13" s="1"/>
  <c r="O11"/>
  <c r="T11" s="1"/>
  <c r="O12"/>
  <c r="T12" s="1"/>
  <c r="O13"/>
  <c r="T13" s="1"/>
  <c r="H34" i="4"/>
  <c r="H41"/>
  <c r="H6"/>
  <c r="H8"/>
  <c r="H9"/>
  <c r="H13"/>
  <c r="H15"/>
  <c r="H16"/>
  <c r="H27"/>
  <c r="H54"/>
  <c r="H56"/>
  <c r="H58"/>
  <c r="H52"/>
  <c r="D86" s="1"/>
  <c r="D7" i="9" s="1"/>
  <c r="H63" i="4"/>
  <c r="C50"/>
  <c r="C3"/>
  <c r="C49" s="1"/>
  <c r="H20"/>
  <c r="H21"/>
  <c r="H22"/>
  <c r="H23"/>
  <c r="H28"/>
  <c r="H29"/>
  <c r="H30"/>
  <c r="H35"/>
  <c r="H36"/>
  <c r="H37"/>
  <c r="H42"/>
  <c r="H43"/>
  <c r="H44"/>
  <c r="H60"/>
  <c r="D88" s="1"/>
  <c r="D9" i="9" s="1"/>
  <c r="H66" i="4"/>
  <c r="H67"/>
  <c r="H68"/>
  <c r="H69"/>
  <c r="H70"/>
  <c r="H71"/>
  <c r="H72"/>
  <c r="H73"/>
  <c r="H74"/>
  <c r="H75"/>
  <c r="H76"/>
  <c r="H77"/>
  <c r="H78"/>
  <c r="H79"/>
  <c r="H80"/>
  <c r="H81"/>
  <c r="H82"/>
  <c r="D3"/>
  <c r="D49" s="1"/>
  <c r="D14" i="9"/>
  <c r="D13"/>
  <c r="D15"/>
  <c r="B14"/>
  <c r="B13"/>
  <c r="L8" i="2"/>
  <c r="L9"/>
  <c r="G54" i="4"/>
  <c r="G56"/>
  <c r="G3" i="9"/>
  <c r="F3"/>
  <c r="H3" i="4"/>
  <c r="H49" s="1"/>
  <c r="N23" i="2"/>
  <c r="G18" i="4" s="1"/>
  <c r="O23" i="2"/>
  <c r="G25" i="4" s="1"/>
  <c r="M23" i="2"/>
  <c r="G11" i="4" s="1"/>
  <c r="B19"/>
  <c r="C25" s="1"/>
  <c r="G20"/>
  <c r="G21"/>
  <c r="G22"/>
  <c r="G23"/>
  <c r="G6"/>
  <c r="G7"/>
  <c r="G8"/>
  <c r="G9"/>
  <c r="G13"/>
  <c r="G15"/>
  <c r="G14"/>
  <c r="G16"/>
  <c r="G27"/>
  <c r="G28"/>
  <c r="G29"/>
  <c r="G30"/>
  <c r="G34"/>
  <c r="G35"/>
  <c r="G36"/>
  <c r="G37"/>
  <c r="G41"/>
  <c r="G42"/>
  <c r="G43"/>
  <c r="G44"/>
  <c r="C8" i="9"/>
  <c r="E3" i="4"/>
  <c r="E49" s="1"/>
  <c r="B3"/>
  <c r="B49" s="1"/>
  <c r="B40"/>
  <c r="E45" s="1"/>
  <c r="B33"/>
  <c r="C39" s="1"/>
  <c r="B26"/>
  <c r="E31" s="1"/>
  <c r="B12"/>
  <c r="E17" s="1"/>
  <c r="B5"/>
  <c r="E10" s="1"/>
  <c r="R23" i="2"/>
  <c r="G46" i="4" s="1"/>
  <c r="Q23" i="2"/>
  <c r="G39" i="4" s="1"/>
  <c r="P23" i="2"/>
  <c r="G32" i="4" s="1"/>
  <c r="C5" i="1"/>
  <c r="C4"/>
  <c r="O10"/>
  <c r="K7" s="1"/>
  <c r="G10" i="9" s="1"/>
  <c r="N10" i="1"/>
  <c r="M10"/>
  <c r="L10"/>
  <c r="K4" s="1"/>
  <c r="G7" i="9" s="1"/>
  <c r="C1" i="1"/>
  <c r="B1"/>
  <c r="E7"/>
  <c r="E6"/>
  <c r="E4"/>
  <c r="B16" i="9"/>
  <c r="B15"/>
  <c r="E3"/>
  <c r="D3"/>
  <c r="C3"/>
  <c r="K5" i="1" l="1"/>
  <c r="G8" i="9" s="1"/>
  <c r="R10" i="1"/>
  <c r="K6"/>
  <c r="G9" i="9" s="1"/>
  <c r="S10" i="1"/>
  <c r="X13"/>
  <c r="Z19" i="16" s="1"/>
  <c r="M19" s="1"/>
  <c r="M19" i="14" s="1"/>
  <c r="L7" i="1"/>
  <c r="L5"/>
  <c r="L6"/>
  <c r="L3"/>
  <c r="L4"/>
  <c r="D89" i="4"/>
  <c r="D10" i="9" s="1"/>
  <c r="H38" i="4"/>
  <c r="G38"/>
  <c r="G45"/>
  <c r="H31"/>
  <c r="G31"/>
  <c r="H45"/>
  <c r="H24"/>
  <c r="F5" i="1"/>
  <c r="G10" i="4"/>
  <c r="F3" i="1"/>
  <c r="H10" i="4"/>
  <c r="G24"/>
  <c r="F7" i="1"/>
  <c r="F6"/>
  <c r="F4"/>
  <c r="D87" i="4"/>
  <c r="D8" i="9" s="1"/>
  <c r="G17" i="4"/>
  <c r="H17"/>
  <c r="C11"/>
  <c r="L23" i="2"/>
  <c r="C46" i="4"/>
  <c r="E38"/>
  <c r="C18"/>
  <c r="E24"/>
  <c r="C32"/>
  <c r="X25" i="1" l="1"/>
  <c r="X57"/>
  <c r="Z63" i="16" s="1"/>
  <c r="M63" s="1"/>
  <c r="M63" i="14" s="1"/>
  <c r="X89" i="1"/>
  <c r="Z95" i="16" s="1"/>
  <c r="M95" s="1"/>
  <c r="M95" i="14" s="1"/>
  <c r="X92" i="1"/>
  <c r="Z98" i="16" s="1"/>
  <c r="M98" s="1"/>
  <c r="M98" i="14" s="1"/>
  <c r="X24" i="1"/>
  <c r="Z52" i="16" s="1"/>
  <c r="X56" i="1"/>
  <c r="Z62" i="16" s="1"/>
  <c r="M62" s="1"/>
  <c r="M62" i="14" s="1"/>
  <c r="X88" i="1"/>
  <c r="Z94" i="16" s="1"/>
  <c r="M94" s="1"/>
  <c r="M94" i="14" s="1"/>
  <c r="X17" i="1"/>
  <c r="Z23" i="16" s="1"/>
  <c r="M23" s="1"/>
  <c r="M23" i="14" s="1"/>
  <c r="X49" i="1"/>
  <c r="Z55" i="16" s="1"/>
  <c r="M55" s="1"/>
  <c r="M55" i="14" s="1"/>
  <c r="X81" i="1"/>
  <c r="Z87" i="16" s="1"/>
  <c r="M87" s="1"/>
  <c r="M87" i="14" s="1"/>
  <c r="X29" i="1"/>
  <c r="Z32" i="16" s="1"/>
  <c r="X45" i="1"/>
  <c r="Z43" i="16" s="1"/>
  <c r="X61" i="1"/>
  <c r="Z67" i="16" s="1"/>
  <c r="M67" s="1"/>
  <c r="M67" i="14" s="1"/>
  <c r="X77" i="1"/>
  <c r="Z83" i="16" s="1"/>
  <c r="M83" s="1"/>
  <c r="M83" i="14" s="1"/>
  <c r="X93" i="1"/>
  <c r="Z99" i="16" s="1"/>
  <c r="M99" s="1"/>
  <c r="M99" i="14" s="1"/>
  <c r="X16" i="1"/>
  <c r="Z22" i="16" s="1"/>
  <c r="M22" s="1"/>
  <c r="M22" i="14" s="1"/>
  <c r="X48" i="1"/>
  <c r="Z50" i="16" s="1"/>
  <c r="X80" i="1"/>
  <c r="Z86" i="16" s="1"/>
  <c r="M86" s="1"/>
  <c r="M86" i="14" s="1"/>
  <c r="X34" i="1"/>
  <c r="Z45" i="16" s="1"/>
  <c r="X66" i="1"/>
  <c r="Z72" i="16" s="1"/>
  <c r="M72" s="1"/>
  <c r="M72" i="14" s="1"/>
  <c r="X35" i="1"/>
  <c r="Z53" i="16" s="1"/>
  <c r="X99" i="1"/>
  <c r="Z105" i="16" s="1"/>
  <c r="M105" s="1"/>
  <c r="M105" i="14" s="1"/>
  <c r="X22" i="1"/>
  <c r="Z28" i="16" s="1"/>
  <c r="M28" s="1"/>
  <c r="M28" i="14" s="1"/>
  <c r="X54" i="1"/>
  <c r="Z60" i="16" s="1"/>
  <c r="M60" s="1"/>
  <c r="M60" i="14" s="1"/>
  <c r="X86" i="1"/>
  <c r="Z92" i="16" s="1"/>
  <c r="M92" s="1"/>
  <c r="M92" i="14" s="1"/>
  <c r="X28" i="1"/>
  <c r="Z31" i="16" s="1"/>
  <c r="X60" i="1"/>
  <c r="Z66" i="16" s="1"/>
  <c r="M66" s="1"/>
  <c r="M66" i="14" s="1"/>
  <c r="X58" i="1"/>
  <c r="Z64" i="16" s="1"/>
  <c r="M64" s="1"/>
  <c r="M64" i="14" s="1"/>
  <c r="X51" i="1"/>
  <c r="Z57" i="16" s="1"/>
  <c r="M57" s="1"/>
  <c r="M57" i="14" s="1"/>
  <c r="X23" i="1"/>
  <c r="Z51" i="16" s="1"/>
  <c r="X55" i="1"/>
  <c r="Z61" i="16" s="1"/>
  <c r="M61" s="1"/>
  <c r="M61" i="14" s="1"/>
  <c r="X87" i="1"/>
  <c r="Z93" i="16" s="1"/>
  <c r="M93" s="1"/>
  <c r="M93" i="14" s="1"/>
  <c r="X73" i="1"/>
  <c r="Z79" i="16" s="1"/>
  <c r="M79" s="1"/>
  <c r="M79" i="14" s="1"/>
  <c r="X68" i="1"/>
  <c r="Z74" i="16" s="1"/>
  <c r="M74" s="1"/>
  <c r="M74" i="14" s="1"/>
  <c r="X40" i="1"/>
  <c r="Z38" i="16" s="1"/>
  <c r="X96" i="1"/>
  <c r="Z102" i="16" s="1"/>
  <c r="M102" s="1"/>
  <c r="M102" i="14" s="1"/>
  <c r="X33" i="1"/>
  <c r="Z36" i="16" s="1"/>
  <c r="X97" i="1"/>
  <c r="Z103" i="16" s="1"/>
  <c r="M103" s="1"/>
  <c r="M103" i="14" s="1"/>
  <c r="X37" i="1"/>
  <c r="Z46" i="16" s="1"/>
  <c r="X69" i="1"/>
  <c r="Z75" i="16" s="1"/>
  <c r="M75" s="1"/>
  <c r="M75" i="14" s="1"/>
  <c r="X101" i="1"/>
  <c r="Z107" i="16" s="1"/>
  <c r="M107" s="1"/>
  <c r="M107" i="14" s="1"/>
  <c r="X32" i="1"/>
  <c r="Z35" i="16" s="1"/>
  <c r="X64" i="1"/>
  <c r="Z70" i="16" s="1"/>
  <c r="M70" s="1"/>
  <c r="M70" i="14" s="1"/>
  <c r="X18" i="1"/>
  <c r="Z24" i="16" s="1"/>
  <c r="M24" s="1"/>
  <c r="M24" i="14" s="1"/>
  <c r="X50" i="1"/>
  <c r="Z56" i="16" s="1"/>
  <c r="M56" s="1"/>
  <c r="M56" i="14" s="1"/>
  <c r="X82" i="1"/>
  <c r="Z88" i="16" s="1"/>
  <c r="M88" s="1"/>
  <c r="M88" i="14" s="1"/>
  <c r="X27" i="1"/>
  <c r="Z30" i="16" s="1"/>
  <c r="M32" s="1"/>
  <c r="M32" i="14" s="1"/>
  <c r="X59" i="1"/>
  <c r="Z65" i="16" s="1"/>
  <c r="M65" s="1"/>
  <c r="M65" i="14" s="1"/>
  <c r="X83" i="1"/>
  <c r="Z89" i="16" s="1"/>
  <c r="M89" s="1"/>
  <c r="M89" i="14" s="1"/>
  <c r="X14" i="1"/>
  <c r="Z20" i="16" s="1"/>
  <c r="M20" s="1"/>
  <c r="M20" i="14" s="1"/>
  <c r="X30" i="1"/>
  <c r="Z33" i="16" s="1"/>
  <c r="X46" i="1"/>
  <c r="Z48" i="16" s="1"/>
  <c r="X62" i="1"/>
  <c r="Z68" i="16" s="1"/>
  <c r="M68" s="1"/>
  <c r="M68" i="14" s="1"/>
  <c r="X78" i="1"/>
  <c r="Z84" i="16" s="1"/>
  <c r="M84" s="1"/>
  <c r="M84" i="14" s="1"/>
  <c r="X94" i="1"/>
  <c r="Z100" i="16" s="1"/>
  <c r="M100" s="1"/>
  <c r="M100" i="14" s="1"/>
  <c r="X20" i="1"/>
  <c r="Z26" i="16" s="1"/>
  <c r="M26" s="1"/>
  <c r="M26" i="14" s="1"/>
  <c r="X52" i="1"/>
  <c r="Z58" i="16" s="1"/>
  <c r="M58" s="1"/>
  <c r="M58" i="14" s="1"/>
  <c r="X84" i="1"/>
  <c r="Z90" i="16" s="1"/>
  <c r="M90" s="1"/>
  <c r="M90" i="14" s="1"/>
  <c r="X42" i="1"/>
  <c r="Z40" i="16" s="1"/>
  <c r="X74" i="1"/>
  <c r="Z80" i="16" s="1"/>
  <c r="M80" s="1"/>
  <c r="M80" i="14" s="1"/>
  <c r="X98" i="1"/>
  <c r="Z104" i="16" s="1"/>
  <c r="M104" s="1"/>
  <c r="M104" i="14" s="1"/>
  <c r="X43" i="1"/>
  <c r="Z41" i="16" s="1"/>
  <c r="M43" s="1"/>
  <c r="M43" i="14" s="1"/>
  <c r="X75" i="1"/>
  <c r="Z81" i="16" s="1"/>
  <c r="M81" s="1"/>
  <c r="M81" i="14" s="1"/>
  <c r="X15" i="1"/>
  <c r="Z21" i="16" s="1"/>
  <c r="M21" s="1"/>
  <c r="M21" i="14" s="1"/>
  <c r="X31" i="1"/>
  <c r="Z34" i="16" s="1"/>
  <c r="M36" s="1"/>
  <c r="M36" i="14" s="1"/>
  <c r="X47" i="1"/>
  <c r="Z49" i="16" s="1"/>
  <c r="M53" s="1"/>
  <c r="M53" i="14" s="1"/>
  <c r="X63" i="1"/>
  <c r="Z69" i="16" s="1"/>
  <c r="M69" s="1"/>
  <c r="M69" i="14" s="1"/>
  <c r="X79" i="1"/>
  <c r="Z85" i="16" s="1"/>
  <c r="M85" s="1"/>
  <c r="M85" i="14" s="1"/>
  <c r="X95" i="1"/>
  <c r="Z101" i="16" s="1"/>
  <c r="M101" s="1"/>
  <c r="M101" i="14" s="1"/>
  <c r="X67" i="1"/>
  <c r="Z73" i="16" s="1"/>
  <c r="M73" s="1"/>
  <c r="M73" i="14" s="1"/>
  <c r="X38" i="1"/>
  <c r="Z47" i="16" s="1"/>
  <c r="X70" i="1"/>
  <c r="Z76" i="16" s="1"/>
  <c r="M76" s="1"/>
  <c r="M76" i="14" s="1"/>
  <c r="X102" i="1"/>
  <c r="Z108" i="16" s="1"/>
  <c r="M108" s="1"/>
  <c r="M108" i="14" s="1"/>
  <c r="X44" i="1"/>
  <c r="Z42" i="16" s="1"/>
  <c r="X76" i="1"/>
  <c r="Z82" i="16" s="1"/>
  <c r="M82" s="1"/>
  <c r="M82" i="14" s="1"/>
  <c r="X26" i="1"/>
  <c r="Z29" i="16" s="1"/>
  <c r="X90" i="1"/>
  <c r="Z96" i="16" s="1"/>
  <c r="M96" s="1"/>
  <c r="M96" i="14" s="1"/>
  <c r="X19" i="1"/>
  <c r="Z25" i="16" s="1"/>
  <c r="M25" s="1"/>
  <c r="M25" i="14" s="1"/>
  <c r="X91" i="1"/>
  <c r="Z97" i="16" s="1"/>
  <c r="M97" s="1"/>
  <c r="M97" i="14" s="1"/>
  <c r="X39" i="1"/>
  <c r="Z37" i="16" s="1"/>
  <c r="X71" i="1"/>
  <c r="Z77" i="16" s="1"/>
  <c r="M77" s="1"/>
  <c r="M77" i="14" s="1"/>
  <c r="X103" i="1"/>
  <c r="Z109" i="16" s="1"/>
  <c r="M109" s="1"/>
  <c r="M109" i="14" s="1"/>
  <c r="X41" i="1"/>
  <c r="Z39" i="16" s="1"/>
  <c r="X36" i="1"/>
  <c r="Z54" i="16" s="1"/>
  <c r="X100" i="1"/>
  <c r="Z106" i="16" s="1"/>
  <c r="M106" s="1"/>
  <c r="M106" i="14" s="1"/>
  <c r="X72" i="1"/>
  <c r="Z78" i="16" s="1"/>
  <c r="M78" s="1"/>
  <c r="M78" i="14" s="1"/>
  <c r="X65" i="1"/>
  <c r="Z71" i="16" s="1"/>
  <c r="M71" s="1"/>
  <c r="M71" i="14" s="1"/>
  <c r="X21" i="1"/>
  <c r="Z27" i="16" s="1"/>
  <c r="M27" s="1"/>
  <c r="M27" i="14" s="1"/>
  <c r="X53" i="1"/>
  <c r="Z59" i="16" s="1"/>
  <c r="M59" s="1"/>
  <c r="M59" i="14" s="1"/>
  <c r="X85" i="1"/>
  <c r="Z91" i="16" s="1"/>
  <c r="M91" s="1"/>
  <c r="M91" i="14" s="1"/>
  <c r="X12" i="1"/>
  <c r="Z18" i="16" s="1"/>
  <c r="M18" s="1"/>
  <c r="M18" i="14" s="1"/>
  <c r="X11" i="1"/>
  <c r="Z17" i="16" s="1"/>
  <c r="M17" s="1"/>
  <c r="M17" i="14" s="1"/>
  <c r="H8" i="9"/>
  <c r="H7"/>
  <c r="H9"/>
  <c r="H10"/>
  <c r="L7" i="4"/>
  <c r="L8" s="1"/>
  <c r="H6" i="9"/>
  <c r="G2" i="1"/>
  <c r="E32" i="9" s="1"/>
  <c r="C85" i="4"/>
  <c r="C6" i="9" s="1"/>
  <c r="C11" s="1"/>
  <c r="E28" s="1"/>
  <c r="D85" i="4"/>
  <c r="D6" i="9" s="1"/>
  <c r="M41" i="16" l="1"/>
  <c r="M41" i="14" s="1"/>
  <c r="M51" i="16"/>
  <c r="M51" i="14" s="1"/>
  <c r="M50" i="16"/>
  <c r="M50" i="14" s="1"/>
  <c r="M49" i="16"/>
  <c r="M49" i="14" s="1"/>
  <c r="M39" i="16"/>
  <c r="M39" i="14" s="1"/>
  <c r="M52" i="16"/>
  <c r="M52" i="14" s="1"/>
  <c r="M38" i="16"/>
  <c r="M38" i="14" s="1"/>
  <c r="M48" i="16"/>
  <c r="M48" i="14" s="1"/>
  <c r="M30" i="16"/>
  <c r="M30" i="14" s="1"/>
  <c r="M37" i="16"/>
  <c r="M37" i="14" s="1"/>
  <c r="M29" i="16"/>
  <c r="M29" i="14" s="1"/>
  <c r="M33" i="16"/>
  <c r="M33" i="14" s="1"/>
  <c r="M42" i="16"/>
  <c r="M42" i="14" s="1"/>
  <c r="M35" i="16"/>
  <c r="M35" i="14" s="1"/>
  <c r="M40" i="16"/>
  <c r="M40" i="14" s="1"/>
  <c r="M47" i="16"/>
  <c r="M47" i="14" s="1"/>
  <c r="M34" i="16"/>
  <c r="M34" i="14" s="1"/>
  <c r="M45" i="16"/>
  <c r="M45" i="14" s="1"/>
  <c r="Z44" i="16"/>
  <c r="M46" s="1"/>
  <c r="M46" i="14" s="1"/>
  <c r="E29" i="9"/>
  <c r="E31" s="1"/>
  <c r="E6"/>
  <c r="H11"/>
  <c r="H16" s="1"/>
  <c r="H18" s="1"/>
  <c r="E38" s="1"/>
  <c r="E40"/>
  <c r="M2" i="1"/>
  <c r="O3" s="1"/>
  <c r="D11" i="9"/>
  <c r="D90" i="4"/>
  <c r="H89" s="1"/>
  <c r="D16" i="9" s="1"/>
  <c r="C90" i="4"/>
  <c r="M44" i="16" l="1"/>
  <c r="M44" i="14" s="1"/>
  <c r="M31" i="16"/>
  <c r="M31" i="14" s="1"/>
  <c r="M54" i="16"/>
  <c r="M54" i="14" s="1"/>
  <c r="E33" i="9"/>
  <c r="E35" s="1"/>
  <c r="E30"/>
  <c r="D18"/>
  <c r="H90" i="4"/>
  <c r="E34" i="9" l="1"/>
  <c r="E36" s="1"/>
  <c r="E20"/>
  <c r="G22" s="1"/>
  <c r="E37"/>
  <c r="E39" s="1"/>
  <c r="E42" s="1"/>
  <c r="E43" s="1"/>
  <c r="E21" l="1"/>
  <c r="E23" s="1"/>
  <c r="E41" s="1"/>
  <c r="T40" i="16"/>
  <c r="T87"/>
  <c r="C87" s="1"/>
  <c r="C87" i="14" s="1"/>
  <c r="T27" i="16"/>
  <c r="C27" s="1"/>
  <c r="C27" i="14" s="1"/>
  <c r="T23" i="16"/>
  <c r="C23" s="1"/>
  <c r="C23" i="14" s="1"/>
  <c r="T35" i="16"/>
  <c r="T109"/>
  <c r="C109" s="1"/>
  <c r="C109" i="14" s="1"/>
  <c r="T72" i="16"/>
  <c r="C72" s="1"/>
  <c r="C72" i="14" s="1"/>
  <c r="T42" i="16"/>
  <c r="T61"/>
  <c r="C61" s="1"/>
  <c r="C61" i="14" s="1"/>
  <c r="T37" i="16"/>
  <c r="T81"/>
  <c r="C81" s="1"/>
  <c r="C81" i="14" s="1"/>
  <c r="T55" i="16"/>
  <c r="C55" s="1"/>
  <c r="C55" i="14" s="1"/>
  <c r="T77" i="16"/>
  <c r="C77" s="1"/>
  <c r="C77" i="14" s="1"/>
  <c r="T68" i="16"/>
  <c r="C68" s="1"/>
  <c r="C68" i="14" s="1"/>
  <c r="T80" i="16"/>
  <c r="C80" s="1"/>
  <c r="C80" i="14" s="1"/>
  <c r="T19" i="16"/>
  <c r="C19" s="1"/>
  <c r="C19" i="14" s="1"/>
  <c r="T85" i="16"/>
  <c r="C85" s="1"/>
  <c r="C85" i="14" s="1"/>
  <c r="T54" i="16"/>
  <c r="C42" s="1"/>
  <c r="C42" i="14" s="1"/>
  <c r="T95" i="16"/>
  <c r="C95" s="1"/>
  <c r="C95" i="14" s="1"/>
  <c r="T28" i="16"/>
  <c r="C28" s="1"/>
  <c r="C28" i="14" s="1"/>
  <c r="T22" i="16"/>
  <c r="C22" s="1"/>
  <c r="C22" i="14" s="1"/>
  <c r="T63" i="16"/>
  <c r="C63" s="1"/>
  <c r="C63" i="14" s="1"/>
  <c r="T90" i="16"/>
  <c r="C90" s="1"/>
  <c r="C90" i="14" s="1"/>
  <c r="T48" i="16"/>
  <c r="T107"/>
  <c r="C107" s="1"/>
  <c r="C107" i="14" s="1"/>
  <c r="T105" i="16"/>
  <c r="C105" s="1"/>
  <c r="C105" i="14" s="1"/>
  <c r="T44" i="16"/>
  <c r="T53"/>
  <c r="T86"/>
  <c r="C86" s="1"/>
  <c r="C86" i="14" s="1"/>
  <c r="T25" i="16"/>
  <c r="C25" s="1"/>
  <c r="C25" i="14" s="1"/>
  <c r="T101" i="16"/>
  <c r="C101" s="1"/>
  <c r="C101" i="14" s="1"/>
  <c r="T99" i="16"/>
  <c r="C99" s="1"/>
  <c r="C99" i="14" s="1"/>
  <c r="T66" i="16"/>
  <c r="C66" s="1"/>
  <c r="C66" i="14" s="1"/>
  <c r="T82" i="16"/>
  <c r="C82" s="1"/>
  <c r="C82" i="14" s="1"/>
  <c r="T76" i="16"/>
  <c r="C76" s="1"/>
  <c r="C76" i="14" s="1"/>
  <c r="T43" i="16"/>
  <c r="T78"/>
  <c r="C78" s="1"/>
  <c r="C78" i="14" s="1"/>
  <c r="T96" i="16"/>
  <c r="C96" s="1"/>
  <c r="C96" i="14" s="1"/>
  <c r="T29" i="16"/>
  <c r="T62"/>
  <c r="C62" s="1"/>
  <c r="C62" i="14" s="1"/>
  <c r="T34" i="16"/>
  <c r="C37" s="1"/>
  <c r="C37" i="14" s="1"/>
  <c r="T100" i="16"/>
  <c r="C100" s="1"/>
  <c r="C100" i="14" s="1"/>
  <c r="T92" i="16"/>
  <c r="C92" s="1"/>
  <c r="C92" i="14" s="1"/>
  <c r="T88" i="16"/>
  <c r="C88" s="1"/>
  <c r="C88" i="14" s="1"/>
  <c r="T67" i="16"/>
  <c r="C67" s="1"/>
  <c r="C67" i="14" s="1"/>
  <c r="T102" i="16"/>
  <c r="C102" s="1"/>
  <c r="C102" i="14" s="1"/>
  <c r="T98" i="16"/>
  <c r="C98" s="1"/>
  <c r="C98" i="14" s="1"/>
  <c r="T47" i="16"/>
  <c r="C44"/>
  <c r="C44" i="14" s="1"/>
  <c r="T31" i="16"/>
  <c r="T94"/>
  <c r="C94" s="1"/>
  <c r="C94" i="14" s="1"/>
  <c r="T74" i="16"/>
  <c r="C74" s="1"/>
  <c r="C74" i="14" s="1"/>
  <c r="T103" i="16"/>
  <c r="C103" s="1"/>
  <c r="C103" i="14" s="1"/>
  <c r="T91" i="16"/>
  <c r="C91" s="1"/>
  <c r="C91" i="14" s="1"/>
  <c r="T106" i="16"/>
  <c r="C106" s="1"/>
  <c r="C106" i="14" s="1"/>
  <c r="T51" i="16"/>
  <c r="C29" s="1"/>
  <c r="C29" i="14" s="1"/>
  <c r="T49" i="16"/>
  <c r="C53" s="1"/>
  <c r="C53" i="14" s="1"/>
  <c r="T33" i="16"/>
  <c r="T58"/>
  <c r="C58" s="1"/>
  <c r="C58" i="14" s="1"/>
  <c r="T57" i="16"/>
  <c r="C57" s="1"/>
  <c r="C57" i="14" s="1"/>
  <c r="T21" i="16"/>
  <c r="C21" s="1"/>
  <c r="C21" i="14" s="1"/>
  <c r="T50" i="16"/>
  <c r="C54" s="1"/>
  <c r="C54" i="14" s="1"/>
  <c r="T93" i="16"/>
  <c r="C93" s="1"/>
  <c r="C93" i="14" s="1"/>
  <c r="T75" i="16"/>
  <c r="C75" s="1"/>
  <c r="C75" i="14" s="1"/>
  <c r="T97" i="16"/>
  <c r="C97" s="1"/>
  <c r="C97" i="14" s="1"/>
  <c r="T41" i="16"/>
  <c r="T56"/>
  <c r="C56" s="1"/>
  <c r="C56" i="14" s="1"/>
  <c r="T45" i="16"/>
  <c r="C40" s="1"/>
  <c r="C40" i="14" s="1"/>
  <c r="T20" i="16"/>
  <c r="C20" s="1"/>
  <c r="C20" i="14" s="1"/>
  <c r="T60" i="16"/>
  <c r="C60" s="1"/>
  <c r="C60" i="14" s="1"/>
  <c r="T83" i="16"/>
  <c r="C83" s="1"/>
  <c r="C83" i="14" s="1"/>
  <c r="T36" i="16"/>
  <c r="T65"/>
  <c r="C65" s="1"/>
  <c r="C65" i="14" s="1"/>
  <c r="T32" i="16"/>
  <c r="C35" s="1"/>
  <c r="C35" i="14" s="1"/>
  <c r="T89" i="16"/>
  <c r="C89" s="1"/>
  <c r="C89" i="14" s="1"/>
  <c r="T104" i="16"/>
  <c r="C104" s="1"/>
  <c r="C104" i="14" s="1"/>
  <c r="T108" i="16"/>
  <c r="C108" s="1"/>
  <c r="C108" i="14" s="1"/>
  <c r="T70" i="16"/>
  <c r="C70" s="1"/>
  <c r="C70" i="14" s="1"/>
  <c r="T69" i="16"/>
  <c r="C69" s="1"/>
  <c r="C69" i="14" s="1"/>
  <c r="T18" i="16"/>
  <c r="C18" s="1"/>
  <c r="C18" i="14" s="1"/>
  <c r="T73" i="16"/>
  <c r="C73" s="1"/>
  <c r="C73" i="14" s="1"/>
  <c r="T26" i="16"/>
  <c r="C26" s="1"/>
  <c r="C26" i="14" s="1"/>
  <c r="T84" i="16"/>
  <c r="C84" s="1"/>
  <c r="C84" i="14" s="1"/>
  <c r="T30" i="16"/>
  <c r="C33" s="1"/>
  <c r="C33" i="14" s="1"/>
  <c r="T79" i="16"/>
  <c r="C79" s="1"/>
  <c r="C79" i="14" s="1"/>
  <c r="T46" i="16"/>
  <c r="C43" s="1"/>
  <c r="C43" i="14" s="1"/>
  <c r="T71" i="16"/>
  <c r="C71" s="1"/>
  <c r="C71" i="14" s="1"/>
  <c r="T64" i="16"/>
  <c r="C64" s="1"/>
  <c r="C64" i="14" s="1"/>
  <c r="T39" i="16"/>
  <c r="C47" s="1"/>
  <c r="C47" i="14" s="1"/>
  <c r="T24" i="16"/>
  <c r="C24" s="1"/>
  <c r="C24" i="14" s="1"/>
  <c r="T38" i="16"/>
  <c r="T59"/>
  <c r="C59" s="1"/>
  <c r="C59" i="14" s="1"/>
  <c r="T17" i="16"/>
  <c r="C17" s="1"/>
  <c r="T52"/>
  <c r="C46" l="1"/>
  <c r="C46" i="14" s="1"/>
  <c r="C30" i="16"/>
  <c r="C30" i="14" s="1"/>
  <c r="C49" i="16"/>
  <c r="C49" i="14" s="1"/>
  <c r="C34" i="16"/>
  <c r="C34" i="14" s="1"/>
  <c r="C45" i="16"/>
  <c r="C45" i="14" s="1"/>
  <c r="C39" i="16"/>
  <c r="C39" i="14" s="1"/>
  <c r="C48" i="16"/>
  <c r="C48" i="14" s="1"/>
  <c r="C36" i="16"/>
  <c r="C36" i="14" s="1"/>
  <c r="C31" i="16"/>
  <c r="C31" i="14" s="1"/>
  <c r="C52" i="16"/>
  <c r="C52" i="14" s="1"/>
  <c r="C50" i="16"/>
  <c r="C50" i="14" s="1"/>
  <c r="C32" i="16"/>
  <c r="C32" i="14" s="1"/>
  <c r="C51" i="16"/>
  <c r="C51" i="14" s="1"/>
  <c r="C41" i="16"/>
  <c r="C41" i="14" s="1"/>
  <c r="C38" i="16"/>
  <c r="C38" i="14" s="1"/>
</calcChain>
</file>

<file path=xl/sharedStrings.xml><?xml version="1.0" encoding="utf-8"?>
<sst xmlns="http://schemas.openxmlformats.org/spreadsheetml/2006/main" count="657" uniqueCount="498">
  <si>
    <t>PARTS LIST</t>
  </si>
  <si>
    <t>PART #</t>
  </si>
  <si>
    <t>DESCRIPTION</t>
  </si>
  <si>
    <t>QTY</t>
  </si>
  <si>
    <t>COMPANY</t>
  </si>
  <si>
    <t>LOCATION</t>
  </si>
  <si>
    <t>DATE</t>
  </si>
  <si>
    <t>TOTALS</t>
  </si>
  <si>
    <t>BID / ESTIMATE</t>
  </si>
  <si>
    <t>EACH ITEM TOTAL</t>
  </si>
  <si>
    <t>Days</t>
  </si>
  <si>
    <t>Hours/Day</t>
  </si>
  <si>
    <t>Rates</t>
  </si>
  <si>
    <t>Hrs.</t>
  </si>
  <si>
    <t>Sub Total</t>
  </si>
  <si>
    <t>S.T</t>
  </si>
  <si>
    <t>O.T</t>
  </si>
  <si>
    <t>Sat</t>
  </si>
  <si>
    <t>Sun</t>
  </si>
  <si>
    <t>Per Diem</t>
  </si>
  <si>
    <t>Miles R.T.</t>
  </si>
  <si>
    <t>Travel Hrs.</t>
  </si>
  <si>
    <t>Hours</t>
  </si>
  <si>
    <t>Tools</t>
  </si>
  <si>
    <t>Estimated Total  Hours (From Task List)</t>
  </si>
  <si>
    <t># of Days</t>
  </si>
  <si>
    <t>Totals</t>
  </si>
  <si>
    <t>INST. TECH.</t>
  </si>
  <si>
    <t>LABOR HOURS DISTRIBUTION ESTIMATE/BID SHEET</t>
  </si>
  <si>
    <t>TRAVEL - PER DIEM - MATERIAL AND RENTAL CHARGES ESTIMATE/BID SHEET</t>
  </si>
  <si>
    <t>Company</t>
  </si>
  <si>
    <t>Location</t>
  </si>
  <si>
    <t>Mfg.</t>
  </si>
  <si>
    <t>Model</t>
  </si>
  <si>
    <t>Duration</t>
  </si>
  <si>
    <t>Date</t>
  </si>
  <si>
    <t>Description</t>
  </si>
  <si>
    <t>PER DIEM</t>
  </si>
  <si>
    <t>DAILY MILES</t>
  </si>
  <si>
    <t>(Round Trip)</t>
  </si>
  <si>
    <t>TOOLS</t>
  </si>
  <si>
    <t># of Men</t>
  </si>
  <si>
    <t># of Veh.</t>
  </si>
  <si>
    <t># of Tools</t>
  </si>
  <si>
    <t>Item Description</t>
  </si>
  <si>
    <t># of Personnel</t>
  </si>
  <si>
    <t>Rate</t>
  </si>
  <si>
    <t>Sub Totals</t>
  </si>
  <si>
    <t>MATERIALS, RENTALS AND MISC. CHARGES</t>
  </si>
  <si>
    <t>Travel (All)</t>
  </si>
  <si>
    <t>Labor</t>
  </si>
  <si>
    <t xml:space="preserve">Matl./Rentals </t>
  </si>
  <si>
    <t># of Items</t>
  </si>
  <si>
    <t>Task Totals</t>
  </si>
  <si>
    <t>Task #</t>
  </si>
  <si>
    <t>ESTIMATE / BID SUMMARY SHEET</t>
  </si>
  <si>
    <t>Bid / Estimate</t>
  </si>
  <si>
    <t>Matl./Rentals</t>
  </si>
  <si>
    <t>LABOR, TRAVEL, AND ETC.</t>
  </si>
  <si>
    <t>Vendor</t>
  </si>
  <si>
    <t>Contingency (%)</t>
  </si>
  <si>
    <t>Labor Sub Total</t>
  </si>
  <si>
    <t>Parts Sub Total</t>
  </si>
  <si>
    <t xml:space="preserve"> PARTS TOTAL                                (WITH CONTINGENCY)</t>
  </si>
  <si>
    <t>LABOR &amp; MISC. TOTAL</t>
  </si>
  <si>
    <t>Comments:</t>
  </si>
  <si>
    <t>VENDOR UNIT PRICES &amp; LAST REVISION DATES &amp; QUOTE #</t>
  </si>
  <si>
    <t>Quote or Estimate?</t>
  </si>
  <si>
    <t>Travel Miles</t>
  </si>
  <si>
    <t>Environmental Fee (%)</t>
  </si>
  <si>
    <t>LABOR &amp; MISC. TOTAL WITH CONTINGENCY &amp; FEES</t>
  </si>
  <si>
    <t>LABOR, TRAVEL, TOOLS &amp; MISC. TOTAL (WITH CONTINGENCY &amp; FEES)</t>
  </si>
  <si>
    <t>Field/Shop Misc. Supplies (%)</t>
  </si>
  <si>
    <t>DAILY TRAVEL</t>
  </si>
  <si>
    <t>Labor/Daily Travel</t>
  </si>
  <si>
    <t>Travel (All Other)</t>
  </si>
  <si>
    <t>ENGINEER</t>
  </si>
  <si>
    <t>Price</t>
  </si>
  <si>
    <t>Job Total Price With Above Contingencies</t>
  </si>
  <si>
    <t>PARTS W/ MARGIN ADDED</t>
  </si>
  <si>
    <t>LABOR HOURS QUOTE / ESTIMATE SHEET</t>
  </si>
  <si>
    <t>HOURS SUBMITTED BY:</t>
  </si>
  <si>
    <t>TOTAL PARTS W/ MARGIN</t>
  </si>
  <si>
    <t>% Mark Up</t>
  </si>
  <si>
    <t>Additional Contingency If Required</t>
  </si>
  <si>
    <t xml:space="preserve">Total With Additional Contingency </t>
  </si>
  <si>
    <t xml:space="preserve"> </t>
  </si>
  <si>
    <t>+</t>
  </si>
  <si>
    <t>=</t>
  </si>
  <si>
    <t>Total Parts Contingency (%)</t>
  </si>
  <si>
    <t>Consumables (%)</t>
  </si>
  <si>
    <t>Labor Contingency (%)</t>
  </si>
  <si>
    <t>Total Labor Contingency &amp; Fees</t>
  </si>
  <si>
    <t>Total Parts Contingency &amp; Fees</t>
  </si>
  <si>
    <r>
      <t>WARNING</t>
    </r>
    <r>
      <rPr>
        <b/>
        <i/>
        <sz val="8"/>
        <color indexed="10"/>
        <rFont val="Arial"/>
        <family val="2"/>
      </rPr>
      <t>: EACH OF THESE PARTS COLUMNS BELOW WILL TOTAL UP INTO THE PARTS SUB TOTAL ON SUMMARY PAGE</t>
    </r>
  </si>
  <si>
    <t>Sales Tax</t>
  </si>
  <si>
    <t>Total</t>
  </si>
  <si>
    <t>Avg labor rate</t>
  </si>
  <si>
    <t>Total Labor</t>
  </si>
  <si>
    <t>Avg. Labor</t>
  </si>
  <si>
    <t>Labor Bill rate</t>
  </si>
  <si>
    <t>Labor net profit</t>
  </si>
  <si>
    <t>Parts Cost</t>
  </si>
  <si>
    <t>Parts Net Profit</t>
  </si>
  <si>
    <t>Parts Profit for Job</t>
  </si>
  <si>
    <t>Parts and Labor Net Profit</t>
  </si>
  <si>
    <t>Labor, Travel, with Contingency &amp; Fees</t>
  </si>
  <si>
    <t>Parts Total with Contingency</t>
  </si>
  <si>
    <t>Gross with no tax</t>
  </si>
  <si>
    <t>Total Job Invoice with Tax</t>
  </si>
  <si>
    <t>Job Total Profit Margin</t>
  </si>
  <si>
    <t>Labor Profit Margin %</t>
  </si>
  <si>
    <t>Parts Profit Margin %</t>
  </si>
  <si>
    <t>This is what we need to look at when we Quote Jobs</t>
  </si>
  <si>
    <t>Total Cost on Job</t>
  </si>
  <si>
    <t>Area</t>
  </si>
  <si>
    <t>Account Manager</t>
  </si>
  <si>
    <t>County</t>
  </si>
  <si>
    <t>ISC</t>
  </si>
  <si>
    <t>% Markup</t>
  </si>
  <si>
    <t>Parts with Markup</t>
  </si>
  <si>
    <t>Quote</t>
  </si>
  <si>
    <t>Welder</t>
  </si>
  <si>
    <t>Scope of Work</t>
  </si>
  <si>
    <t>Line Item</t>
  </si>
  <si>
    <t>Quote Information</t>
  </si>
  <si>
    <t>Contact Name</t>
  </si>
  <si>
    <t>Contact Email</t>
  </si>
  <si>
    <t>Unit Number</t>
  </si>
  <si>
    <t>Type of Quote</t>
  </si>
  <si>
    <t>Driver</t>
  </si>
  <si>
    <t>Make</t>
  </si>
  <si>
    <t>Serial number</t>
  </si>
  <si>
    <t>Cylinder Size</t>
  </si>
  <si>
    <t>#1</t>
  </si>
  <si>
    <t>#3</t>
  </si>
  <si>
    <t>#5</t>
  </si>
  <si>
    <t>#2</t>
  </si>
  <si>
    <t>#4</t>
  </si>
  <si>
    <t>#6</t>
  </si>
  <si>
    <t xml:space="preserve">County </t>
  </si>
  <si>
    <t xml:space="preserve">City </t>
  </si>
  <si>
    <t>State</t>
  </si>
  <si>
    <t>Grout Job</t>
  </si>
  <si>
    <t>Job Date</t>
  </si>
  <si>
    <t>Quote Need by Date</t>
  </si>
  <si>
    <t>Salesman</t>
  </si>
  <si>
    <t>Area Manager</t>
  </si>
  <si>
    <t>Area of Work</t>
  </si>
  <si>
    <t>Estimate</t>
  </si>
  <si>
    <t>Quote/Estimate</t>
  </si>
  <si>
    <t>Billing Information</t>
  </si>
  <si>
    <t>Customers Scope/Parts</t>
  </si>
  <si>
    <t>Yes</t>
  </si>
  <si>
    <t>No</t>
  </si>
  <si>
    <t>Frame Overhaul</t>
  </si>
  <si>
    <t>Alignment</t>
  </si>
  <si>
    <t>Marty Windham</t>
  </si>
  <si>
    <t>Tommy Bennett</t>
  </si>
  <si>
    <t>OEM</t>
  </si>
  <si>
    <t>Type of Parts Supplied</t>
  </si>
  <si>
    <t>Material Request</t>
  </si>
  <si>
    <t>INTERNAL REQ</t>
  </si>
  <si>
    <t>PURCHASE</t>
  </si>
  <si>
    <t>QUOTE</t>
  </si>
  <si>
    <t>NTX</t>
  </si>
  <si>
    <t>Requester</t>
  </si>
  <si>
    <t>Engine Make</t>
  </si>
  <si>
    <t>Engine Serial #</t>
  </si>
  <si>
    <t>Driver Serial #</t>
  </si>
  <si>
    <t>Driver Make</t>
  </si>
  <si>
    <t>Cylinder Sizes</t>
  </si>
  <si>
    <t>Destination</t>
  </si>
  <si>
    <t>PICK-UP</t>
  </si>
  <si>
    <t>DELIVERY</t>
  </si>
  <si>
    <t>Work Order</t>
  </si>
  <si>
    <t>Charge</t>
  </si>
  <si>
    <t>Part Number</t>
  </si>
  <si>
    <t>Billable</t>
  </si>
  <si>
    <t>Expense</t>
  </si>
  <si>
    <t>Labor cost at $70.00</t>
  </si>
  <si>
    <t>Product Price</t>
  </si>
  <si>
    <t>Quote Need By Date</t>
  </si>
  <si>
    <t>Lead</t>
  </si>
  <si>
    <t>Helper</t>
  </si>
  <si>
    <t>S.T/O.T</t>
  </si>
  <si>
    <t>Total Profit Margin with Additional Mark Up</t>
  </si>
  <si>
    <t>Roto-Versal personnel will pick up work area</t>
  </si>
  <si>
    <t>Roto-Versal personnel will fill out daily paper work daily and get signed</t>
  </si>
  <si>
    <t>Travel to home base</t>
  </si>
  <si>
    <t>Provide prompt invoice for billing</t>
  </si>
  <si>
    <t>Any additional items to be billed on a separate invoice</t>
  </si>
  <si>
    <t>Any adders must be approved before work is completed</t>
  </si>
  <si>
    <t>Any stand-by time or work done out side of scope of work will be charged as adder</t>
  </si>
  <si>
    <t>A</t>
  </si>
  <si>
    <t>B</t>
  </si>
  <si>
    <t>C</t>
  </si>
  <si>
    <t>CAT</t>
  </si>
  <si>
    <t>Invoice</t>
  </si>
  <si>
    <t>WTX</t>
  </si>
  <si>
    <t>CDM</t>
  </si>
  <si>
    <t>Encore</t>
  </si>
  <si>
    <t>FAOC Operating</t>
  </si>
  <si>
    <t>Finley Resources</t>
  </si>
  <si>
    <t>Flowffect Inc</t>
  </si>
  <si>
    <t>Fortistart Methane Group</t>
  </si>
  <si>
    <t>Frontier Field Services</t>
  </si>
  <si>
    <t>Frost Brothers Resources</t>
  </si>
  <si>
    <t>Gas Compressor Rentals</t>
  </si>
  <si>
    <t>Gelser Operation Comp</t>
  </si>
  <si>
    <t>Global Power</t>
  </si>
  <si>
    <t>Goldston oil Corp</t>
  </si>
  <si>
    <t>Great Plains Gas Compression</t>
  </si>
  <si>
    <t>Green Exploration Comp</t>
  </si>
  <si>
    <t>H&amp;S Valves</t>
  </si>
  <si>
    <t>H&amp;R Machine</t>
  </si>
  <si>
    <t>Hanson</t>
  </si>
  <si>
    <t>Hilcorp Energy</t>
  </si>
  <si>
    <t>Holloman Engineering</t>
  </si>
  <si>
    <t>Ignition Systems &amp; Controls</t>
  </si>
  <si>
    <t>J&amp;G Oil company</t>
  </si>
  <si>
    <t>Jet Specialty</t>
  </si>
  <si>
    <t>John Pruigt</t>
  </si>
  <si>
    <t>JW Gathering</t>
  </si>
  <si>
    <t>JW MFG</t>
  </si>
  <si>
    <t>JW Power</t>
  </si>
  <si>
    <t>Kelley Compressor</t>
  </si>
  <si>
    <t>Kelton Gas</t>
  </si>
  <si>
    <t>KinderMorgan</t>
  </si>
  <si>
    <t>KLO</t>
  </si>
  <si>
    <t>Kodiak Gas Services</t>
  </si>
  <si>
    <t xml:space="preserve">Legado </t>
  </si>
  <si>
    <t>Linn Operating</t>
  </si>
  <si>
    <t>LLOG</t>
  </si>
  <si>
    <t>LNG</t>
  </si>
  <si>
    <t>Lynx Operating</t>
  </si>
  <si>
    <t>Maddill Gas Processing</t>
  </si>
  <si>
    <t>MarkWest Energy</t>
  </si>
  <si>
    <t>Merit Energy</t>
  </si>
  <si>
    <t>Midstates Petroleum</t>
  </si>
  <si>
    <t>Mohican Operating</t>
  </si>
  <si>
    <t>MotionSource International</t>
  </si>
  <si>
    <t>National Oilwell</t>
  </si>
  <si>
    <t>Northstar Compression</t>
  </si>
  <si>
    <t>Seatrax</t>
  </si>
  <si>
    <t>Nuevo Midstream</t>
  </si>
  <si>
    <t>Omega Natchiq</t>
  </si>
  <si>
    <t>Oreilly Auto Parts</t>
  </si>
  <si>
    <t>Oscomp</t>
  </si>
  <si>
    <t>OTRA Industries</t>
  </si>
  <si>
    <t>OXY</t>
  </si>
  <si>
    <t>Parallel Energy</t>
  </si>
  <si>
    <t>Patterson Energy</t>
  </si>
  <si>
    <t>PCI</t>
  </si>
  <si>
    <t>Pecan Pipeline</t>
  </si>
  <si>
    <t>Pelstar</t>
  </si>
  <si>
    <t>Peninsula Pipelines</t>
  </si>
  <si>
    <t>Pioneer Pipeline</t>
  </si>
  <si>
    <t>Power Ignition &amp; Controls</t>
  </si>
  <si>
    <t>Precision Welding and Machine</t>
  </si>
  <si>
    <t>Prometheus Energy</t>
  </si>
  <si>
    <t>Quicksilver Resources</t>
  </si>
  <si>
    <t>Ray's Equipment</t>
  </si>
  <si>
    <t>Red River Compression</t>
  </si>
  <si>
    <t>Red River Pump</t>
  </si>
  <si>
    <t>Regency Energy</t>
  </si>
  <si>
    <t>Regency Gas</t>
  </si>
  <si>
    <t>Republic Resources</t>
  </si>
  <si>
    <t>Rexel</t>
  </si>
  <si>
    <t>Richardson Water Well</t>
  </si>
  <si>
    <t>Rio-Tex</t>
  </si>
  <si>
    <t>Roma Oil &amp; Gas</t>
  </si>
  <si>
    <t>S&amp;PI Luher</t>
  </si>
  <si>
    <t>Samson Resources</t>
  </si>
  <si>
    <t>Sanchez Oil &amp; Gas</t>
  </si>
  <si>
    <t>SCFM Compression</t>
  </si>
  <si>
    <t>SemGas</t>
  </si>
  <si>
    <t>Shell/H&amp;S contractors</t>
  </si>
  <si>
    <t>Shintech Inc</t>
  </si>
  <si>
    <t>SJB Services</t>
  </si>
  <si>
    <t>Southcross</t>
  </si>
  <si>
    <t>Southern Union Gas</t>
  </si>
  <si>
    <t>Spartan Energy</t>
  </si>
  <si>
    <t>Spectra Energy</t>
  </si>
  <si>
    <t>Summit Midstream</t>
  </si>
  <si>
    <t>Superior Pipeline</t>
  </si>
  <si>
    <t>Targa Resources</t>
  </si>
  <si>
    <t>Tech 3 Solutions</t>
  </si>
  <si>
    <t>Test Compressor Company</t>
  </si>
  <si>
    <t>Thorofare Resources</t>
  </si>
  <si>
    <t>TRF Energy Solutions</t>
  </si>
  <si>
    <t>Trinity CO2</t>
  </si>
  <si>
    <t>Trinity Gas Corp</t>
  </si>
  <si>
    <t>Tristream East Texas</t>
  </si>
  <si>
    <t>US Enercorp</t>
  </si>
  <si>
    <t>USA compressoin</t>
  </si>
  <si>
    <t>Valerus</t>
  </si>
  <si>
    <t>Valve Maintenance</t>
  </si>
  <si>
    <t>W&amp;T Offshore</t>
  </si>
  <si>
    <t>Wagner Equipment</t>
  </si>
  <si>
    <t>Waukesha</t>
  </si>
  <si>
    <t xml:space="preserve">West Texas </t>
  </si>
  <si>
    <t>Whiting Petroleum</t>
  </si>
  <si>
    <t>Whiting Oil and Gas</t>
  </si>
  <si>
    <t>Wildcat Midstream</t>
  </si>
  <si>
    <t>Whrsham Steed Gas Storage</t>
  </si>
  <si>
    <t>Wynnewood Refinery</t>
  </si>
  <si>
    <t>XTO Energy</t>
  </si>
  <si>
    <t>XTO Barnett Gathering</t>
  </si>
  <si>
    <t>XTO Trend Gathering</t>
  </si>
  <si>
    <t>Yates Petroleum</t>
  </si>
  <si>
    <t>Manager</t>
  </si>
  <si>
    <t>Sales</t>
  </si>
  <si>
    <t>Type of Parts</t>
  </si>
  <si>
    <t>Customers</t>
  </si>
  <si>
    <t>Cooler Troubleshoot/Repair</t>
  </si>
  <si>
    <t>Emissions Annual Test</t>
  </si>
  <si>
    <t>Emissions Bi-Annual Test</t>
  </si>
  <si>
    <t>Emissions Consulting</t>
  </si>
  <si>
    <t>Emissions Quarterly</t>
  </si>
  <si>
    <t>Emissions Spot Check/Tuning</t>
  </si>
  <si>
    <t>Engine Bottom End Overhaul</t>
  </si>
  <si>
    <t>Engine Camshaft Repair/Replace</t>
  </si>
  <si>
    <t>Engine Commissioning</t>
  </si>
  <si>
    <t>Engine Head Repair/Replace</t>
  </si>
  <si>
    <t>Engine In-Frame Overhaul</t>
  </si>
  <si>
    <t>Engine Swing</t>
  </si>
  <si>
    <t>Engine Topend Overhaul</t>
  </si>
  <si>
    <t>Engine Troubleshoot/Repair</t>
  </si>
  <si>
    <t>Engine Turbo Repair/Replace</t>
  </si>
  <si>
    <t>Engine Water Pump Repair/Replace</t>
  </si>
  <si>
    <t>Frame commissioning</t>
  </si>
  <si>
    <t>Frame Cylinder Repair</t>
  </si>
  <si>
    <t>Frame Troubleshoot/Repair</t>
  </si>
  <si>
    <t>Frame Valve Repair</t>
  </si>
  <si>
    <t>Generator Troubleshoot/Repair</t>
  </si>
  <si>
    <t>I&amp;E PM Annual Checks</t>
  </si>
  <si>
    <t>I&amp;E Troubleshooting/Repair</t>
  </si>
  <si>
    <t>Inspection/Consulting</t>
  </si>
  <si>
    <t>Lubrication Consulting</t>
  </si>
  <si>
    <t>Lubrication PM</t>
  </si>
  <si>
    <t>Lubrication Strip and Re-tube</t>
  </si>
  <si>
    <t>Lubrication Technical Call</t>
  </si>
  <si>
    <t>Operations</t>
  </si>
  <si>
    <t>Package Commissioning</t>
  </si>
  <si>
    <t>Package Disassembly</t>
  </si>
  <si>
    <t>Package Mob/Demob</t>
  </si>
  <si>
    <t>Parts Sales</t>
  </si>
  <si>
    <t>Plant Commissioning</t>
  </si>
  <si>
    <t>PM Unit</t>
  </si>
  <si>
    <t>Vibration Analysis</t>
  </si>
  <si>
    <t>Wash Units</t>
  </si>
  <si>
    <t>IPD</t>
  </si>
  <si>
    <t>Encore personnel will travel to and from Location</t>
  </si>
  <si>
    <t>Encore personnel will go through any orientation needed</t>
  </si>
  <si>
    <t xml:space="preserve">Encore personnel will go over scope of work with customer representative </t>
  </si>
  <si>
    <t>Encore personnel will hold tailgate safety meeting and fill out JSA</t>
  </si>
  <si>
    <t>Encore personnel will perform LOTO</t>
  </si>
  <si>
    <t>Kelsey Wylie</t>
  </si>
  <si>
    <t>John Simonetti, Jr</t>
  </si>
  <si>
    <t>Brandon Dunagan</t>
  </si>
  <si>
    <t>Jason Ward</t>
  </si>
  <si>
    <t>Ryan Bryant</t>
  </si>
  <si>
    <t>ARUBA</t>
  </si>
  <si>
    <t>BASELINE</t>
  </si>
  <si>
    <t>BLUES</t>
  </si>
  <si>
    <t>CATALYTIC COMBUSTION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</si>
  <si>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</si>
  <si>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</si>
  <si>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</si>
  <si>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</si>
  <si>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</si>
  <si>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</si>
  <si>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</si>
  <si>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</si>
  <si>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</si>
  <si>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</si>
  <si>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</si>
  <si>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</si>
  <si>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</si>
  <si>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</si>
  <si>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</si>
  <si>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</si>
  <si>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</si>
  <si>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</si>
  <si>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</si>
  <si>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</si>
  <si>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KINDER MORGAN-W TX</t>
  </si>
  <si>
    <t>LONE STAR</t>
  </si>
  <si>
    <t>LUCID-DOUBLETEX</t>
  </si>
  <si>
    <t>LUCID-WESTEX</t>
  </si>
  <si>
    <t>MIKE BROWN</t>
  </si>
  <si>
    <t>NGSG</t>
  </si>
  <si>
    <t>OGS</t>
  </si>
  <si>
    <t>PECAN</t>
  </si>
  <si>
    <t>PECOS</t>
  </si>
  <si>
    <t>PRECISION</t>
  </si>
  <si>
    <t>PRO FLOW</t>
  </si>
  <si>
    <t>QRI</t>
  </si>
  <si>
    <t>RES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</si>
  <si>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</si>
  <si>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</si>
  <si>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</si>
  <si>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</si>
  <si>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</si>
  <si>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</si>
  <si>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</si>
  <si>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</si>
  <si>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WEST TEXAS IND ENG</t>
  </si>
  <si>
    <t>WORSHAM STEED</t>
  </si>
  <si>
    <t>WTG</t>
  </si>
  <si>
    <t>XTO</t>
  </si>
  <si>
    <t>Contact Phone #</t>
  </si>
  <si>
    <t>Are We Supplying Parts?</t>
  </si>
  <si>
    <t>Shop</t>
  </si>
  <si>
    <t>Driver Equipment</t>
  </si>
  <si>
    <t>SUMMARY OF ALL LABOR, TRAVEL, PER DIEM, MATERIAL, TOOLS AND RENTAL TOTALS</t>
  </si>
  <si>
    <t>TOTAL Encore COST</t>
  </si>
  <si>
    <t>Engine Model</t>
  </si>
  <si>
    <t>Driver Model</t>
  </si>
  <si>
    <t>Purchase Need by Date</t>
  </si>
  <si>
    <t>Encore Oilfield Services, LLC</t>
  </si>
  <si>
    <t>PO Box 6554</t>
  </si>
  <si>
    <t>Kingwood, TX 77325</t>
  </si>
  <si>
    <t>Office: 817-717-4124</t>
  </si>
  <si>
    <t>Fax: 281-715-4562</t>
  </si>
  <si>
    <t>EACH ITEM TOTAL W/ MARGIN</t>
  </si>
  <si>
    <t>Low Bid</t>
  </si>
  <si>
    <t>Margin %</t>
  </si>
  <si>
    <t>Low Bid w Margin</t>
  </si>
  <si>
    <t>B-0776</t>
  </si>
  <si>
    <t>B-0772</t>
  </si>
  <si>
    <t>B-5290</t>
  </si>
  <si>
    <t>B-0770</t>
  </si>
  <si>
    <t>B-2082</t>
  </si>
  <si>
    <t>A-3884</t>
  </si>
  <si>
    <t>A-0661</t>
  </si>
  <si>
    <t>A-3875</t>
  </si>
  <si>
    <t>B-0779</t>
  </si>
  <si>
    <t>B-0832</t>
  </si>
  <si>
    <t>C-6200</t>
  </si>
  <si>
    <t>B-0844</t>
  </si>
  <si>
    <t>C-0645</t>
  </si>
  <si>
    <t>A-8723-K</t>
  </si>
  <si>
    <t>A-18592</t>
  </si>
  <si>
    <t>A-3873</t>
  </si>
  <si>
    <t>A-3918</t>
  </si>
  <si>
    <t>C-0642</t>
  </si>
  <si>
    <t>D-0752</t>
  </si>
  <si>
    <t>A-3869</t>
  </si>
  <si>
    <t>FN0461GA</t>
  </si>
  <si>
    <t>A-2839</t>
  </si>
  <si>
    <t>A-0724</t>
  </si>
  <si>
    <t>A-21136</t>
  </si>
  <si>
    <t>A-4359</t>
  </si>
  <si>
    <t>A-2076</t>
  </si>
  <si>
    <t>A-2835</t>
  </si>
  <si>
    <t>A-2834</t>
  </si>
  <si>
    <t>A-10754</t>
  </si>
  <si>
    <t>A-17256-A</t>
  </si>
  <si>
    <t>A-18527-A</t>
  </si>
  <si>
    <t>A-2586</t>
  </si>
  <si>
    <t>A-8013</t>
  </si>
  <si>
    <t>A-2399</t>
  </si>
  <si>
    <t>A-2891</t>
  </si>
  <si>
    <t>B-1582-K</t>
  </si>
  <si>
    <t>B-1584-K</t>
  </si>
  <si>
    <t>B-6470-K</t>
  </si>
  <si>
    <t>thrust plate</t>
  </si>
  <si>
    <t>rod bushings</t>
  </si>
  <si>
    <t>cross head bushingd</t>
  </si>
  <si>
    <t>main bearings</t>
  </si>
  <si>
    <t>Rod bearings</t>
  </si>
  <si>
    <t>chain</t>
  </si>
  <si>
    <t>oil filter</t>
  </si>
  <si>
    <t>gasket</t>
  </si>
  <si>
    <t>Gasket</t>
  </si>
  <si>
    <t xml:space="preserve">filter kit </t>
  </si>
  <si>
    <t>lub pump gasket</t>
  </si>
  <si>
    <t>spkt</t>
  </si>
  <si>
    <t>oil pump</t>
  </si>
  <si>
    <t>bolt</t>
  </si>
  <si>
    <t>nut</t>
  </si>
  <si>
    <t>stl gasket</t>
  </si>
  <si>
    <t>O-rings</t>
  </si>
  <si>
    <t>rider bands</t>
  </si>
  <si>
    <t>piston rings</t>
  </si>
  <si>
    <t>DNFT</t>
  </si>
  <si>
    <t>gauge</t>
  </si>
  <si>
    <t>lube pumps</t>
  </si>
  <si>
    <t xml:space="preserve">6T-9T-12T  throws 1 and 3 </t>
  </si>
  <si>
    <t>6T-12T-12T  throws 2 and 4</t>
  </si>
  <si>
    <t>VVCP Packing</t>
  </si>
  <si>
    <t>VVCP rings</t>
  </si>
  <si>
    <t>pressure packing</t>
  </si>
  <si>
    <t>wiper packing</t>
  </si>
  <si>
    <t>Mcclung</t>
  </si>
  <si>
    <t>MATA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</si>
</sst>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&quot;$&quot;#,##0.00"/>
  </numFmts>
  <fonts count="35">
    <font>
      <sz val="10"/>
      <name val="Arial"/>
    </font>
    <font>
      <sz val="1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i/>
      <sz val="12"/>
      <name val="Arial"/>
      <family val="2"/>
    </font>
    <font>
      <sz val="11"/>
      <name val="Arial"/>
      <family val="2"/>
    </font>
    <font>
      <b/>
      <i/>
      <sz val="8"/>
      <color indexed="10"/>
      <name val="Arial"/>
      <family val="2"/>
    </font>
    <font>
      <b/>
      <i/>
      <sz val="12"/>
      <color indexed="10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b/>
      <u/>
      <sz val="9"/>
      <color rgb="FFFF0000"/>
      <name val="Arial"/>
      <family val="2"/>
    </font>
    <font>
      <sz val="1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6"/>
      <name val="Arial"/>
      <family val="2"/>
    </font>
    <font>
      <sz val="11"/>
      <color rgb="FF000000"/>
      <name val="Calibri"/>
      <family val="2"/>
    </font>
    <font>
      <b/>
      <u/>
      <sz val="16"/>
      <name val="Arial"/>
      <family val="2"/>
    </font>
    <font>
      <b/>
      <sz val="20"/>
      <name val="Arial"/>
      <family val="2"/>
    </font>
    <font>
      <sz val="10"/>
      <color rgb="FFFF0000"/>
      <name val="Arial"/>
      <family val="2"/>
    </font>
    <font>
      <b/>
      <sz val="16"/>
      <name val="Arial"/>
      <family val="2"/>
    </font>
    <font>
      <sz val="10"/>
      <color rgb="FF212121"/>
      <name val="&amp;apos"/>
    </font>
    <font>
      <sz val="10"/>
      <color theme="1"/>
      <name val="Arial"/>
      <family val="2"/>
    </font>
    <font>
      <b/>
      <sz val="10"/>
      <color theme="0" tint="-4.9989318521683403E-2"/>
      <name val="Arial"/>
      <family val="2"/>
    </font>
    <font>
      <sz val="2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double">
        <color theme="5"/>
      </bottom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double">
        <color theme="5"/>
      </top>
      <bottom style="double">
        <color theme="5"/>
      </bottom>
      <diagonal/>
    </border>
    <border>
      <left style="thin">
        <color theme="5"/>
      </left>
      <right/>
      <top style="thin">
        <color theme="5"/>
      </top>
      <bottom style="double">
        <color theme="5"/>
      </bottom>
      <diagonal/>
    </border>
    <border>
      <left/>
      <right style="thin">
        <color theme="5"/>
      </right>
      <top style="thin">
        <color theme="5"/>
      </top>
      <bottom style="double">
        <color theme="5"/>
      </bottom>
      <diagonal/>
    </border>
    <border>
      <left style="medium">
        <color indexed="64"/>
      </left>
      <right style="thin">
        <color theme="5"/>
      </right>
      <top style="medium">
        <color indexed="64"/>
      </top>
      <bottom style="thin">
        <color theme="5"/>
      </bottom>
      <diagonal/>
    </border>
    <border>
      <left style="thin">
        <color theme="5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medium">
        <color indexed="64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medium">
        <color indexed="64"/>
      </left>
      <right style="thin">
        <color theme="5"/>
      </right>
      <top style="thin">
        <color theme="5"/>
      </top>
      <bottom style="medium">
        <color indexed="64"/>
      </bottom>
      <diagonal/>
    </border>
    <border>
      <left style="thin">
        <color theme="5"/>
      </left>
      <right style="medium">
        <color indexed="64"/>
      </right>
      <top style="thin">
        <color theme="5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9" fontId="18" fillId="0" borderId="0" applyFont="0" applyFill="0" applyBorder="0" applyAlignment="0" applyProtection="0"/>
  </cellStyleXfs>
  <cellXfs count="367">
    <xf numFmtId="0" fontId="0" fillId="0" borderId="0" xfId="0"/>
    <xf numFmtId="0" fontId="0" fillId="0" borderId="0" xfId="0" applyBorder="1"/>
    <xf numFmtId="0" fontId="6" fillId="0" borderId="0" xfId="0" applyFont="1"/>
    <xf numFmtId="0" fontId="3" fillId="0" borderId="0" xfId="0" applyFont="1"/>
    <xf numFmtId="44" fontId="10" fillId="0" borderId="0" xfId="0" applyNumberFormat="1" applyFont="1" applyFill="1" applyBorder="1" applyAlignment="1" applyProtection="1">
      <alignment horizontal="center"/>
    </xf>
    <xf numFmtId="44" fontId="10" fillId="0" borderId="0" xfId="0" applyNumberFormat="1" applyFont="1" applyFill="1" applyBorder="1" applyAlignment="1">
      <alignment horizontal="center"/>
    </xf>
    <xf numFmtId="44" fontId="9" fillId="0" borderId="0" xfId="0" applyNumberFormat="1" applyFont="1" applyFill="1" applyBorder="1" applyAlignment="1" applyProtection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/>
    <xf numFmtId="0" fontId="10" fillId="0" borderId="0" xfId="0" applyFont="1" applyFill="1" applyBorder="1" applyAlignment="1">
      <alignment horizontal="center"/>
    </xf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/>
    <xf numFmtId="0" fontId="12" fillId="0" borderId="0" xfId="0" applyFont="1" applyBorder="1" applyAlignment="1">
      <alignment horizontal="right"/>
    </xf>
    <xf numFmtId="0" fontId="12" fillId="0" borderId="0" xfId="0" applyFont="1" applyBorder="1" applyAlignment="1">
      <alignment horizontal="center"/>
    </xf>
    <xf numFmtId="44" fontId="12" fillId="0" borderId="0" xfId="0" applyNumberFormat="1" applyFont="1" applyBorder="1"/>
    <xf numFmtId="9" fontId="0" fillId="0" borderId="0" xfId="0" applyNumberFormat="1"/>
    <xf numFmtId="0" fontId="0" fillId="0" borderId="0" xfId="0" applyAlignment="1">
      <alignment horizontal="center" vertical="top" wrapText="1"/>
    </xf>
    <xf numFmtId="0" fontId="6" fillId="0" borderId="0" xfId="0" applyFont="1" applyAlignment="1">
      <alignment horizontal="right"/>
    </xf>
    <xf numFmtId="9" fontId="0" fillId="0" borderId="0" xfId="0" applyNumberFormat="1" applyFill="1" applyBorder="1"/>
    <xf numFmtId="2" fontId="0" fillId="0" borderId="0" xfId="0" applyNumberFormat="1"/>
    <xf numFmtId="0" fontId="12" fillId="0" borderId="0" xfId="0" applyFont="1" applyFill="1" applyBorder="1" applyAlignment="1" applyProtection="1">
      <alignment horizontal="center"/>
      <protection locked="0"/>
    </xf>
    <xf numFmtId="44" fontId="0" fillId="0" borderId="0" xfId="1" applyFont="1" applyBorder="1"/>
    <xf numFmtId="44" fontId="6" fillId="0" borderId="0" xfId="1" applyFont="1"/>
    <xf numFmtId="44" fontId="0" fillId="0" borderId="0" xfId="0" applyNumberFormat="1" applyBorder="1"/>
    <xf numFmtId="0" fontId="0" fillId="0" borderId="0" xfId="0" applyNumberForma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4" fontId="10" fillId="0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left"/>
    </xf>
    <xf numFmtId="44" fontId="10" fillId="0" borderId="0" xfId="0" applyNumberFormat="1" applyFont="1" applyBorder="1" applyAlignment="1">
      <alignment horizontal="left"/>
    </xf>
    <xf numFmtId="44" fontId="9" fillId="0" borderId="0" xfId="0" applyNumberFormat="1" applyFont="1" applyBorder="1" applyAlignment="1">
      <alignment horizontal="left"/>
    </xf>
    <xf numFmtId="44" fontId="1" fillId="0" borderId="0" xfId="0" applyNumberFormat="1" applyFont="1" applyBorder="1"/>
    <xf numFmtId="0" fontId="0" fillId="0" borderId="0" xfId="0" applyFill="1" applyBorder="1"/>
    <xf numFmtId="0" fontId="12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44" fontId="0" fillId="0" borderId="0" xfId="0" applyNumberFormat="1" applyFill="1" applyBorder="1"/>
    <xf numFmtId="44" fontId="24" fillId="0" borderId="0" xfId="0" applyNumberFormat="1" applyFont="1" applyFill="1" applyBorder="1"/>
    <xf numFmtId="0" fontId="24" fillId="0" borderId="0" xfId="0" applyFont="1" applyFill="1" applyBorder="1"/>
    <xf numFmtId="164" fontId="22" fillId="0" borderId="0" xfId="0" applyNumberFormat="1" applyFont="1" applyFill="1" applyBorder="1" applyAlignment="1">
      <alignment horizontal="center"/>
    </xf>
    <xf numFmtId="44" fontId="22" fillId="0" borderId="0" xfId="0" applyNumberFormat="1" applyFont="1" applyFill="1" applyBorder="1" applyAlignment="1">
      <alignment horizontal="center"/>
    </xf>
    <xf numFmtId="164" fontId="25" fillId="0" borderId="0" xfId="0" applyNumberFormat="1" applyFont="1" applyFill="1" applyBorder="1" applyAlignment="1">
      <alignment horizontal="center"/>
    </xf>
    <xf numFmtId="44" fontId="25" fillId="0" borderId="0" xfId="0" applyNumberFormat="1" applyFont="1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left" vertical="center"/>
    </xf>
    <xf numFmtId="0" fontId="0" fillId="0" borderId="2" xfId="0" applyBorder="1"/>
    <xf numFmtId="0" fontId="12" fillId="0" borderId="3" xfId="0" applyFont="1" applyBorder="1" applyAlignment="1">
      <alignment horizontal="left" vertical="center"/>
    </xf>
    <xf numFmtId="0" fontId="12" fillId="0" borderId="3" xfId="0" applyFont="1" applyBorder="1"/>
    <xf numFmtId="0" fontId="12" fillId="0" borderId="3" xfId="0" applyFont="1" applyBorder="1" applyAlignment="1">
      <alignment horizontal="center"/>
    </xf>
    <xf numFmtId="0" fontId="12" fillId="6" borderId="3" xfId="0" applyFont="1" applyFill="1" applyBorder="1"/>
    <xf numFmtId="0" fontId="0" fillId="0" borderId="3" xfId="0" applyBorder="1" applyAlignment="1">
      <alignment horizontal="left" vertical="center" wrapText="1"/>
    </xf>
    <xf numFmtId="0" fontId="4" fillId="0" borderId="3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/>
      <protection locked="0"/>
    </xf>
    <xf numFmtId="2" fontId="4" fillId="0" borderId="3" xfId="0" applyNumberFormat="1" applyFont="1" applyFill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0" fillId="0" borderId="3" xfId="0" applyBorder="1"/>
    <xf numFmtId="0" fontId="12" fillId="6" borderId="0" xfId="0" applyFont="1" applyFill="1" applyBorder="1" applyAlignment="1">
      <alignment horizontal="right"/>
    </xf>
    <xf numFmtId="0" fontId="12" fillId="6" borderId="0" xfId="0" applyFont="1" applyFill="1" applyBorder="1"/>
    <xf numFmtId="0" fontId="9" fillId="0" borderId="3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3" fillId="2" borderId="3" xfId="0" applyFont="1" applyFill="1" applyBorder="1" applyAlignment="1" applyProtection="1">
      <alignment horizontal="center" vertical="center"/>
    </xf>
    <xf numFmtId="0" fontId="9" fillId="0" borderId="3" xfId="0" applyNumberFormat="1" applyFont="1" applyFill="1" applyBorder="1" applyAlignment="1" applyProtection="1">
      <alignment horizontal="center"/>
    </xf>
    <xf numFmtId="0" fontId="9" fillId="0" borderId="3" xfId="0" applyFont="1" applyFill="1" applyBorder="1" applyAlignment="1" applyProtection="1">
      <alignment horizontal="center"/>
    </xf>
    <xf numFmtId="44" fontId="9" fillId="0" borderId="3" xfId="0" applyNumberFormat="1" applyFont="1" applyFill="1" applyBorder="1" applyAlignment="1" applyProtection="1">
      <alignment horizontal="center"/>
    </xf>
    <xf numFmtId="0" fontId="10" fillId="0" borderId="3" xfId="0" applyFont="1" applyFill="1" applyBorder="1" applyProtection="1"/>
    <xf numFmtId="0" fontId="10" fillId="0" borderId="3" xfId="0" applyNumberFormat="1" applyFont="1" applyFill="1" applyBorder="1" applyAlignment="1" applyProtection="1">
      <alignment horizontal="center"/>
      <protection locked="0"/>
    </xf>
    <xf numFmtId="2" fontId="10" fillId="0" borderId="3" xfId="0" applyNumberFormat="1" applyFont="1" applyFill="1" applyBorder="1" applyAlignment="1" applyProtection="1">
      <alignment horizontal="center"/>
      <protection locked="0"/>
    </xf>
    <xf numFmtId="0" fontId="10" fillId="0" borderId="3" xfId="0" applyFont="1" applyFill="1" applyBorder="1" applyAlignment="1" applyProtection="1">
      <alignment horizontal="center"/>
      <protection locked="0"/>
    </xf>
    <xf numFmtId="0" fontId="9" fillId="0" borderId="3" xfId="0" applyFont="1" applyFill="1" applyBorder="1" applyAlignment="1">
      <alignment vertical="center"/>
    </xf>
    <xf numFmtId="0" fontId="9" fillId="2" borderId="3" xfId="0" applyFont="1" applyFill="1" applyBorder="1" applyProtection="1"/>
    <xf numFmtId="0" fontId="10" fillId="0" borderId="3" xfId="0" applyFont="1" applyBorder="1"/>
    <xf numFmtId="44" fontId="10" fillId="0" borderId="3" xfId="0" applyNumberFormat="1" applyFont="1" applyFill="1" applyBorder="1" applyAlignment="1" applyProtection="1">
      <alignment horizontal="center"/>
      <protection locked="0"/>
    </xf>
    <xf numFmtId="0" fontId="9" fillId="0" borderId="3" xfId="0" applyFont="1" applyBorder="1"/>
    <xf numFmtId="0" fontId="9" fillId="0" borderId="3" xfId="0" applyFont="1" applyBorder="1" applyProtection="1"/>
    <xf numFmtId="0" fontId="0" fillId="0" borderId="3" xfId="0" applyBorder="1" applyAlignment="1" applyProtection="1">
      <alignment horizontal="center"/>
      <protection locked="0"/>
    </xf>
    <xf numFmtId="44" fontId="0" fillId="0" borderId="3" xfId="0" applyNumberFormat="1" applyBorder="1" applyAlignment="1" applyProtection="1">
      <alignment horizontal="center"/>
      <protection locked="0"/>
    </xf>
    <xf numFmtId="0" fontId="3" fillId="0" borderId="3" xfId="0" applyFont="1" applyBorder="1" applyAlignment="1">
      <alignment horizontal="center"/>
    </xf>
    <xf numFmtId="0" fontId="11" fillId="0" borderId="3" xfId="0" applyFont="1" applyBorder="1"/>
    <xf numFmtId="0" fontId="0" fillId="0" borderId="3" xfId="0" applyBorder="1" applyAlignment="1">
      <alignment horizontal="center"/>
    </xf>
    <xf numFmtId="44" fontId="0" fillId="0" borderId="3" xfId="0" applyNumberFormat="1" applyBorder="1"/>
    <xf numFmtId="0" fontId="12" fillId="0" borderId="3" xfId="0" applyFont="1" applyBorder="1" applyAlignment="1"/>
    <xf numFmtId="0" fontId="3" fillId="0" borderId="3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right"/>
    </xf>
    <xf numFmtId="0" fontId="10" fillId="0" borderId="2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4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44" fontId="6" fillId="0" borderId="3" xfId="1" applyFont="1" applyBorder="1"/>
    <xf numFmtId="44" fontId="7" fillId="0" borderId="3" xfId="0" applyNumberFormat="1" applyFont="1" applyFill="1" applyBorder="1"/>
    <xf numFmtId="0" fontId="7" fillId="0" borderId="3" xfId="0" applyFont="1" applyFill="1" applyBorder="1"/>
    <xf numFmtId="164" fontId="6" fillId="0" borderId="8" xfId="0" applyNumberFormat="1" applyFont="1" applyBorder="1" applyAlignment="1">
      <alignment horizontal="center"/>
    </xf>
    <xf numFmtId="0" fontId="6" fillId="0" borderId="0" xfId="0" applyFont="1" applyBorder="1"/>
    <xf numFmtId="0" fontId="6" fillId="0" borderId="9" xfId="0" applyFont="1" applyBorder="1"/>
    <xf numFmtId="164" fontId="6" fillId="0" borderId="10" xfId="0" applyNumberFormat="1" applyFont="1" applyBorder="1" applyAlignment="1">
      <alignment horizontal="center"/>
    </xf>
    <xf numFmtId="0" fontId="6" fillId="0" borderId="1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/>
    <xf numFmtId="44" fontId="7" fillId="0" borderId="3" xfId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0" fillId="0" borderId="3" xfId="0" applyBorder="1" applyAlignment="1">
      <alignment horizontal="left"/>
    </xf>
    <xf numFmtId="0" fontId="1" fillId="3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left" vertical="center" wrapText="1"/>
    </xf>
    <xf numFmtId="1" fontId="1" fillId="0" borderId="3" xfId="0" applyNumberFormat="1" applyFont="1" applyFill="1" applyBorder="1" applyAlignment="1" applyProtection="1">
      <alignment horizontal="center"/>
      <protection locked="0"/>
    </xf>
    <xf numFmtId="44" fontId="6" fillId="0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26" fillId="0" borderId="3" xfId="0" applyFont="1" applyBorder="1" applyAlignment="1">
      <alignment wrapText="1"/>
    </xf>
    <xf numFmtId="0" fontId="1" fillId="3" borderId="3" xfId="0" applyFont="1" applyFill="1" applyBorder="1" applyAlignment="1" applyProtection="1">
      <alignment horizontal="left" wrapText="1"/>
      <protection locked="0"/>
    </xf>
    <xf numFmtId="0" fontId="1" fillId="0" borderId="3" xfId="0" applyFont="1" applyBorder="1" applyAlignment="1" applyProtection="1">
      <alignment horizontal="left" wrapText="1"/>
      <protection locked="0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3" xfId="0" applyNumberFormat="1" applyFont="1" applyFill="1" applyBorder="1" applyAlignment="1">
      <alignment horizontal="left" vertical="center" wrapText="1"/>
    </xf>
    <xf numFmtId="0" fontId="1" fillId="0" borderId="3" xfId="4" applyFont="1" applyBorder="1" applyAlignment="1" applyProtection="1">
      <alignment horizontal="left" wrapText="1"/>
      <protection locked="0"/>
    </xf>
    <xf numFmtId="0" fontId="1" fillId="0" borderId="3" xfId="4" applyNumberFormat="1" applyFont="1" applyBorder="1" applyAlignment="1" applyProtection="1">
      <alignment horizontal="left" wrapText="1"/>
      <protection locked="0"/>
    </xf>
    <xf numFmtId="0" fontId="8" fillId="0" borderId="3" xfId="4" applyNumberFormat="1" applyBorder="1" applyAlignment="1" applyProtection="1">
      <alignment horizontal="left" wrapText="1"/>
      <protection locked="0"/>
    </xf>
    <xf numFmtId="0" fontId="8" fillId="0" borderId="3" xfId="4" applyBorder="1" applyAlignment="1" applyProtection="1">
      <alignment horizontal="left" wrapText="1"/>
      <protection locked="0"/>
    </xf>
    <xf numFmtId="0" fontId="0" fillId="0" borderId="3" xfId="0" applyNumberFormat="1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 wrapText="1"/>
      <protection locked="0"/>
    </xf>
    <xf numFmtId="0" fontId="12" fillId="0" borderId="3" xfId="0" applyFont="1" applyBorder="1" applyAlignment="1" applyProtection="1">
      <alignment horizontal="left" wrapText="1"/>
      <protection locked="0"/>
    </xf>
    <xf numFmtId="0" fontId="8" fillId="0" borderId="3" xfId="0" applyFont="1" applyBorder="1" applyAlignment="1" applyProtection="1">
      <alignment horizontal="left" wrapText="1"/>
      <protection locked="0"/>
    </xf>
    <xf numFmtId="0" fontId="12" fillId="0" borderId="14" xfId="0" applyFont="1" applyBorder="1" applyAlignment="1">
      <alignment horizontal="right"/>
    </xf>
    <xf numFmtId="0" fontId="0" fillId="0" borderId="15" xfId="0" applyBorder="1"/>
    <xf numFmtId="0" fontId="0" fillId="0" borderId="15" xfId="0" applyBorder="1" applyAlignment="1">
      <alignment horizontal="center"/>
    </xf>
    <xf numFmtId="0" fontId="1" fillId="0" borderId="3" xfId="0" applyFont="1" applyBorder="1"/>
    <xf numFmtId="0" fontId="12" fillId="0" borderId="16" xfId="0" applyFont="1" applyBorder="1" applyAlignment="1">
      <alignment horizontal="right"/>
    </xf>
    <xf numFmtId="10" fontId="0" fillId="0" borderId="3" xfId="0" applyNumberFormat="1" applyBorder="1"/>
    <xf numFmtId="0" fontId="0" fillId="0" borderId="15" xfId="0" applyBorder="1" applyAlignment="1">
      <alignment horizontal="center" vertical="top" wrapText="1"/>
    </xf>
    <xf numFmtId="9" fontId="8" fillId="0" borderId="3" xfId="0" applyNumberFormat="1" applyFont="1" applyFill="1" applyBorder="1" applyAlignment="1">
      <alignment horizontal="center"/>
    </xf>
    <xf numFmtId="9" fontId="0" fillId="0" borderId="3" xfId="0" applyNumberFormat="1" applyFill="1" applyBorder="1" applyAlignment="1" applyProtection="1">
      <alignment horizontal="center"/>
      <protection locked="0"/>
    </xf>
    <xf numFmtId="0" fontId="12" fillId="8" borderId="0" xfId="0" applyFont="1" applyFill="1" applyAlignment="1">
      <alignment horizontal="left" wrapText="1"/>
    </xf>
    <xf numFmtId="9" fontId="20" fillId="4" borderId="3" xfId="5" applyFont="1" applyFill="1" applyBorder="1"/>
    <xf numFmtId="9" fontId="25" fillId="5" borderId="3" xfId="5" applyFont="1" applyFill="1" applyBorder="1" applyAlignment="1">
      <alignment horizontal="right"/>
    </xf>
    <xf numFmtId="44" fontId="4" fillId="4" borderId="14" xfId="1" applyFont="1" applyFill="1" applyBorder="1"/>
    <xf numFmtId="44" fontId="4" fillId="4" borderId="14" xfId="0" applyNumberFormat="1" applyFont="1" applyFill="1" applyBorder="1"/>
    <xf numFmtId="9" fontId="4" fillId="4" borderId="15" xfId="5" applyFont="1" applyFill="1" applyBorder="1"/>
    <xf numFmtId="44" fontId="4" fillId="9" borderId="14" xfId="1" applyFont="1" applyFill="1" applyBorder="1"/>
    <xf numFmtId="9" fontId="4" fillId="9" borderId="3" xfId="5" applyFont="1" applyFill="1" applyBorder="1"/>
    <xf numFmtId="0" fontId="12" fillId="0" borderId="3" xfId="0" applyFont="1" applyBorder="1" applyAlignment="1">
      <alignment horizontal="center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 applyAlignment="1">
      <alignment horizontal="center"/>
    </xf>
    <xf numFmtId="15" fontId="0" fillId="10" borderId="3" xfId="0" quotePrefix="1" applyNumberFormat="1" applyFill="1" applyBorder="1" applyAlignment="1" applyProtection="1">
      <alignment horizontal="center"/>
      <protection locked="0"/>
    </xf>
    <xf numFmtId="2" fontId="0" fillId="10" borderId="3" xfId="0" applyNumberFormat="1" applyFill="1" applyBorder="1" applyAlignment="1">
      <alignment horizontal="center"/>
    </xf>
    <xf numFmtId="0" fontId="12" fillId="10" borderId="14" xfId="0" applyFont="1" applyFill="1" applyBorder="1" applyAlignment="1">
      <alignment horizontal="center"/>
    </xf>
    <xf numFmtId="44" fontId="12" fillId="10" borderId="14" xfId="0" applyNumberFormat="1" applyFont="1" applyFill="1" applyBorder="1"/>
    <xf numFmtId="44" fontId="0" fillId="10" borderId="15" xfId="0" applyNumberFormat="1" applyFill="1" applyBorder="1" applyAlignment="1">
      <alignment horizontal="center"/>
    </xf>
    <xf numFmtId="44" fontId="0" fillId="10" borderId="3" xfId="0" applyNumberFormat="1" applyFill="1" applyBorder="1" applyAlignment="1">
      <alignment horizontal="center"/>
    </xf>
    <xf numFmtId="44" fontId="0" fillId="10" borderId="4" xfId="0" applyNumberFormat="1" applyFill="1" applyBorder="1" applyAlignment="1">
      <alignment horizontal="center"/>
    </xf>
    <xf numFmtId="44" fontId="0" fillId="10" borderId="3" xfId="0" applyNumberFormat="1" applyFill="1" applyBorder="1"/>
    <xf numFmtId="44" fontId="12" fillId="10" borderId="16" xfId="0" applyNumberFormat="1" applyFont="1" applyFill="1" applyBorder="1" applyAlignment="1">
      <alignment horizontal="center"/>
    </xf>
    <xf numFmtId="0" fontId="12" fillId="10" borderId="3" xfId="0" applyFont="1" applyFill="1" applyBorder="1" applyAlignment="1" applyProtection="1">
      <alignment horizontal="center"/>
      <protection locked="0"/>
    </xf>
    <xf numFmtId="0" fontId="12" fillId="10" borderId="3" xfId="0" applyFont="1" applyFill="1" applyBorder="1" applyAlignment="1">
      <alignment horizontal="center"/>
    </xf>
    <xf numFmtId="0" fontId="12" fillId="10" borderId="15" xfId="0" applyFont="1" applyFill="1" applyBorder="1" applyAlignment="1" applyProtection="1">
      <alignment horizontal="center"/>
      <protection locked="0"/>
    </xf>
    <xf numFmtId="0" fontId="12" fillId="10" borderId="17" xfId="0" applyFont="1" applyFill="1" applyBorder="1" applyAlignment="1" applyProtection="1">
      <alignment horizontal="center"/>
      <protection locked="0"/>
    </xf>
    <xf numFmtId="0" fontId="12" fillId="10" borderId="15" xfId="0" applyFont="1" applyFill="1" applyBorder="1" applyAlignment="1">
      <alignment horizontal="center"/>
    </xf>
    <xf numFmtId="44" fontId="0" fillId="10" borderId="14" xfId="0" applyNumberFormat="1" applyFill="1" applyBorder="1"/>
    <xf numFmtId="44" fontId="12" fillId="10" borderId="3" xfId="0" applyNumberFormat="1" applyFont="1" applyFill="1" applyBorder="1" applyAlignment="1">
      <alignment horizontal="center" vertical="center"/>
    </xf>
    <xf numFmtId="44" fontId="12" fillId="10" borderId="12" xfId="0" applyNumberFormat="1" applyFont="1" applyFill="1" applyBorder="1" applyAlignment="1">
      <alignment horizontal="center" vertical="center"/>
    </xf>
    <xf numFmtId="44" fontId="0" fillId="10" borderId="3" xfId="1" applyFont="1" applyFill="1" applyBorder="1"/>
    <xf numFmtId="44" fontId="0" fillId="10" borderId="15" xfId="1" applyFont="1" applyFill="1" applyBorder="1"/>
    <xf numFmtId="0" fontId="8" fillId="10" borderId="3" xfId="0" applyFont="1" applyFill="1" applyBorder="1" applyAlignment="1">
      <alignment horizontal="center"/>
    </xf>
    <xf numFmtId="15" fontId="8" fillId="10" borderId="3" xfId="0" applyNumberFormat="1" applyFont="1" applyFill="1" applyBorder="1" applyAlignment="1" applyProtection="1">
      <alignment horizontal="center"/>
      <protection locked="0"/>
    </xf>
    <xf numFmtId="44" fontId="10" fillId="10" borderId="3" xfId="1" applyNumberFormat="1" applyFont="1" applyFill="1" applyBorder="1" applyAlignment="1" applyProtection="1">
      <alignment horizontal="center"/>
      <protection locked="0"/>
    </xf>
    <xf numFmtId="2" fontId="10" fillId="10" borderId="3" xfId="0" applyNumberFormat="1" applyFont="1" applyFill="1" applyBorder="1" applyAlignment="1" applyProtection="1">
      <alignment horizontal="center"/>
    </xf>
    <xf numFmtId="2" fontId="12" fillId="10" borderId="3" xfId="0" applyNumberFormat="1" applyFont="1" applyFill="1" applyBorder="1" applyAlignment="1" applyProtection="1">
      <alignment horizontal="center"/>
    </xf>
    <xf numFmtId="2" fontId="8" fillId="10" borderId="3" xfId="0" applyNumberFormat="1" applyFont="1" applyFill="1" applyBorder="1" applyAlignment="1">
      <alignment horizontal="center"/>
    </xf>
    <xf numFmtId="44" fontId="10" fillId="10" borderId="3" xfId="1" applyFont="1" applyFill="1" applyBorder="1" applyAlignment="1" applyProtection="1">
      <alignment horizontal="center"/>
    </xf>
    <xf numFmtId="44" fontId="12" fillId="10" borderId="3" xfId="0" applyNumberFormat="1" applyFont="1" applyFill="1" applyBorder="1"/>
    <xf numFmtId="15" fontId="8" fillId="10" borderId="3" xfId="0" applyNumberFormat="1" applyFont="1" applyFill="1" applyBorder="1" applyAlignment="1">
      <alignment horizontal="center"/>
    </xf>
    <xf numFmtId="3" fontId="10" fillId="10" borderId="3" xfId="0" applyNumberFormat="1" applyFont="1" applyFill="1" applyBorder="1" applyAlignment="1">
      <alignment horizontal="center"/>
    </xf>
    <xf numFmtId="164" fontId="10" fillId="10" borderId="3" xfId="0" applyNumberFormat="1" applyFont="1" applyFill="1" applyBorder="1" applyAlignment="1" applyProtection="1">
      <alignment horizontal="center"/>
      <protection locked="0"/>
    </xf>
    <xf numFmtId="0" fontId="12" fillId="10" borderId="3" xfId="0" applyFont="1" applyFill="1" applyBorder="1" applyAlignment="1">
      <alignment horizontal="center" vertical="center"/>
    </xf>
    <xf numFmtId="44" fontId="11" fillId="10" borderId="3" xfId="0" applyNumberFormat="1" applyFont="1" applyFill="1" applyBorder="1" applyAlignment="1">
      <alignment horizontal="center" vertical="center"/>
    </xf>
    <xf numFmtId="0" fontId="4" fillId="10" borderId="3" xfId="0" applyFont="1" applyFill="1" applyBorder="1" applyAlignment="1" applyProtection="1">
      <alignment horizontal="center"/>
      <protection locked="0"/>
    </xf>
    <xf numFmtId="0" fontId="3" fillId="10" borderId="3" xfId="0" applyFont="1" applyFill="1" applyBorder="1" applyAlignment="1" applyProtection="1">
      <alignment horizontal="center" vertical="center" wrapText="1"/>
    </xf>
    <xf numFmtId="2" fontId="14" fillId="10" borderId="3" xfId="0" applyNumberFormat="1" applyFont="1" applyFill="1" applyBorder="1" applyAlignment="1" applyProtection="1">
      <alignment horizontal="center" wrapText="1"/>
    </xf>
    <xf numFmtId="2" fontId="3" fillId="10" borderId="3" xfId="0" applyNumberFormat="1" applyFont="1" applyFill="1" applyBorder="1" applyAlignment="1" applyProtection="1">
      <alignment horizontal="center" vertical="center"/>
    </xf>
    <xf numFmtId="2" fontId="5" fillId="10" borderId="3" xfId="0" applyNumberFormat="1" applyFont="1" applyFill="1" applyBorder="1" applyAlignment="1" applyProtection="1">
      <alignment horizontal="center"/>
    </xf>
    <xf numFmtId="2" fontId="4" fillId="7" borderId="3" xfId="0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/>
    <xf numFmtId="0" fontId="0" fillId="0" borderId="12" xfId="0" applyBorder="1" applyAlignment="1"/>
    <xf numFmtId="0" fontId="3" fillId="10" borderId="3" xfId="0" applyFont="1" applyFill="1" applyBorder="1"/>
    <xf numFmtId="164" fontId="10" fillId="10" borderId="14" xfId="0" applyNumberFormat="1" applyFont="1" applyFill="1" applyBorder="1" applyAlignment="1">
      <alignment horizontal="center"/>
    </xf>
    <xf numFmtId="164" fontId="7" fillId="10" borderId="3" xfId="0" applyNumberFormat="1" applyFont="1" applyFill="1" applyBorder="1" applyAlignment="1">
      <alignment horizontal="right"/>
    </xf>
    <xf numFmtId="164" fontId="9" fillId="10" borderId="3" xfId="0" applyNumberFormat="1" applyFont="1" applyFill="1" applyBorder="1" applyAlignment="1">
      <alignment horizontal="center"/>
    </xf>
    <xf numFmtId="164" fontId="19" fillId="10" borderId="3" xfId="0" applyNumberFormat="1" applyFont="1" applyFill="1" applyBorder="1"/>
    <xf numFmtId="164" fontId="6" fillId="10" borderId="3" xfId="0" applyNumberFormat="1" applyFont="1" applyFill="1" applyBorder="1" applyAlignment="1">
      <alignment horizontal="right"/>
    </xf>
    <xf numFmtId="0" fontId="12" fillId="0" borderId="0" xfId="0" applyFont="1" applyFill="1" applyBorder="1" applyAlignment="1"/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4" fontId="0" fillId="10" borderId="3" xfId="0" applyNumberFormat="1" applyFill="1" applyBorder="1" applyAlignment="1">
      <alignment horizontal="center" vertical="center"/>
    </xf>
    <xf numFmtId="14" fontId="0" fillId="0" borderId="3" xfId="0" applyNumberFormat="1" applyFill="1" applyBorder="1"/>
    <xf numFmtId="14" fontId="0" fillId="10" borderId="3" xfId="0" applyNumberFormat="1" applyFill="1" applyBorder="1"/>
    <xf numFmtId="0" fontId="29" fillId="0" borderId="0" xfId="0" applyFont="1"/>
    <xf numFmtId="0" fontId="7" fillId="6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 vertical="distributed" wrapText="1"/>
    </xf>
    <xf numFmtId="0" fontId="0" fillId="3" borderId="0" xfId="0" applyFill="1" applyBorder="1"/>
    <xf numFmtId="0" fontId="0" fillId="11" borderId="0" xfId="0" applyFill="1"/>
    <xf numFmtId="9" fontId="1" fillId="0" borderId="3" xfId="5" applyFont="1" applyBorder="1" applyAlignment="1" applyProtection="1">
      <alignment horizontal="center"/>
      <protection locked="0"/>
    </xf>
    <xf numFmtId="9" fontId="31" fillId="0" borderId="0" xfId="5" applyFont="1" applyAlignment="1">
      <alignment vertical="center" wrapText="1"/>
    </xf>
    <xf numFmtId="0" fontId="0" fillId="10" borderId="3" xfId="0" applyFill="1" applyBorder="1" applyAlignment="1">
      <alignment horizontal="center" wrapText="1"/>
    </xf>
    <xf numFmtId="0" fontId="12" fillId="6" borderId="3" xfId="0" applyFont="1" applyFill="1" applyBorder="1" applyAlignment="1">
      <alignment horizontal="center" vertical="center"/>
    </xf>
    <xf numFmtId="11" fontId="26" fillId="0" borderId="3" xfId="0" applyNumberFormat="1" applyFont="1" applyFill="1" applyBorder="1" applyAlignment="1">
      <alignment wrapText="1"/>
    </xf>
    <xf numFmtId="0" fontId="26" fillId="0" borderId="3" xfId="0" applyFont="1" applyFill="1" applyBorder="1" applyAlignment="1">
      <alignment wrapText="1"/>
    </xf>
    <xf numFmtId="0" fontId="0" fillId="0" borderId="3" xfId="0" applyFill="1" applyBorder="1" applyAlignment="1">
      <alignment horizontal="left" wrapText="1"/>
    </xf>
    <xf numFmtId="0" fontId="1" fillId="0" borderId="3" xfId="4" applyFont="1" applyFill="1" applyBorder="1" applyAlignment="1" applyProtection="1">
      <alignment horizontal="left" wrapText="1"/>
      <protection locked="0"/>
    </xf>
    <xf numFmtId="11" fontId="1" fillId="0" borderId="3" xfId="4" applyNumberFormat="1" applyFont="1" applyFill="1" applyBorder="1" applyAlignment="1" applyProtection="1">
      <alignment horizontal="left" wrapText="1"/>
      <protection locked="0"/>
    </xf>
    <xf numFmtId="0" fontId="1" fillId="0" borderId="3" xfId="4" applyNumberFormat="1" applyFont="1" applyFill="1" applyBorder="1" applyAlignment="1" applyProtection="1">
      <alignment horizontal="left" wrapText="1"/>
      <protection locked="0"/>
    </xf>
    <xf numFmtId="0" fontId="1" fillId="0" borderId="3" xfId="0" applyFont="1" applyFill="1" applyBorder="1" applyAlignment="1">
      <alignment horizontal="center" vertical="center" wrapText="1"/>
    </xf>
    <xf numFmtId="1" fontId="1" fillId="0" borderId="3" xfId="4" applyNumberFormat="1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2" fillId="0" borderId="3" xfId="0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0" borderId="3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left"/>
    </xf>
    <xf numFmtId="0" fontId="30" fillId="6" borderId="3" xfId="0" applyFont="1" applyFill="1" applyBorder="1" applyAlignment="1">
      <alignment horizontal="center" vertical="center"/>
    </xf>
    <xf numFmtId="0" fontId="13" fillId="0" borderId="3" xfId="3" applyBorder="1" applyAlignment="1" applyProtection="1">
      <alignment horizontal="left" wrapText="1"/>
    </xf>
    <xf numFmtId="14" fontId="0" fillId="0" borderId="3" xfId="0" applyNumberFormat="1" applyBorder="1" applyAlignment="1">
      <alignment horizontal="left" wrapText="1"/>
    </xf>
    <xf numFmtId="0" fontId="2" fillId="6" borderId="0" xfId="0" applyFont="1" applyFill="1" applyBorder="1" applyAlignment="1" applyProtection="1">
      <alignment horizontal="center"/>
    </xf>
    <xf numFmtId="0" fontId="3" fillId="0" borderId="3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center"/>
    </xf>
    <xf numFmtId="0" fontId="4" fillId="10" borderId="3" xfId="0" applyFont="1" applyFill="1" applyBorder="1" applyAlignment="1" applyProtection="1">
      <alignment horizontal="center"/>
      <protection locked="0"/>
    </xf>
    <xf numFmtId="49" fontId="2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3" fillId="0" borderId="3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left" wrapText="1"/>
      <protection locked="0"/>
    </xf>
    <xf numFmtId="0" fontId="3" fillId="0" borderId="3" xfId="0" applyFont="1" applyFill="1" applyBorder="1" applyAlignment="1" applyProtection="1">
      <alignment horizontal="center"/>
      <protection locked="0"/>
    </xf>
    <xf numFmtId="0" fontId="13" fillId="0" borderId="3" xfId="3" applyBorder="1" applyAlignment="1" applyProtection="1"/>
    <xf numFmtId="0" fontId="4" fillId="0" borderId="3" xfId="0" applyFont="1" applyBorder="1"/>
    <xf numFmtId="0" fontId="3" fillId="0" borderId="3" xfId="0" applyFont="1" applyBorder="1" applyAlignment="1">
      <alignment horizontal="left"/>
    </xf>
    <xf numFmtId="0" fontId="5" fillId="0" borderId="3" xfId="0" applyFont="1" applyFill="1" applyBorder="1" applyAlignment="1" applyProtection="1">
      <alignment horizontal="center" vertical="center" wrapText="1"/>
    </xf>
    <xf numFmtId="0" fontId="11" fillId="0" borderId="3" xfId="0" applyFont="1" applyFill="1" applyBorder="1" applyAlignment="1" applyProtection="1">
      <alignment horizontal="center" vertical="center"/>
    </xf>
    <xf numFmtId="0" fontId="11" fillId="0" borderId="3" xfId="0" applyFont="1" applyFill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</xf>
    <xf numFmtId="0" fontId="11" fillId="10" borderId="3" xfId="0" applyFont="1" applyFill="1" applyBorder="1" applyAlignment="1" applyProtection="1">
      <alignment horizontal="center" vertical="center" wrapText="1"/>
      <protection locked="0"/>
    </xf>
    <xf numFmtId="0" fontId="15" fillId="10" borderId="3" xfId="0" applyFont="1" applyFill="1" applyBorder="1" applyAlignment="1" applyProtection="1">
      <alignment horizontal="center" vertical="center" wrapText="1"/>
      <protection locked="0"/>
    </xf>
    <xf numFmtId="15" fontId="4" fillId="10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3" fillId="6" borderId="3" xfId="0" applyFont="1" applyFill="1" applyBorder="1" applyAlignment="1" applyProtection="1">
      <alignment horizontal="center" vertical="center" wrapText="1"/>
    </xf>
    <xf numFmtId="0" fontId="11" fillId="0" borderId="3" xfId="0" applyFont="1" applyFill="1" applyBorder="1" applyAlignment="1" applyProtection="1">
      <alignment horizontal="center" vertical="center" wrapText="1"/>
    </xf>
    <xf numFmtId="0" fontId="3" fillId="0" borderId="3" xfId="0" applyFont="1" applyBorder="1" applyAlignment="1" applyProtection="1">
      <alignment horizontal="left" wrapText="1"/>
      <protection locked="0"/>
    </xf>
    <xf numFmtId="0" fontId="9" fillId="0" borderId="3" xfId="0" applyFont="1" applyBorder="1" applyAlignment="1" applyProtection="1">
      <alignment horizontal="center"/>
    </xf>
    <xf numFmtId="49" fontId="9" fillId="10" borderId="3" xfId="0" applyNumberFormat="1" applyFont="1" applyFill="1" applyBorder="1" applyAlignment="1" applyProtection="1">
      <alignment vertical="center"/>
      <protection locked="0"/>
    </xf>
    <xf numFmtId="0" fontId="0" fillId="10" borderId="13" xfId="0" applyFill="1" applyBorder="1" applyAlignment="1" applyProtection="1">
      <alignment vertical="center"/>
      <protection locked="0"/>
    </xf>
    <xf numFmtId="0" fontId="0" fillId="10" borderId="12" xfId="0" applyFill="1" applyBorder="1" applyAlignment="1" applyProtection="1">
      <alignment vertical="center"/>
      <protection locked="0"/>
    </xf>
    <xf numFmtId="0" fontId="11" fillId="6" borderId="3" xfId="0" applyFont="1" applyFill="1" applyBorder="1" applyAlignment="1">
      <alignment horizontal="center"/>
    </xf>
    <xf numFmtId="49" fontId="3" fillId="10" borderId="3" xfId="0" applyNumberFormat="1" applyFont="1" applyFill="1" applyBorder="1" applyAlignment="1" applyProtection="1">
      <alignment horizontal="left" vertical="center" wrapText="1" indent="3"/>
      <protection locked="0"/>
    </xf>
    <xf numFmtId="0" fontId="3" fillId="10" borderId="3" xfId="0" applyNumberFormat="1" applyFont="1" applyFill="1" applyBorder="1" applyAlignment="1" applyProtection="1">
      <alignment horizontal="left" vertical="center" wrapText="1" indent="3"/>
      <protection locked="0"/>
    </xf>
    <xf numFmtId="0" fontId="9" fillId="2" borderId="0" xfId="0" applyFont="1" applyFill="1" applyBorder="1" applyAlignment="1" applyProtection="1">
      <alignment horizontal="left"/>
    </xf>
    <xf numFmtId="0" fontId="0" fillId="0" borderId="3" xfId="0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11" fillId="6" borderId="3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7" fillId="0" borderId="3" xfId="0" applyFont="1" applyBorder="1" applyAlignment="1">
      <alignment horizontal="center" vertical="center"/>
    </xf>
    <xf numFmtId="0" fontId="7" fillId="6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" xfId="0" applyNumberFormat="1" applyFont="1" applyBorder="1" applyAlignment="1">
      <alignment horizontal="center"/>
    </xf>
    <xf numFmtId="0" fontId="17" fillId="0" borderId="4" xfId="0" applyNumberFormat="1" applyFont="1" applyBorder="1" applyAlignment="1" applyProtection="1">
      <alignment horizontal="center" vertical="distributed" wrapText="1"/>
      <protection locked="0"/>
    </xf>
    <xf numFmtId="0" fontId="8" fillId="0" borderId="13" xfId="0" applyFont="1" applyBorder="1" applyAlignment="1">
      <alignment horizontal="center" vertical="distributed" wrapText="1"/>
    </xf>
    <xf numFmtId="0" fontId="8" fillId="0" borderId="12" xfId="0" applyFont="1" applyBorder="1" applyAlignment="1">
      <alignment horizontal="center" vertical="distributed" wrapText="1"/>
    </xf>
    <xf numFmtId="0" fontId="9" fillId="6" borderId="3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/>
    </xf>
    <xf numFmtId="164" fontId="19" fillId="6" borderId="3" xfId="0" applyNumberFormat="1" applyFont="1" applyFill="1" applyBorder="1" applyAlignment="1">
      <alignment horizontal="center"/>
    </xf>
    <xf numFmtId="0" fontId="6" fillId="10" borderId="4" xfId="0" applyFont="1" applyFill="1" applyBorder="1" applyAlignment="1">
      <alignment horizontal="center"/>
    </xf>
    <xf numFmtId="0" fontId="6" fillId="10" borderId="13" xfId="0" applyFont="1" applyFill="1" applyBorder="1" applyAlignment="1">
      <alignment horizontal="center"/>
    </xf>
    <xf numFmtId="164" fontId="6" fillId="10" borderId="4" xfId="0" applyNumberFormat="1" applyFont="1" applyFill="1" applyBorder="1" applyAlignment="1">
      <alignment horizontal="center"/>
    </xf>
    <xf numFmtId="164" fontId="6" fillId="10" borderId="12" xfId="0" applyNumberFormat="1" applyFont="1" applyFill="1" applyBorder="1" applyAlignment="1">
      <alignment horizontal="center"/>
    </xf>
    <xf numFmtId="15" fontId="6" fillId="10" borderId="4" xfId="0" applyNumberFormat="1" applyFont="1" applyFill="1" applyBorder="1" applyAlignment="1">
      <alignment horizontal="center"/>
    </xf>
    <xf numFmtId="15" fontId="6" fillId="10" borderId="13" xfId="0" applyNumberFormat="1" applyFont="1" applyFill="1" applyBorder="1" applyAlignment="1">
      <alignment horizontal="center"/>
    </xf>
    <xf numFmtId="0" fontId="1" fillId="5" borderId="4" xfId="0" applyFont="1" applyFill="1" applyBorder="1" applyAlignment="1">
      <alignment horizontal="left"/>
    </xf>
    <xf numFmtId="0" fontId="1" fillId="5" borderId="12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0" borderId="3" xfId="0" applyFill="1" applyBorder="1" applyAlignment="1" applyProtection="1">
      <alignment horizontal="left" vertical="top" wrapText="1" indent="1"/>
      <protection locked="0"/>
    </xf>
    <xf numFmtId="164" fontId="8" fillId="0" borderId="0" xfId="0" applyNumberFormat="1" applyFont="1" applyAlignment="1">
      <alignment horizontal="center"/>
    </xf>
    <xf numFmtId="164" fontId="8" fillId="0" borderId="0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4" fillId="4" borderId="10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9" xfId="0" applyFont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20" fillId="4" borderId="4" xfId="0" applyFont="1" applyFill="1" applyBorder="1" applyAlignment="1">
      <alignment horizontal="left"/>
    </xf>
    <xf numFmtId="0" fontId="20" fillId="4" borderId="12" xfId="0" applyFont="1" applyFill="1" applyBorder="1" applyAlignment="1">
      <alignment horizontal="left"/>
    </xf>
    <xf numFmtId="0" fontId="12" fillId="6" borderId="6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164" fontId="8" fillId="0" borderId="3" xfId="0" applyNumberFormat="1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0" fillId="0" borderId="15" xfId="0" applyBorder="1" applyAlignment="1"/>
    <xf numFmtId="0" fontId="12" fillId="6" borderId="3" xfId="0" applyFont="1" applyFill="1" applyBorder="1" applyAlignment="1">
      <alignment horizontal="center"/>
    </xf>
    <xf numFmtId="0" fontId="0" fillId="10" borderId="4" xfId="0" applyFill="1" applyBorder="1" applyAlignment="1" applyProtection="1">
      <alignment horizontal="center"/>
      <protection locked="0"/>
    </xf>
    <xf numFmtId="0" fontId="0" fillId="10" borderId="12" xfId="0" applyFill="1" applyBorder="1" applyAlignment="1" applyProtection="1">
      <alignment horizontal="center"/>
      <protection locked="0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4" fillId="9" borderId="14" xfId="0" applyFont="1" applyFill="1" applyBorder="1" applyAlignment="1">
      <alignment horizontal="left"/>
    </xf>
    <xf numFmtId="0" fontId="4" fillId="9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164" fontId="29" fillId="10" borderId="3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27" fillId="6" borderId="3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/>
    </xf>
    <xf numFmtId="0" fontId="12" fillId="0" borderId="3" xfId="0" applyFont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0" fillId="10" borderId="3" xfId="0" applyFill="1" applyBorder="1" applyAlignment="1">
      <alignment horizontal="center" wrapText="1"/>
    </xf>
    <xf numFmtId="0" fontId="28" fillId="6" borderId="3" xfId="0" applyFont="1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0" fontId="12" fillId="6" borderId="3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/>
    </xf>
    <xf numFmtId="0" fontId="0" fillId="10" borderId="4" xfId="0" applyFill="1" applyBorder="1" applyAlignment="1">
      <alignment horizontal="center" wrapText="1"/>
    </xf>
    <xf numFmtId="0" fontId="0" fillId="10" borderId="13" xfId="0" applyFill="1" applyBorder="1" applyAlignment="1">
      <alignment horizontal="center" wrapText="1"/>
    </xf>
    <xf numFmtId="0" fontId="0" fillId="10" borderId="12" xfId="0" applyFill="1" applyBorder="1" applyAlignment="1">
      <alignment horizontal="center" wrapText="1"/>
    </xf>
    <xf numFmtId="0" fontId="12" fillId="6" borderId="12" xfId="0" applyFont="1" applyFill="1" applyBorder="1" applyAlignment="1">
      <alignment horizontal="center" vertical="center"/>
    </xf>
    <xf numFmtId="44" fontId="0" fillId="10" borderId="3" xfId="1" applyFont="1" applyFill="1" applyBorder="1" applyAlignment="1">
      <alignment horizontal="center" vertical="center"/>
    </xf>
    <xf numFmtId="0" fontId="33" fillId="6" borderId="20" xfId="0" applyFont="1" applyFill="1" applyBorder="1" applyAlignment="1">
      <alignment horizontal="center" vertical="center"/>
    </xf>
    <xf numFmtId="0" fontId="33" fillId="6" borderId="22" xfId="0" applyFont="1" applyFill="1" applyBorder="1" applyAlignment="1">
      <alignment horizontal="center" vertical="center"/>
    </xf>
    <xf numFmtId="0" fontId="33" fillId="6" borderId="24" xfId="0" applyFont="1" applyFill="1" applyBorder="1" applyAlignment="1">
      <alignment horizontal="center" vertical="center" wrapText="1"/>
    </xf>
    <xf numFmtId="14" fontId="0" fillId="10" borderId="3" xfId="0" applyNumberForma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vertical="center"/>
    </xf>
    <xf numFmtId="44" fontId="0" fillId="10" borderId="3" xfId="1" applyFont="1" applyFill="1" applyBorder="1" applyAlignment="1">
      <alignment horizontal="center"/>
    </xf>
    <xf numFmtId="1" fontId="0" fillId="10" borderId="3" xfId="0" applyNumberFormat="1" applyFill="1" applyBorder="1" applyAlignment="1">
      <alignment horizontal="center"/>
    </xf>
    <xf numFmtId="14" fontId="32" fillId="10" borderId="21" xfId="0" applyNumberFormat="1" applyFont="1" applyFill="1" applyBorder="1" applyAlignment="1">
      <alignment horizontal="center"/>
    </xf>
    <xf numFmtId="14" fontId="32" fillId="10" borderId="23" xfId="0" applyNumberFormat="1" applyFont="1" applyFill="1" applyBorder="1" applyAlignment="1">
      <alignment horizontal="center"/>
    </xf>
    <xf numFmtId="14" fontId="32" fillId="10" borderId="25" xfId="0" applyNumberFormat="1" applyFont="1" applyFill="1" applyBorder="1" applyAlignment="1">
      <alignment horizontal="center"/>
    </xf>
    <xf numFmtId="164" fontId="6" fillId="0" borderId="3" xfId="0" applyNumberFormat="1" applyFont="1" applyBorder="1" applyAlignment="1" applyProtection="1">
      <alignment horizontal="center"/>
      <protection locked="0"/>
    </xf>
  </cellXfs>
  <cellStyles count="6">
    <cellStyle name="Currency" xfId="1" builtinId="4"/>
    <cellStyle name="Currency 2" xfId="2"/>
    <cellStyle name="Hyperlink" xfId="3" builtinId="8"/>
    <cellStyle name="Normal" xfId="0" builtinId="0"/>
    <cellStyle name="Normal 2" xfId="4"/>
    <cellStyle name="Percent" xfId="5" builtinId="5"/>
  </cellStyles>
  <dxfs count="36">
    <dxf>
      <fill>
        <patternFill>
          <bgColor indexed="43"/>
        </patternFill>
      </fill>
    </dxf>
    <dxf>
      <numFmt numFmtId="1" formatCode="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" formatCode="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numFmt numFmtId="19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FF010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blMRF" displayName="tblMRF" ref="S16:AB109" totalsRowShown="0" headerRowDxfId="12" dataDxfId="8" headerRowBorderDxfId="13">
  <autoFilter ref="S16:AB109">
    <filterColumn colId="9"/>
  </autoFilter>
  <sortState ref="S17:AB109">
    <sortCondition descending="1" ref="V16:V109"/>
  </sortState>
  <tableColumns count="10">
    <tableColumn id="1" name="Line Item" dataDxfId="1"/>
    <tableColumn id="2" name="Work Order" dataDxfId="2">
      <calculatedColumnFormula>IF($T$5="","",$T$5)</calculatedColumnFormula>
    </tableColumn>
    <tableColumn id="3" name="Charge" dataDxfId="11">
      <calculatedColumnFormula>IF($T$6="","",$T$6)</calculatedColumnFormula>
    </tableColumn>
    <tableColumn id="4" name="Vendor" dataDxfId="10">
      <calculatedColumnFormula>'PARTS LIST SC'!$W11</calculatedColumnFormula>
    </tableColumn>
    <tableColumn id="5" name="Part Number" dataDxfId="9">
      <calculatedColumnFormula>IF('PARTS LIST SC'!$B11="","",'PARTS LIST SC'!$B11)</calculatedColumnFormula>
    </tableColumn>
    <tableColumn id="11" name="Description" dataDxfId="7">
      <calculatedColumnFormula>IF('PARTS LIST SC'!$C11="","",'PARTS LIST SC'!$C11)</calculatedColumnFormula>
    </tableColumn>
    <tableColumn id="12" name="QTY" dataDxfId="6">
      <calculatedColumnFormula>IF('PARTS LIST SC'!$D11="","",'PARTS LIST SC'!$D11)</calculatedColumnFormula>
    </tableColumn>
    <tableColumn id="13" name="Product Price" dataDxfId="5" dataCellStyle="Currency">
      <calculatedColumnFormula>'PARTS LIST SC'!$X11</calculatedColumnFormula>
    </tableColumn>
    <tableColumn id="14" name="Quote Need By Date" dataDxfId="4">
      <calculatedColumnFormula>IF('Information Sales'!$K$7="","",'Information Sales'!$K$7)</calculatedColumnFormula>
    </tableColumn>
    <tableColumn id="15" name="Purchase Need by Date" dataDxfId="3">
      <calculatedColumnFormula>IF($T$7="","",$T$7)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81"/>
  <sheetViews>
    <sheetView showGridLines="0" workbookViewId="0">
      <selection activeCell="K3" sqref="K3:N3"/>
    </sheetView>
  </sheetViews>
  <sheetFormatPr defaultRowHeight="12.75"/>
  <cols>
    <col min="1" max="1" width="4.42578125" customWidth="1"/>
    <col min="2" max="2" width="22.140625" customWidth="1"/>
    <col min="10" max="10" width="14.7109375" customWidth="1"/>
  </cols>
  <sheetData>
    <row r="1" spans="1:14" ht="15.75" customHeight="1">
      <c r="A1" s="3"/>
      <c r="B1" s="231" t="s">
        <v>125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</row>
    <row r="2" spans="1:14" ht="12.75" customHeight="1"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</row>
    <row r="3" spans="1:14" ht="12.75" customHeight="1">
      <c r="B3" s="51" t="s">
        <v>148</v>
      </c>
      <c r="C3" s="228"/>
      <c r="D3" s="228"/>
      <c r="E3" s="228"/>
      <c r="F3" s="228"/>
      <c r="G3" s="228"/>
      <c r="H3" s="228"/>
      <c r="I3" s="229" t="s">
        <v>150</v>
      </c>
      <c r="J3" s="229"/>
      <c r="K3" s="228"/>
      <c r="L3" s="228"/>
      <c r="M3" s="228"/>
      <c r="N3" s="228"/>
    </row>
    <row r="4" spans="1:14">
      <c r="B4" s="52" t="s">
        <v>30</v>
      </c>
      <c r="C4" s="225"/>
      <c r="D4" s="224"/>
      <c r="E4" s="224"/>
      <c r="F4" s="224"/>
      <c r="G4" s="224"/>
      <c r="H4" s="224"/>
      <c r="I4" s="230" t="s">
        <v>31</v>
      </c>
      <c r="J4" s="230"/>
      <c r="K4" s="225"/>
      <c r="L4" s="224"/>
      <c r="M4" s="224"/>
      <c r="N4" s="224"/>
    </row>
    <row r="5" spans="1:14">
      <c r="B5" s="52" t="s">
        <v>126</v>
      </c>
      <c r="C5" s="225"/>
      <c r="D5" s="224"/>
      <c r="E5" s="224"/>
      <c r="F5" s="224"/>
      <c r="G5" s="224"/>
      <c r="H5" s="224"/>
      <c r="I5" s="230" t="s">
        <v>128</v>
      </c>
      <c r="J5" s="230"/>
      <c r="K5" s="225"/>
      <c r="L5" s="224"/>
      <c r="M5" s="224"/>
      <c r="N5" s="224"/>
    </row>
    <row r="6" spans="1:14">
      <c r="B6" s="52" t="s">
        <v>412</v>
      </c>
      <c r="C6" s="224"/>
      <c r="D6" s="224"/>
      <c r="E6" s="224"/>
      <c r="F6" s="224"/>
      <c r="G6" s="224"/>
      <c r="H6" s="224"/>
      <c r="I6" s="230" t="s">
        <v>129</v>
      </c>
      <c r="J6" s="230"/>
      <c r="K6" s="224"/>
      <c r="L6" s="224"/>
      <c r="M6" s="224"/>
      <c r="N6" s="224"/>
    </row>
    <row r="7" spans="1:14">
      <c r="B7" s="52" t="s">
        <v>127</v>
      </c>
      <c r="C7" s="232"/>
      <c r="D7" s="224"/>
      <c r="E7" s="224"/>
      <c r="F7" s="224"/>
      <c r="G7" s="224"/>
      <c r="H7" s="224"/>
      <c r="I7" s="230" t="s">
        <v>145</v>
      </c>
      <c r="J7" s="230"/>
      <c r="K7" s="233"/>
      <c r="L7" s="233"/>
      <c r="M7" s="233"/>
      <c r="N7" s="233"/>
    </row>
    <row r="8" spans="1:14">
      <c r="B8" s="52" t="s">
        <v>140</v>
      </c>
      <c r="C8" s="225"/>
      <c r="D8" s="224"/>
      <c r="E8" s="224"/>
      <c r="F8" s="224"/>
      <c r="G8" s="224"/>
      <c r="H8" s="224"/>
      <c r="I8" s="230" t="s">
        <v>144</v>
      </c>
      <c r="J8" s="230"/>
      <c r="K8" s="233"/>
      <c r="L8" s="224"/>
      <c r="M8" s="224"/>
      <c r="N8" s="224"/>
    </row>
    <row r="9" spans="1:14">
      <c r="B9" s="52" t="s">
        <v>141</v>
      </c>
      <c r="C9" s="225"/>
      <c r="D9" s="224"/>
      <c r="E9" s="224"/>
      <c r="F9" s="224"/>
      <c r="G9" s="224"/>
      <c r="H9" s="224"/>
      <c r="I9" s="230" t="s">
        <v>146</v>
      </c>
      <c r="J9" s="230"/>
      <c r="K9" s="225"/>
      <c r="L9" s="224"/>
      <c r="M9" s="224"/>
      <c r="N9" s="224"/>
    </row>
    <row r="10" spans="1:14">
      <c r="B10" s="52" t="s">
        <v>142</v>
      </c>
      <c r="C10" s="225"/>
      <c r="D10" s="224"/>
      <c r="E10" s="224"/>
      <c r="F10" s="224"/>
      <c r="G10" s="224"/>
      <c r="H10" s="224"/>
      <c r="I10" s="230" t="s">
        <v>147</v>
      </c>
      <c r="J10" s="230"/>
      <c r="K10" s="225"/>
      <c r="L10" s="224"/>
      <c r="M10" s="224"/>
      <c r="N10" s="224"/>
    </row>
    <row r="11" spans="1:14">
      <c r="B11" s="52" t="s">
        <v>151</v>
      </c>
      <c r="C11" s="225"/>
      <c r="D11" s="225"/>
      <c r="E11" s="225"/>
      <c r="F11" s="225"/>
      <c r="G11" s="225"/>
      <c r="H11" s="225"/>
      <c r="I11" s="226" t="s">
        <v>413</v>
      </c>
      <c r="J11" s="226"/>
      <c r="K11" s="225"/>
      <c r="L11" s="225"/>
      <c r="M11" s="225"/>
      <c r="N11" s="225"/>
    </row>
    <row r="12" spans="1:14">
      <c r="B12" s="52"/>
      <c r="C12" s="225"/>
      <c r="D12" s="225"/>
      <c r="E12" s="225"/>
      <c r="F12" s="225"/>
      <c r="G12" s="225"/>
      <c r="H12" s="225"/>
      <c r="I12" s="230" t="s">
        <v>160</v>
      </c>
      <c r="J12" s="230"/>
      <c r="K12" s="225"/>
      <c r="L12" s="225"/>
      <c r="M12" s="225"/>
      <c r="N12" s="225"/>
    </row>
    <row r="13" spans="1:14">
      <c r="A13" s="48"/>
      <c r="B13" s="54" t="s">
        <v>130</v>
      </c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</row>
    <row r="14" spans="1:14">
      <c r="B14" s="52" t="s">
        <v>131</v>
      </c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</row>
    <row r="15" spans="1:14">
      <c r="B15" s="52" t="s">
        <v>33</v>
      </c>
      <c r="C15" s="225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</row>
    <row r="16" spans="1:14">
      <c r="B16" s="52" t="s">
        <v>132</v>
      </c>
      <c r="C16" s="225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</row>
    <row r="17" spans="1:14">
      <c r="A17" s="48"/>
      <c r="B17" s="54" t="s">
        <v>415</v>
      </c>
      <c r="C17" s="227"/>
      <c r="D17" s="227"/>
      <c r="E17" s="227"/>
      <c r="F17" s="227"/>
      <c r="G17" s="227"/>
      <c r="H17" s="227"/>
      <c r="I17" s="227"/>
      <c r="J17" s="227"/>
      <c r="K17" s="227"/>
      <c r="L17" s="227"/>
      <c r="M17" s="227"/>
      <c r="N17" s="227"/>
    </row>
    <row r="18" spans="1:14">
      <c r="B18" s="52" t="s">
        <v>131</v>
      </c>
      <c r="C18" s="225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</row>
    <row r="19" spans="1:14">
      <c r="B19" s="52" t="s">
        <v>33</v>
      </c>
      <c r="C19" s="225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</row>
    <row r="20" spans="1:14">
      <c r="B20" s="52" t="s">
        <v>132</v>
      </c>
      <c r="C20" s="225"/>
      <c r="D20" s="224"/>
      <c r="E20" s="224"/>
      <c r="F20" s="224"/>
      <c r="G20" s="224"/>
      <c r="H20" s="224"/>
      <c r="I20" s="224"/>
      <c r="J20" s="224"/>
      <c r="K20" s="224"/>
      <c r="L20" s="224"/>
      <c r="M20" s="224"/>
      <c r="N20" s="224"/>
    </row>
    <row r="21" spans="1:14">
      <c r="B21" s="52" t="s">
        <v>133</v>
      </c>
      <c r="C21" s="180" t="s">
        <v>134</v>
      </c>
      <c r="D21" s="55"/>
      <c r="E21" s="180" t="s">
        <v>135</v>
      </c>
      <c r="F21" s="55"/>
      <c r="G21" s="180" t="s">
        <v>136</v>
      </c>
      <c r="H21" s="55"/>
      <c r="I21" s="180" t="s">
        <v>137</v>
      </c>
      <c r="J21" s="55"/>
      <c r="K21" s="180" t="s">
        <v>138</v>
      </c>
      <c r="L21" s="55"/>
      <c r="M21" s="180" t="s">
        <v>139</v>
      </c>
      <c r="N21" s="55"/>
    </row>
    <row r="22" spans="1:14">
      <c r="B22" s="54" t="s">
        <v>152</v>
      </c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7"/>
      <c r="N22" s="227"/>
    </row>
    <row r="23" spans="1:14">
      <c r="B23" s="53">
        <v>1</v>
      </c>
      <c r="C23" s="224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</row>
    <row r="24" spans="1:14">
      <c r="B24" s="53">
        <v>2</v>
      </c>
      <c r="C24" s="224"/>
      <c r="D24" s="224"/>
      <c r="E24" s="224"/>
      <c r="F24" s="224"/>
      <c r="G24" s="224"/>
      <c r="H24" s="224"/>
      <c r="I24" s="224"/>
      <c r="J24" s="224"/>
      <c r="K24" s="224"/>
      <c r="L24" s="224"/>
      <c r="M24" s="224"/>
      <c r="N24" s="224"/>
    </row>
    <row r="25" spans="1:14">
      <c r="B25" s="53">
        <v>3</v>
      </c>
      <c r="C25" s="224"/>
      <c r="D25" s="224"/>
      <c r="E25" s="224"/>
      <c r="F25" s="224"/>
      <c r="G25" s="224"/>
      <c r="H25" s="224"/>
      <c r="I25" s="224"/>
      <c r="J25" s="224"/>
      <c r="K25" s="224"/>
      <c r="L25" s="224"/>
      <c r="M25" s="224"/>
      <c r="N25" s="224"/>
    </row>
    <row r="26" spans="1:14">
      <c r="B26" s="53">
        <v>4</v>
      </c>
      <c r="C26" s="224"/>
      <c r="D26" s="224"/>
      <c r="E26" s="224"/>
      <c r="F26" s="224"/>
      <c r="G26" s="224"/>
      <c r="H26" s="224"/>
      <c r="I26" s="224"/>
      <c r="J26" s="224"/>
      <c r="K26" s="224"/>
      <c r="L26" s="224"/>
      <c r="M26" s="224"/>
      <c r="N26" s="224"/>
    </row>
    <row r="27" spans="1:14">
      <c r="B27" s="53">
        <v>5</v>
      </c>
      <c r="C27" s="224"/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</row>
    <row r="28" spans="1:14">
      <c r="B28" s="53">
        <v>6</v>
      </c>
      <c r="C28" s="224"/>
      <c r="D28" s="224"/>
      <c r="E28" s="224"/>
      <c r="F28" s="224"/>
      <c r="G28" s="224"/>
      <c r="H28" s="224"/>
      <c r="I28" s="224"/>
      <c r="J28" s="224"/>
      <c r="K28" s="224"/>
      <c r="L28" s="224"/>
      <c r="M28" s="224"/>
      <c r="N28" s="224"/>
    </row>
    <row r="29" spans="1:14">
      <c r="B29" s="53">
        <v>7</v>
      </c>
      <c r="C29" s="224"/>
      <c r="D29" s="224"/>
      <c r="E29" s="224"/>
      <c r="F29" s="224"/>
      <c r="G29" s="224"/>
      <c r="H29" s="224"/>
      <c r="I29" s="224"/>
      <c r="J29" s="224"/>
      <c r="K29" s="224"/>
      <c r="L29" s="224"/>
      <c r="M29" s="224"/>
      <c r="N29" s="224"/>
    </row>
    <row r="30" spans="1:14">
      <c r="B30" s="53">
        <v>8</v>
      </c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</row>
    <row r="31" spans="1:14">
      <c r="B31" s="53">
        <v>9</v>
      </c>
      <c r="C31" s="224"/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</row>
    <row r="32" spans="1:14">
      <c r="B32" s="53">
        <v>10</v>
      </c>
      <c r="C32" s="224"/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</row>
    <row r="33" spans="2:14">
      <c r="B33" s="53">
        <v>11</v>
      </c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</row>
    <row r="34" spans="2:14">
      <c r="B34" s="53">
        <v>12</v>
      </c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</row>
    <row r="35" spans="2:14">
      <c r="B35" s="53">
        <v>13</v>
      </c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</row>
    <row r="36" spans="2:14">
      <c r="B36" s="53">
        <v>14</v>
      </c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</row>
    <row r="37" spans="2:14">
      <c r="B37" s="53">
        <v>15</v>
      </c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</row>
    <row r="38" spans="2:14">
      <c r="B38" s="53">
        <v>16</v>
      </c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</row>
    <row r="39" spans="2:14">
      <c r="B39" s="53">
        <v>17</v>
      </c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</row>
    <row r="40" spans="2:14">
      <c r="B40" s="53">
        <v>18</v>
      </c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</row>
    <row r="41" spans="2:14">
      <c r="B41" s="53">
        <v>19</v>
      </c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</row>
    <row r="42" spans="2:14">
      <c r="B42" s="53">
        <v>20</v>
      </c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</row>
    <row r="43" spans="2:14">
      <c r="B43" s="53">
        <v>21</v>
      </c>
      <c r="C43" s="224"/>
      <c r="D43" s="224"/>
      <c r="E43" s="224"/>
      <c r="F43" s="224"/>
      <c r="G43" s="224"/>
      <c r="H43" s="224"/>
      <c r="I43" s="224"/>
      <c r="J43" s="224"/>
      <c r="K43" s="224"/>
      <c r="L43" s="224"/>
      <c r="M43" s="224"/>
      <c r="N43" s="224"/>
    </row>
    <row r="44" spans="2:14">
      <c r="B44" s="53">
        <v>22</v>
      </c>
      <c r="C44" s="224"/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</row>
    <row r="45" spans="2:14">
      <c r="B45" s="53">
        <v>23</v>
      </c>
      <c r="C45" s="224"/>
      <c r="D45" s="224"/>
      <c r="E45" s="224"/>
      <c r="F45" s="224"/>
      <c r="G45" s="224"/>
      <c r="H45" s="224"/>
      <c r="I45" s="224"/>
      <c r="J45" s="224"/>
      <c r="K45" s="224"/>
      <c r="L45" s="224"/>
      <c r="M45" s="224"/>
      <c r="N45" s="224"/>
    </row>
    <row r="46" spans="2:14">
      <c r="B46" s="53">
        <v>24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</row>
    <row r="47" spans="2:14">
      <c r="B47" s="53">
        <v>25</v>
      </c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</row>
    <row r="48" spans="2:14">
      <c r="B48" s="53">
        <v>26</v>
      </c>
      <c r="C48" s="224"/>
      <c r="D48" s="224"/>
      <c r="E48" s="224"/>
      <c r="F48" s="224"/>
      <c r="G48" s="224"/>
      <c r="H48" s="224"/>
      <c r="I48" s="224"/>
      <c r="J48" s="224"/>
      <c r="K48" s="224"/>
      <c r="L48" s="224"/>
      <c r="M48" s="224"/>
      <c r="N48" s="224"/>
    </row>
    <row r="49" spans="2:14">
      <c r="B49" s="53">
        <v>27</v>
      </c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</row>
    <row r="50" spans="2:14">
      <c r="B50" s="53">
        <v>28</v>
      </c>
      <c r="C50" s="224"/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</row>
    <row r="51" spans="2:14">
      <c r="B51" s="53">
        <v>29</v>
      </c>
      <c r="C51" s="224"/>
      <c r="D51" s="224"/>
      <c r="E51" s="224"/>
      <c r="F51" s="224"/>
      <c r="G51" s="224"/>
      <c r="H51" s="224"/>
      <c r="I51" s="224"/>
      <c r="J51" s="224"/>
      <c r="K51" s="224"/>
      <c r="L51" s="224"/>
      <c r="M51" s="224"/>
      <c r="N51" s="224"/>
    </row>
    <row r="52" spans="2:14">
      <c r="B52" s="53">
        <v>30</v>
      </c>
      <c r="C52" s="224"/>
      <c r="D52" s="224"/>
      <c r="E52" s="224"/>
      <c r="F52" s="224"/>
      <c r="G52" s="224"/>
      <c r="H52" s="224"/>
      <c r="I52" s="224"/>
      <c r="J52" s="224"/>
      <c r="K52" s="224"/>
      <c r="L52" s="224"/>
      <c r="M52" s="224"/>
      <c r="N52" s="224"/>
    </row>
    <row r="53" spans="2:14">
      <c r="B53" s="53">
        <v>31</v>
      </c>
      <c r="C53" s="224"/>
      <c r="D53" s="224"/>
      <c r="E53" s="224"/>
      <c r="F53" s="224"/>
      <c r="G53" s="224"/>
      <c r="H53" s="224"/>
      <c r="I53" s="224"/>
      <c r="J53" s="224"/>
      <c r="K53" s="224"/>
      <c r="L53" s="224"/>
      <c r="M53" s="224"/>
      <c r="N53" s="224"/>
    </row>
    <row r="54" spans="2:14">
      <c r="B54" s="53">
        <v>32</v>
      </c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</row>
    <row r="55" spans="2:14">
      <c r="B55" s="53">
        <v>33</v>
      </c>
      <c r="C55" s="224"/>
      <c r="D55" s="224"/>
      <c r="E55" s="224"/>
      <c r="F55" s="224"/>
      <c r="G55" s="224"/>
      <c r="H55" s="224"/>
      <c r="I55" s="224"/>
      <c r="J55" s="224"/>
      <c r="K55" s="224"/>
      <c r="L55" s="224"/>
      <c r="M55" s="224"/>
      <c r="N55" s="224"/>
    </row>
    <row r="56" spans="2:14">
      <c r="B56" s="53">
        <v>34</v>
      </c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4"/>
      <c r="N56" s="224"/>
    </row>
    <row r="57" spans="2:14">
      <c r="B57" s="53">
        <v>35</v>
      </c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</row>
    <row r="58" spans="2:14">
      <c r="B58" s="53">
        <v>36</v>
      </c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</row>
    <row r="59" spans="2:14">
      <c r="B59" s="53">
        <v>37</v>
      </c>
      <c r="C59" s="224"/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</row>
    <row r="60" spans="2:14">
      <c r="B60" s="53">
        <v>38</v>
      </c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</row>
    <row r="61" spans="2:14">
      <c r="B61" s="53">
        <v>39</v>
      </c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</row>
    <row r="62" spans="2:14">
      <c r="B62" s="53">
        <v>40</v>
      </c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</row>
    <row r="63" spans="2:14">
      <c r="B63" s="53">
        <v>41</v>
      </c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</row>
    <row r="64" spans="2:14">
      <c r="B64" s="53">
        <v>42</v>
      </c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</row>
    <row r="65" spans="2:14">
      <c r="B65" s="53">
        <v>43</v>
      </c>
      <c r="C65" s="224"/>
      <c r="D65" s="224"/>
      <c r="E65" s="224"/>
      <c r="F65" s="224"/>
      <c r="G65" s="224"/>
      <c r="H65" s="224"/>
      <c r="I65" s="224"/>
      <c r="J65" s="224"/>
      <c r="K65" s="224"/>
      <c r="L65" s="224"/>
      <c r="M65" s="224"/>
      <c r="N65" s="224"/>
    </row>
    <row r="66" spans="2:14">
      <c r="B66" s="53">
        <v>44</v>
      </c>
      <c r="C66" s="224"/>
      <c r="D66" s="224"/>
      <c r="E66" s="224"/>
      <c r="F66" s="224"/>
      <c r="G66" s="224"/>
      <c r="H66" s="224"/>
      <c r="I66" s="224"/>
      <c r="J66" s="224"/>
      <c r="K66" s="224"/>
      <c r="L66" s="224"/>
      <c r="M66" s="224"/>
      <c r="N66" s="224"/>
    </row>
    <row r="67" spans="2:14">
      <c r="B67" s="53">
        <v>45</v>
      </c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</row>
    <row r="68" spans="2:14">
      <c r="B68" s="53">
        <v>46</v>
      </c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</row>
    <row r="69" spans="2:14">
      <c r="B69" s="53">
        <v>47</v>
      </c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</row>
    <row r="70" spans="2:14">
      <c r="B70" s="53">
        <v>48</v>
      </c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</row>
    <row r="71" spans="2:14">
      <c r="B71" s="53">
        <v>49</v>
      </c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</row>
    <row r="72" spans="2:14">
      <c r="B72" s="53">
        <v>50</v>
      </c>
      <c r="C72" s="224"/>
      <c r="D72" s="224"/>
      <c r="E72" s="224"/>
      <c r="F72" s="224"/>
      <c r="G72" s="224"/>
      <c r="H72" s="224"/>
      <c r="I72" s="224"/>
      <c r="J72" s="224"/>
      <c r="K72" s="224"/>
      <c r="L72" s="224"/>
      <c r="M72" s="224"/>
      <c r="N72" s="224"/>
    </row>
    <row r="73" spans="2:14">
      <c r="B73" s="53">
        <v>51</v>
      </c>
      <c r="C73" s="224"/>
      <c r="D73" s="224"/>
      <c r="E73" s="224"/>
      <c r="F73" s="224"/>
      <c r="G73" s="224"/>
      <c r="H73" s="224"/>
      <c r="I73" s="224"/>
      <c r="J73" s="224"/>
      <c r="K73" s="224"/>
      <c r="L73" s="224"/>
      <c r="M73" s="224"/>
      <c r="N73" s="224"/>
    </row>
    <row r="74" spans="2:14">
      <c r="B74" s="53">
        <v>52</v>
      </c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</row>
    <row r="75" spans="2:14">
      <c r="B75" s="53">
        <v>53</v>
      </c>
      <c r="C75" s="224"/>
      <c r="D75" s="224"/>
      <c r="E75" s="224"/>
      <c r="F75" s="224"/>
      <c r="G75" s="224"/>
      <c r="H75" s="224"/>
      <c r="I75" s="224"/>
      <c r="J75" s="224"/>
      <c r="K75" s="224"/>
      <c r="L75" s="224"/>
      <c r="M75" s="224"/>
      <c r="N75" s="224"/>
    </row>
    <row r="76" spans="2:14">
      <c r="B76" s="53">
        <v>54</v>
      </c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224"/>
    </row>
    <row r="77" spans="2:14">
      <c r="B77" s="53">
        <v>55</v>
      </c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</row>
    <row r="78" spans="2:14">
      <c r="B78" s="53">
        <v>56</v>
      </c>
      <c r="C78" s="224"/>
      <c r="D78" s="224"/>
      <c r="E78" s="224"/>
      <c r="F78" s="224"/>
      <c r="G78" s="224"/>
      <c r="H78" s="224"/>
      <c r="I78" s="224"/>
      <c r="J78" s="224"/>
      <c r="K78" s="224"/>
      <c r="L78" s="224"/>
      <c r="M78" s="224"/>
      <c r="N78" s="224"/>
    </row>
    <row r="79" spans="2:14">
      <c r="B79" s="53">
        <v>57</v>
      </c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</row>
    <row r="80" spans="2:14">
      <c r="B80" s="53">
        <v>58</v>
      </c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</row>
    <row r="81" spans="2:2">
      <c r="B81" s="50"/>
    </row>
  </sheetData>
  <mergeCells count="98">
    <mergeCell ref="B1:N2"/>
    <mergeCell ref="C13:N13"/>
    <mergeCell ref="C17:N17"/>
    <mergeCell ref="C4:H4"/>
    <mergeCell ref="C5:H5"/>
    <mergeCell ref="C6:H6"/>
    <mergeCell ref="C7:H7"/>
    <mergeCell ref="C8:H8"/>
    <mergeCell ref="C9:H9"/>
    <mergeCell ref="C15:N15"/>
    <mergeCell ref="K4:N4"/>
    <mergeCell ref="K5:N5"/>
    <mergeCell ref="K6:N6"/>
    <mergeCell ref="K7:N7"/>
    <mergeCell ref="K8:N8"/>
    <mergeCell ref="K9:N9"/>
    <mergeCell ref="K10:N10"/>
    <mergeCell ref="C3:H3"/>
    <mergeCell ref="I3:J3"/>
    <mergeCell ref="K3:N3"/>
    <mergeCell ref="C14:N14"/>
    <mergeCell ref="C10:H10"/>
    <mergeCell ref="I4:J4"/>
    <mergeCell ref="I5:J5"/>
    <mergeCell ref="I6:J6"/>
    <mergeCell ref="I7:J7"/>
    <mergeCell ref="I8:J8"/>
    <mergeCell ref="I9:J9"/>
    <mergeCell ref="I10:J10"/>
    <mergeCell ref="C12:H12"/>
    <mergeCell ref="I12:J12"/>
    <mergeCell ref="K12:N12"/>
    <mergeCell ref="C30:N30"/>
    <mergeCell ref="C16:N16"/>
    <mergeCell ref="C18:N18"/>
    <mergeCell ref="C19:N19"/>
    <mergeCell ref="C20:N20"/>
    <mergeCell ref="C22:N22"/>
    <mergeCell ref="C23:N23"/>
    <mergeCell ref="C24:N24"/>
    <mergeCell ref="C25:N25"/>
    <mergeCell ref="C26:N26"/>
    <mergeCell ref="C27:N27"/>
    <mergeCell ref="C28:N28"/>
    <mergeCell ref="C29:N29"/>
    <mergeCell ref="C34:N34"/>
    <mergeCell ref="C35:N35"/>
    <mergeCell ref="C36:N36"/>
    <mergeCell ref="C31:N31"/>
    <mergeCell ref="C32:N32"/>
    <mergeCell ref="C33:N33"/>
    <mergeCell ref="C48:N48"/>
    <mergeCell ref="C37:N37"/>
    <mergeCell ref="C38:N38"/>
    <mergeCell ref="C39:N39"/>
    <mergeCell ref="C40:N40"/>
    <mergeCell ref="C41:N41"/>
    <mergeCell ref="C42:N42"/>
    <mergeCell ref="C43:N43"/>
    <mergeCell ref="C44:N44"/>
    <mergeCell ref="C45:N45"/>
    <mergeCell ref="C46:N46"/>
    <mergeCell ref="C47:N47"/>
    <mergeCell ref="C60:N60"/>
    <mergeCell ref="C49:N49"/>
    <mergeCell ref="C50:N50"/>
    <mergeCell ref="C51:N51"/>
    <mergeCell ref="C52:N52"/>
    <mergeCell ref="C53:N53"/>
    <mergeCell ref="C54:N54"/>
    <mergeCell ref="C55:N55"/>
    <mergeCell ref="C56:N56"/>
    <mergeCell ref="C57:N57"/>
    <mergeCell ref="C58:N58"/>
    <mergeCell ref="C59:N59"/>
    <mergeCell ref="C72:N72"/>
    <mergeCell ref="C61:N61"/>
    <mergeCell ref="C62:N62"/>
    <mergeCell ref="C63:N63"/>
    <mergeCell ref="C64:N64"/>
    <mergeCell ref="C65:N65"/>
    <mergeCell ref="C66:N66"/>
    <mergeCell ref="C79:N79"/>
    <mergeCell ref="C80:N80"/>
    <mergeCell ref="C11:H11"/>
    <mergeCell ref="I11:J11"/>
    <mergeCell ref="K11:N11"/>
    <mergeCell ref="C73:N73"/>
    <mergeCell ref="C74:N74"/>
    <mergeCell ref="C75:N75"/>
    <mergeCell ref="C76:N76"/>
    <mergeCell ref="C77:N77"/>
    <mergeCell ref="C78:N78"/>
    <mergeCell ref="C67:N67"/>
    <mergeCell ref="C68:N68"/>
    <mergeCell ref="C69:N69"/>
    <mergeCell ref="C70:N70"/>
    <mergeCell ref="C71:N71"/>
  </mergeCells>
  <dataValidations count="7">
    <dataValidation type="list" allowBlank="1" showInputMessage="1" showErrorMessage="1" sqref="K6:N6">
      <formula1>QuoteType</formula1>
    </dataValidation>
    <dataValidation type="list" allowBlank="1" showInputMessage="1" showErrorMessage="1" sqref="K3:N3">
      <formula1>QuoteOrEstimate</formula1>
    </dataValidation>
    <dataValidation type="list" allowBlank="1" showInputMessage="1" showErrorMessage="1" sqref="K10:N10">
      <formula1>AreaManager</formula1>
    </dataValidation>
    <dataValidation type="list" allowBlank="1" showInputMessage="1" showErrorMessage="1" sqref="K9:N9">
      <formula1>Salesman</formula1>
    </dataValidation>
    <dataValidation type="list" allowBlank="1" showInputMessage="1" showErrorMessage="1" sqref="K12:N12">
      <formula1>TypeOfParts</formula1>
    </dataValidation>
    <dataValidation type="list" allowBlank="1" showInputMessage="1" showErrorMessage="1" sqref="C3:H3">
      <formula1>Area</formula1>
    </dataValidation>
    <dataValidation type="list" allowBlank="1" showInputMessage="1" showErrorMessage="1" sqref="K11:N11">
      <formula1>AreWeSupplyParts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OFFSET(Sheet2!$R$2,0,0,COUNTA(Sheet2!$R:$R)-1,1)</xm:f>
          </x14:formula1>
          <xm:sqref>C4:H4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T24"/>
  <sheetViews>
    <sheetView showGridLines="0" zoomScale="75" workbookViewId="0">
      <selection activeCell="D2" sqref="D2"/>
    </sheetView>
  </sheetViews>
  <sheetFormatPr defaultRowHeight="12.75"/>
  <cols>
    <col min="1" max="1" width="4" customWidth="1"/>
    <col min="2" max="2" width="6.5703125" customWidth="1"/>
    <col min="3" max="3" width="6.85546875" customWidth="1"/>
    <col min="4" max="4" width="22.5703125" bestFit="1" customWidth="1"/>
    <col min="5" max="5" width="8.7109375" customWidth="1"/>
    <col min="6" max="6" width="14.140625" customWidth="1"/>
    <col min="7" max="11" width="7.7109375" customWidth="1"/>
    <col min="12" max="12" width="9.85546875" bestFit="1" customWidth="1"/>
    <col min="13" max="17" width="14.5703125" customWidth="1"/>
    <col min="18" max="18" width="18.28515625" bestFit="1" customWidth="1"/>
  </cols>
  <sheetData>
    <row r="1" spans="2:20" ht="33" customHeight="1">
      <c r="B1" s="234" t="s">
        <v>80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</row>
    <row r="2" spans="2:20" ht="28.5" customHeight="1">
      <c r="B2" s="235" t="s">
        <v>30</v>
      </c>
      <c r="C2" s="235"/>
      <c r="D2" s="182" t="str">
        <f>IF('Information Sales'!C4="","",'Information Sales'!C4)</f>
        <v/>
      </c>
      <c r="E2" s="57" t="s">
        <v>32</v>
      </c>
      <c r="F2" s="182" t="str">
        <f>IF('Information Sales'!C14="","",'Information Sales'!C14)</f>
        <v/>
      </c>
      <c r="G2" s="236" t="s">
        <v>67</v>
      </c>
      <c r="H2" s="236"/>
      <c r="I2" s="236"/>
      <c r="J2" s="237" t="str">
        <f>IF('Information Sales'!K3="","",'Information Sales'!K3)</f>
        <v/>
      </c>
      <c r="K2" s="237"/>
      <c r="L2" s="240" t="s">
        <v>36</v>
      </c>
      <c r="M2" s="240"/>
      <c r="N2" s="238"/>
      <c r="O2" s="239"/>
      <c r="P2" s="239"/>
      <c r="Q2" s="239"/>
      <c r="R2" s="239"/>
      <c r="S2" s="1"/>
      <c r="T2" s="1"/>
    </row>
    <row r="3" spans="2:20" ht="28.5" customHeight="1">
      <c r="B3" s="235" t="s">
        <v>31</v>
      </c>
      <c r="C3" s="235"/>
      <c r="D3" s="182" t="str">
        <f>IF('Information Sales'!K4="","",'Information Sales'!K4)</f>
        <v/>
      </c>
      <c r="E3" s="57" t="s">
        <v>33</v>
      </c>
      <c r="F3" s="182" t="str">
        <f>IF('Information Sales'!C15="","",'Information Sales'!C15)</f>
        <v/>
      </c>
      <c r="G3" s="236" t="s">
        <v>35</v>
      </c>
      <c r="H3" s="236"/>
      <c r="I3" s="254" t="str">
        <f>IF('Information Sales'!K7="","",'Information Sales'!K7)</f>
        <v/>
      </c>
      <c r="J3" s="254"/>
      <c r="K3" s="254"/>
      <c r="L3" s="58" t="s">
        <v>115</v>
      </c>
      <c r="M3" s="183" t="str">
        <f>IF('Information Sales'!C3="","",'Information Sales'!C3)</f>
        <v/>
      </c>
      <c r="N3" s="239"/>
      <c r="O3" s="239"/>
      <c r="P3" s="239"/>
      <c r="Q3" s="239"/>
      <c r="R3" s="239"/>
      <c r="S3" s="1"/>
      <c r="T3" s="1"/>
    </row>
    <row r="4" spans="2:20" ht="16.5" customHeight="1">
      <c r="B4" s="257" t="s">
        <v>54</v>
      </c>
      <c r="C4" s="247" t="s">
        <v>81</v>
      </c>
      <c r="D4" s="247"/>
      <c r="E4" s="248" t="s">
        <v>116</v>
      </c>
      <c r="F4" s="248"/>
      <c r="G4" s="248"/>
      <c r="H4" s="249" t="s">
        <v>117</v>
      </c>
      <c r="I4" s="250"/>
      <c r="J4" s="250"/>
      <c r="K4" s="250"/>
      <c r="L4" s="246" t="s">
        <v>53</v>
      </c>
      <c r="M4" s="242"/>
      <c r="N4" s="242"/>
      <c r="O4" s="242"/>
      <c r="P4" s="242"/>
      <c r="Q4" s="242"/>
      <c r="R4" s="242"/>
      <c r="S4" s="1"/>
      <c r="T4" s="1"/>
    </row>
    <row r="5" spans="2:20" ht="20.25" customHeight="1">
      <c r="B5" s="257"/>
      <c r="C5" s="251" t="str">
        <f>IF('Information Sales'!K9="","",'Information Sales'!K9)</f>
        <v/>
      </c>
      <c r="D5" s="251"/>
      <c r="E5" s="252" t="str">
        <f>IF('Information Sales'!K10="","",'Information Sales'!K10)</f>
        <v/>
      </c>
      <c r="F5" s="252"/>
      <c r="G5" s="252"/>
      <c r="H5" s="253" t="str">
        <f>IF('Information Sales'!C8="","",'Information Sales'!C8)</f>
        <v/>
      </c>
      <c r="I5" s="253"/>
      <c r="J5" s="253"/>
      <c r="K5" s="253"/>
      <c r="L5" s="246"/>
      <c r="M5" s="59" t="s">
        <v>183</v>
      </c>
      <c r="N5" s="59" t="s">
        <v>184</v>
      </c>
      <c r="O5" s="59" t="s">
        <v>122</v>
      </c>
      <c r="P5" s="59" t="s">
        <v>27</v>
      </c>
      <c r="Q5" s="59" t="s">
        <v>76</v>
      </c>
      <c r="R5" s="59" t="s">
        <v>73</v>
      </c>
      <c r="S5" s="1"/>
      <c r="T5" s="1"/>
    </row>
    <row r="6" spans="2:20" ht="24" customHeight="1">
      <c r="B6" s="56"/>
      <c r="C6" s="243"/>
      <c r="D6" s="244"/>
      <c r="E6" s="244"/>
      <c r="F6" s="244"/>
      <c r="G6" s="244"/>
      <c r="H6" s="244"/>
      <c r="I6" s="244"/>
      <c r="J6" s="244"/>
      <c r="K6" s="244"/>
      <c r="L6" s="184">
        <f>SUM(M6:R6)</f>
        <v>0</v>
      </c>
      <c r="M6" s="187"/>
      <c r="N6" s="60" t="s">
        <v>86</v>
      </c>
      <c r="O6" s="187"/>
      <c r="P6" s="60"/>
      <c r="Q6" s="187"/>
      <c r="R6" s="60"/>
    </row>
    <row r="7" spans="2:20" ht="24" customHeight="1">
      <c r="B7" s="56"/>
      <c r="C7" s="241"/>
      <c r="D7" s="241"/>
      <c r="E7" s="241"/>
      <c r="F7" s="241"/>
      <c r="G7" s="241"/>
      <c r="H7" s="241"/>
      <c r="I7" s="241"/>
      <c r="J7" s="241"/>
      <c r="K7" s="241"/>
      <c r="L7" s="184">
        <f t="shared" ref="L7:L10" si="0">SUM(M7:R7)</f>
        <v>0</v>
      </c>
      <c r="M7" s="187"/>
      <c r="N7" s="60"/>
      <c r="O7" s="187"/>
      <c r="P7" s="60"/>
      <c r="Q7" s="187"/>
      <c r="R7" s="60"/>
    </row>
    <row r="8" spans="2:20" ht="24" customHeight="1">
      <c r="B8" s="61"/>
      <c r="C8" s="245"/>
      <c r="D8" s="245"/>
      <c r="E8" s="245"/>
      <c r="F8" s="245"/>
      <c r="G8" s="245"/>
      <c r="H8" s="245"/>
      <c r="I8" s="245"/>
      <c r="J8" s="245"/>
      <c r="K8" s="245"/>
      <c r="L8" s="184">
        <f t="shared" si="0"/>
        <v>0</v>
      </c>
      <c r="M8" s="187"/>
      <c r="N8" s="60"/>
      <c r="O8" s="187"/>
      <c r="P8" s="60"/>
      <c r="Q8" s="187"/>
      <c r="R8" s="60"/>
    </row>
    <row r="9" spans="2:20" ht="24" customHeight="1">
      <c r="B9" s="61"/>
      <c r="C9" s="258"/>
      <c r="D9" s="258"/>
      <c r="E9" s="258"/>
      <c r="F9" s="258"/>
      <c r="G9" s="258"/>
      <c r="H9" s="258"/>
      <c r="I9" s="258"/>
      <c r="J9" s="258"/>
      <c r="K9" s="258"/>
      <c r="L9" s="184">
        <f t="shared" si="0"/>
        <v>0</v>
      </c>
      <c r="M9" s="187"/>
      <c r="N9" s="60"/>
      <c r="O9" s="187"/>
      <c r="P9" s="60"/>
      <c r="Q9" s="187"/>
      <c r="R9" s="60"/>
    </row>
    <row r="10" spans="2:20" ht="24" customHeight="1">
      <c r="B10" s="61"/>
      <c r="C10" s="241"/>
      <c r="D10" s="241"/>
      <c r="E10" s="241"/>
      <c r="F10" s="241"/>
      <c r="G10" s="241"/>
      <c r="H10" s="241"/>
      <c r="I10" s="241"/>
      <c r="J10" s="241"/>
      <c r="K10" s="241"/>
      <c r="L10" s="184">
        <f t="shared" si="0"/>
        <v>0</v>
      </c>
      <c r="M10" s="187"/>
      <c r="N10" s="62"/>
      <c r="O10" s="187"/>
      <c r="P10" s="60"/>
      <c r="Q10" s="187"/>
      <c r="R10" s="60"/>
    </row>
    <row r="11" spans="2:20" ht="24" customHeight="1">
      <c r="B11" s="56"/>
      <c r="C11" s="241"/>
      <c r="D11" s="241"/>
      <c r="E11" s="241"/>
      <c r="F11" s="241"/>
      <c r="G11" s="241"/>
      <c r="H11" s="241"/>
      <c r="I11" s="241"/>
      <c r="J11" s="241"/>
      <c r="K11" s="241"/>
      <c r="L11" s="184">
        <f t="shared" ref="L11:L22" si="1">SUM(M11:R11)</f>
        <v>0</v>
      </c>
      <c r="M11" s="187"/>
      <c r="N11" s="60"/>
      <c r="O11" s="187"/>
      <c r="P11" s="60"/>
      <c r="Q11" s="187"/>
      <c r="R11" s="60"/>
    </row>
    <row r="12" spans="2:20" ht="24" customHeight="1">
      <c r="B12" s="56"/>
      <c r="C12" s="241"/>
      <c r="D12" s="241"/>
      <c r="E12" s="241"/>
      <c r="F12" s="241"/>
      <c r="G12" s="241"/>
      <c r="H12" s="241"/>
      <c r="I12" s="241"/>
      <c r="J12" s="241"/>
      <c r="K12" s="241"/>
      <c r="L12" s="184">
        <f t="shared" si="1"/>
        <v>0</v>
      </c>
      <c r="M12" s="187"/>
      <c r="N12" s="60"/>
      <c r="O12" s="187"/>
      <c r="P12" s="60"/>
      <c r="Q12" s="187"/>
      <c r="R12" s="60"/>
    </row>
    <row r="13" spans="2:20" ht="24" customHeight="1">
      <c r="B13" s="56"/>
      <c r="C13" s="241"/>
      <c r="D13" s="241"/>
      <c r="E13" s="241"/>
      <c r="F13" s="241"/>
      <c r="G13" s="241"/>
      <c r="H13" s="241"/>
      <c r="I13" s="241"/>
      <c r="J13" s="241"/>
      <c r="K13" s="241"/>
      <c r="L13" s="184">
        <f t="shared" si="1"/>
        <v>0</v>
      </c>
      <c r="M13" s="187"/>
      <c r="N13" s="60"/>
      <c r="O13" s="187"/>
      <c r="P13" s="60"/>
      <c r="Q13" s="187"/>
      <c r="R13" s="60"/>
    </row>
    <row r="14" spans="2:20" ht="24" customHeight="1">
      <c r="B14" s="56"/>
      <c r="C14" s="241"/>
      <c r="D14" s="241"/>
      <c r="E14" s="241"/>
      <c r="F14" s="241"/>
      <c r="G14" s="241"/>
      <c r="H14" s="241"/>
      <c r="I14" s="241"/>
      <c r="J14" s="241"/>
      <c r="K14" s="241"/>
      <c r="L14" s="184">
        <v>0</v>
      </c>
      <c r="M14" s="187"/>
      <c r="N14" s="60"/>
      <c r="O14" s="187"/>
      <c r="P14" s="60"/>
      <c r="Q14" s="187"/>
      <c r="R14" s="60"/>
    </row>
    <row r="15" spans="2:20" ht="24" customHeight="1">
      <c r="B15" s="56"/>
      <c r="C15" s="241"/>
      <c r="D15" s="241"/>
      <c r="E15" s="241"/>
      <c r="F15" s="241"/>
      <c r="G15" s="241"/>
      <c r="H15" s="241"/>
      <c r="I15" s="241"/>
      <c r="J15" s="241"/>
      <c r="K15" s="241"/>
      <c r="L15" s="184">
        <f t="shared" si="1"/>
        <v>0</v>
      </c>
      <c r="M15" s="187"/>
      <c r="N15" s="60"/>
      <c r="O15" s="187"/>
      <c r="P15" s="60"/>
      <c r="Q15" s="187"/>
      <c r="R15" s="60"/>
    </row>
    <row r="16" spans="2:20" ht="24" customHeight="1">
      <c r="B16" s="56"/>
      <c r="C16" s="241"/>
      <c r="D16" s="241"/>
      <c r="E16" s="241"/>
      <c r="F16" s="241"/>
      <c r="G16" s="241"/>
      <c r="H16" s="241"/>
      <c r="I16" s="241"/>
      <c r="J16" s="241"/>
      <c r="K16" s="241"/>
      <c r="L16" s="184">
        <f t="shared" si="1"/>
        <v>0</v>
      </c>
      <c r="M16" s="187"/>
      <c r="N16" s="60"/>
      <c r="O16" s="187"/>
      <c r="P16" s="60"/>
      <c r="Q16" s="187"/>
      <c r="R16" s="60"/>
    </row>
    <row r="17" spans="2:18" ht="24" customHeight="1">
      <c r="B17" s="56"/>
      <c r="C17" s="241"/>
      <c r="D17" s="241"/>
      <c r="E17" s="241"/>
      <c r="F17" s="241"/>
      <c r="G17" s="241"/>
      <c r="H17" s="241"/>
      <c r="I17" s="241"/>
      <c r="J17" s="241"/>
      <c r="K17" s="241"/>
      <c r="L17" s="184">
        <f t="shared" si="1"/>
        <v>0</v>
      </c>
      <c r="M17" s="187"/>
      <c r="N17" s="60"/>
      <c r="O17" s="187"/>
      <c r="P17" s="60"/>
      <c r="Q17" s="187"/>
      <c r="R17" s="60"/>
    </row>
    <row r="18" spans="2:18" ht="24" customHeight="1">
      <c r="B18" s="56"/>
      <c r="C18" s="241"/>
      <c r="D18" s="241"/>
      <c r="E18" s="241"/>
      <c r="F18" s="241"/>
      <c r="G18" s="241"/>
      <c r="H18" s="241"/>
      <c r="I18" s="241"/>
      <c r="J18" s="241"/>
      <c r="K18" s="241"/>
      <c r="L18" s="184">
        <f t="shared" si="1"/>
        <v>0</v>
      </c>
      <c r="M18" s="187"/>
      <c r="N18" s="60"/>
      <c r="O18" s="187"/>
      <c r="P18" s="60"/>
      <c r="Q18" s="187"/>
      <c r="R18" s="60"/>
    </row>
    <row r="19" spans="2:18" ht="24" customHeight="1">
      <c r="B19" s="56"/>
      <c r="C19" s="241"/>
      <c r="D19" s="241"/>
      <c r="E19" s="241"/>
      <c r="F19" s="241"/>
      <c r="G19" s="241"/>
      <c r="H19" s="241"/>
      <c r="I19" s="241"/>
      <c r="J19" s="241"/>
      <c r="K19" s="241"/>
      <c r="L19" s="184">
        <f>SUM(M19:R19)</f>
        <v>0</v>
      </c>
      <c r="M19" s="187"/>
      <c r="N19" s="60"/>
      <c r="O19" s="187"/>
      <c r="P19" s="60"/>
      <c r="Q19" s="187"/>
      <c r="R19" s="60"/>
    </row>
    <row r="20" spans="2:18" ht="24" customHeight="1">
      <c r="B20" s="56"/>
      <c r="C20" s="241"/>
      <c r="D20" s="241"/>
      <c r="E20" s="241"/>
      <c r="F20" s="241"/>
      <c r="G20" s="241"/>
      <c r="H20" s="241"/>
      <c r="I20" s="241"/>
      <c r="J20" s="241"/>
      <c r="K20" s="241"/>
      <c r="L20" s="184">
        <f t="shared" si="1"/>
        <v>0</v>
      </c>
      <c r="M20" s="187"/>
      <c r="N20" s="60"/>
      <c r="O20" s="187"/>
      <c r="P20" s="60"/>
      <c r="Q20" s="187"/>
      <c r="R20" s="60"/>
    </row>
    <row r="21" spans="2:18" ht="24" customHeight="1">
      <c r="B21" s="56"/>
      <c r="C21" s="241"/>
      <c r="D21" s="241"/>
      <c r="E21" s="241"/>
      <c r="F21" s="241"/>
      <c r="G21" s="241"/>
      <c r="H21" s="241"/>
      <c r="I21" s="241"/>
      <c r="J21" s="241"/>
      <c r="K21" s="241"/>
      <c r="L21" s="184">
        <f t="shared" si="1"/>
        <v>0</v>
      </c>
      <c r="M21" s="187"/>
      <c r="N21" s="60"/>
      <c r="O21" s="187"/>
      <c r="P21" s="60"/>
      <c r="Q21" s="187"/>
      <c r="R21" s="60"/>
    </row>
    <row r="22" spans="2:18" ht="24" customHeight="1">
      <c r="B22" s="56"/>
      <c r="C22" s="241"/>
      <c r="D22" s="241"/>
      <c r="E22" s="241"/>
      <c r="F22" s="241"/>
      <c r="G22" s="241"/>
      <c r="H22" s="241"/>
      <c r="I22" s="241"/>
      <c r="J22" s="241"/>
      <c r="K22" s="241"/>
      <c r="L22" s="184">
        <f t="shared" si="1"/>
        <v>0</v>
      </c>
      <c r="M22" s="187"/>
      <c r="N22" s="60"/>
      <c r="O22" s="187"/>
      <c r="P22" s="60"/>
      <c r="Q22" s="187"/>
      <c r="R22" s="60"/>
    </row>
    <row r="23" spans="2:18" ht="24" customHeight="1">
      <c r="B23" s="255"/>
      <c r="C23" s="255"/>
      <c r="D23" s="255"/>
      <c r="E23" s="255"/>
      <c r="F23" s="255"/>
      <c r="G23" s="255"/>
      <c r="H23" s="255"/>
      <c r="I23" s="256" t="s">
        <v>7</v>
      </c>
      <c r="J23" s="256"/>
      <c r="K23" s="256"/>
      <c r="L23" s="185">
        <f t="shared" ref="L23:R23" si="2">SUM(L6:L22)</f>
        <v>0</v>
      </c>
      <c r="M23" s="186">
        <f t="shared" si="2"/>
        <v>0</v>
      </c>
      <c r="N23" s="186">
        <f t="shared" si="2"/>
        <v>0</v>
      </c>
      <c r="O23" s="186">
        <f t="shared" si="2"/>
        <v>0</v>
      </c>
      <c r="P23" s="186">
        <f t="shared" si="2"/>
        <v>0</v>
      </c>
      <c r="Q23" s="186">
        <f t="shared" si="2"/>
        <v>0</v>
      </c>
      <c r="R23" s="186">
        <f t="shared" si="2"/>
        <v>0</v>
      </c>
    </row>
    <row r="24" spans="2:18">
      <c r="L24" s="24"/>
    </row>
  </sheetData>
  <mergeCells count="37">
    <mergeCell ref="C18:K18"/>
    <mergeCell ref="C11:K11"/>
    <mergeCell ref="I3:K3"/>
    <mergeCell ref="B23:H23"/>
    <mergeCell ref="I23:K23"/>
    <mergeCell ref="C16:K16"/>
    <mergeCell ref="C20:K20"/>
    <mergeCell ref="C21:K21"/>
    <mergeCell ref="C22:K22"/>
    <mergeCell ref="C19:K19"/>
    <mergeCell ref="B4:B5"/>
    <mergeCell ref="C9:K9"/>
    <mergeCell ref="C10:K10"/>
    <mergeCell ref="C17:K17"/>
    <mergeCell ref="C12:K12"/>
    <mergeCell ref="C13:K13"/>
    <mergeCell ref="C15:K15"/>
    <mergeCell ref="M4:R4"/>
    <mergeCell ref="C6:K6"/>
    <mergeCell ref="C8:K8"/>
    <mergeCell ref="L4:L5"/>
    <mergeCell ref="C7:K7"/>
    <mergeCell ref="C14:K14"/>
    <mergeCell ref="C4:D4"/>
    <mergeCell ref="E4:G4"/>
    <mergeCell ref="H4:K4"/>
    <mergeCell ref="C5:D5"/>
    <mergeCell ref="E5:G5"/>
    <mergeCell ref="H5:K5"/>
    <mergeCell ref="B1:R1"/>
    <mergeCell ref="B2:C2"/>
    <mergeCell ref="G2:I2"/>
    <mergeCell ref="J2:K2"/>
    <mergeCell ref="N2:R3"/>
    <mergeCell ref="B3:C3"/>
    <mergeCell ref="G3:H3"/>
    <mergeCell ref="L2:M2"/>
  </mergeCells>
  <phoneticPr fontId="0" type="noConversion"/>
  <dataValidations count="1">
    <dataValidation type="decimal" allowBlank="1" showInputMessage="1" showErrorMessage="1" sqref="M23:R23">
      <formula1>0</formula1>
      <formula2>250</formula2>
    </dataValidation>
  </dataValidations>
  <printOptions gridLines="1"/>
  <pageMargins left="0.5" right="0.5" top="0.5" bottom="0.5" header="0.5" footer="0.5"/>
  <pageSetup scale="67" fitToHeight="0" orientation="landscape" r:id="rId1"/>
  <headerFooter alignWithMargins="0">
    <oddFooter>&amp;L&amp;D&amp;C&amp;P of &amp;N&amp;R&amp;F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M98"/>
  <sheetViews>
    <sheetView showGridLines="0" topLeftCell="A58" zoomScaleNormal="100" workbookViewId="0">
      <selection activeCell="B84" sqref="B84"/>
    </sheetView>
  </sheetViews>
  <sheetFormatPr defaultRowHeight="12.75"/>
  <cols>
    <col min="1" max="1" width="3.85546875" customWidth="1"/>
    <col min="2" max="2" width="18.140625" bestFit="1" customWidth="1"/>
    <col min="3" max="3" width="18.28515625" bestFit="1" customWidth="1"/>
    <col min="4" max="5" width="12.140625" customWidth="1"/>
    <col min="6" max="6" width="15.140625" bestFit="1" customWidth="1"/>
    <col min="7" max="7" width="12.140625" customWidth="1"/>
    <col min="8" max="8" width="13.85546875" customWidth="1"/>
    <col min="9" max="9" width="9.140625" style="15"/>
    <col min="11" max="11" width="10.5703125" bestFit="1" customWidth="1"/>
    <col min="12" max="12" width="13.140625" customWidth="1"/>
  </cols>
  <sheetData>
    <row r="1" spans="2:12" ht="16.5" customHeight="1">
      <c r="B1" s="263" t="s">
        <v>28</v>
      </c>
      <c r="C1" s="263"/>
      <c r="D1" s="263"/>
      <c r="E1" s="263"/>
      <c r="F1" s="263"/>
      <c r="G1" s="263"/>
      <c r="H1" s="263"/>
    </row>
    <row r="2" spans="2:12" ht="15" customHeight="1">
      <c r="B2" s="65" t="s">
        <v>30</v>
      </c>
      <c r="C2" s="65" t="s">
        <v>31</v>
      </c>
      <c r="D2" s="65" t="s">
        <v>32</v>
      </c>
      <c r="E2" s="65" t="s">
        <v>33</v>
      </c>
      <c r="F2" s="65" t="s">
        <v>45</v>
      </c>
      <c r="G2" s="65" t="s">
        <v>34</v>
      </c>
      <c r="H2" s="65" t="s">
        <v>35</v>
      </c>
    </row>
    <row r="3" spans="2:12" ht="18.75" customHeight="1">
      <c r="B3" s="169" t="str">
        <f>'TASK LIST SC'!D2:D2</f>
        <v/>
      </c>
      <c r="C3" s="169" t="str">
        <f>'TASK LIST SC'!D3</f>
        <v/>
      </c>
      <c r="D3" s="169" t="str">
        <f>'TASK LIST SC'!F2</f>
        <v/>
      </c>
      <c r="E3" s="169" t="str">
        <f>'TASK LIST SC'!F3</f>
        <v/>
      </c>
      <c r="F3" s="59"/>
      <c r="G3" s="59"/>
      <c r="H3" s="170" t="str">
        <f>'TASK LIST SC'!I3</f>
        <v/>
      </c>
    </row>
    <row r="4" spans="2:12" ht="28.5" customHeight="1">
      <c r="B4" s="260">
        <f>'TASK LIST SC'!N2</f>
        <v>0</v>
      </c>
      <c r="C4" s="261"/>
      <c r="D4" s="261"/>
      <c r="E4" s="261"/>
      <c r="F4" s="261"/>
      <c r="G4" s="261"/>
      <c r="H4" s="262"/>
    </row>
    <row r="5" spans="2:12" ht="15.75" customHeight="1">
      <c r="B5" s="67" t="str">
        <f>'TASK LIST SC'!M5</f>
        <v>Lead</v>
      </c>
      <c r="C5" s="68" t="s">
        <v>25</v>
      </c>
      <c r="D5" s="69" t="s">
        <v>11</v>
      </c>
      <c r="E5" s="70" t="s">
        <v>12</v>
      </c>
      <c r="F5" s="69" t="s">
        <v>45</v>
      </c>
      <c r="G5" s="70" t="s">
        <v>13</v>
      </c>
      <c r="H5" s="70" t="s">
        <v>14</v>
      </c>
      <c r="I5" s="32"/>
      <c r="J5" s="5"/>
      <c r="K5" s="1"/>
      <c r="L5" s="1"/>
    </row>
    <row r="6" spans="2:12" ht="15.75" customHeight="1">
      <c r="B6" s="71" t="s">
        <v>15</v>
      </c>
      <c r="C6" s="72"/>
      <c r="D6" s="73">
        <v>8</v>
      </c>
      <c r="E6" s="171">
        <v>90</v>
      </c>
      <c r="F6" s="74"/>
      <c r="G6" s="172">
        <f>C6*D6*F6</f>
        <v>0</v>
      </c>
      <c r="H6" s="175">
        <f>C6*D6*E6*F6</f>
        <v>0</v>
      </c>
      <c r="I6" s="32"/>
      <c r="J6" s="5"/>
      <c r="K6" s="1"/>
      <c r="L6" s="1"/>
    </row>
    <row r="7" spans="2:12" ht="15.75" customHeight="1">
      <c r="B7" s="71" t="s">
        <v>16</v>
      </c>
      <c r="C7" s="72"/>
      <c r="D7" s="73">
        <v>4</v>
      </c>
      <c r="E7" s="171">
        <f>(E6*1.5)</f>
        <v>135</v>
      </c>
      <c r="F7" s="74"/>
      <c r="G7" s="172">
        <f>C7*D7*F7</f>
        <v>0</v>
      </c>
      <c r="H7" s="175">
        <f>C7*D7*E7*F7</f>
        <v>0</v>
      </c>
      <c r="I7" s="32"/>
      <c r="J7" s="5"/>
      <c r="K7" s="37" t="s">
        <v>98</v>
      </c>
      <c r="L7" s="28">
        <f>H10+H17+H24+H45</f>
        <v>0</v>
      </c>
    </row>
    <row r="8" spans="2:12" ht="15.75" customHeight="1">
      <c r="B8" s="71" t="s">
        <v>17</v>
      </c>
      <c r="C8" s="72"/>
      <c r="D8" s="73">
        <v>12</v>
      </c>
      <c r="E8" s="171">
        <f>E6*1.5</f>
        <v>135</v>
      </c>
      <c r="F8" s="74"/>
      <c r="G8" s="172">
        <f>C8*D8*F8</f>
        <v>0</v>
      </c>
      <c r="H8" s="175">
        <f>C8*D8*E8*F8</f>
        <v>0</v>
      </c>
      <c r="I8" s="33"/>
      <c r="J8" s="6"/>
      <c r="K8" s="37" t="s">
        <v>99</v>
      </c>
      <c r="L8" s="28">
        <f>L7/56</f>
        <v>0</v>
      </c>
    </row>
    <row r="9" spans="2:12" ht="15.75" customHeight="1">
      <c r="B9" s="71" t="s">
        <v>18</v>
      </c>
      <c r="C9" s="72"/>
      <c r="D9" s="73">
        <v>12</v>
      </c>
      <c r="E9" s="171">
        <f>E6*1.5</f>
        <v>135</v>
      </c>
      <c r="F9" s="74"/>
      <c r="G9" s="172">
        <f>C9*D9*F9</f>
        <v>0</v>
      </c>
      <c r="H9" s="175">
        <f>C9*D9*E9*F9</f>
        <v>0</v>
      </c>
      <c r="I9" s="32"/>
      <c r="J9" s="4"/>
      <c r="K9" s="1"/>
      <c r="L9" s="1"/>
    </row>
    <row r="10" spans="2:12" ht="15.75" customHeight="1">
      <c r="B10" s="1"/>
      <c r="C10" s="1"/>
      <c r="D10" s="1"/>
      <c r="E10" s="63" t="str">
        <f>B5</f>
        <v>Lead</v>
      </c>
      <c r="F10" s="64" t="s">
        <v>26</v>
      </c>
      <c r="G10" s="173">
        <f>SUM(G6:G9)</f>
        <v>0</v>
      </c>
      <c r="H10" s="176">
        <f>SUM(H6:H9)</f>
        <v>0</v>
      </c>
      <c r="I10" s="33"/>
      <c r="J10" s="1"/>
      <c r="K10" s="1"/>
      <c r="L10" s="1"/>
    </row>
    <row r="11" spans="2:12" ht="15.75" customHeight="1">
      <c r="B11" s="1"/>
      <c r="C11" s="10" t="str">
        <f>B5</f>
        <v>Lead</v>
      </c>
      <c r="D11" s="9" t="s">
        <v>24</v>
      </c>
      <c r="E11" s="9"/>
      <c r="F11" s="9"/>
      <c r="G11" s="174">
        <f>'TASK LIST SC'!M23</f>
        <v>0</v>
      </c>
      <c r="H11" s="9"/>
      <c r="I11" s="33"/>
      <c r="J11" s="1"/>
      <c r="K11" s="28"/>
      <c r="L11" s="28"/>
    </row>
    <row r="12" spans="2:12" ht="15.75" customHeight="1">
      <c r="B12" s="67" t="str">
        <f>'TASK LIST SC'!N5</f>
        <v>Helper</v>
      </c>
      <c r="C12" s="68" t="s">
        <v>25</v>
      </c>
      <c r="D12" s="69" t="s">
        <v>11</v>
      </c>
      <c r="E12" s="70" t="s">
        <v>12</v>
      </c>
      <c r="F12" s="69" t="s">
        <v>45</v>
      </c>
      <c r="G12" s="70" t="s">
        <v>13</v>
      </c>
      <c r="H12" s="70" t="s">
        <v>14</v>
      </c>
    </row>
    <row r="13" spans="2:12" ht="15.75" customHeight="1">
      <c r="B13" s="71" t="s">
        <v>15</v>
      </c>
      <c r="C13" s="72"/>
      <c r="D13" s="73">
        <v>4</v>
      </c>
      <c r="E13" s="171">
        <v>90</v>
      </c>
      <c r="F13" s="96"/>
      <c r="G13" s="172">
        <f>C13*D13*F13</f>
        <v>0</v>
      </c>
      <c r="H13" s="175">
        <f>C13*D13*E13*F13</f>
        <v>0</v>
      </c>
    </row>
    <row r="14" spans="2:12" ht="15.75" customHeight="1">
      <c r="B14" s="71" t="s">
        <v>16</v>
      </c>
      <c r="C14" s="72"/>
      <c r="D14" s="73">
        <v>4</v>
      </c>
      <c r="E14" s="171">
        <v>135</v>
      </c>
      <c r="F14" s="96"/>
      <c r="G14" s="172">
        <f>C14*D14*F14</f>
        <v>0</v>
      </c>
      <c r="H14" s="175">
        <f>C14*D14*E14*F14</f>
        <v>0</v>
      </c>
    </row>
    <row r="15" spans="2:12" ht="15.75" customHeight="1">
      <c r="B15" s="71" t="s">
        <v>17</v>
      </c>
      <c r="C15" s="72"/>
      <c r="D15" s="73">
        <v>12</v>
      </c>
      <c r="E15" s="171">
        <f>(E13*1.5)</f>
        <v>135</v>
      </c>
      <c r="F15" s="96"/>
      <c r="G15" s="172">
        <f>C15*D15*F15</f>
        <v>0</v>
      </c>
      <c r="H15" s="175">
        <f>C15*D15*E15*F15</f>
        <v>0</v>
      </c>
      <c r="J15" s="11"/>
    </row>
    <row r="16" spans="2:12" ht="15.75" customHeight="1">
      <c r="B16" s="71" t="s">
        <v>18</v>
      </c>
      <c r="C16" s="72"/>
      <c r="D16" s="73">
        <v>12</v>
      </c>
      <c r="E16" s="171">
        <f>(E13*1.5)</f>
        <v>135</v>
      </c>
      <c r="F16" s="96"/>
      <c r="G16" s="172">
        <f>C16*D16*F16</f>
        <v>0</v>
      </c>
      <c r="H16" s="175">
        <f>C16*D16*E16*F16</f>
        <v>0</v>
      </c>
    </row>
    <row r="17" spans="2:8" ht="15.75" customHeight="1">
      <c r="B17" s="1"/>
      <c r="C17" s="1"/>
      <c r="D17" s="1"/>
      <c r="E17" s="63" t="str">
        <f>B12</f>
        <v>Helper</v>
      </c>
      <c r="F17" s="64" t="s">
        <v>26</v>
      </c>
      <c r="G17" s="173">
        <f>SUM(G13:G16)</f>
        <v>0</v>
      </c>
      <c r="H17" s="176">
        <f>SUM(H13:H16)</f>
        <v>0</v>
      </c>
    </row>
    <row r="18" spans="2:8" ht="15.75" customHeight="1">
      <c r="B18" s="1"/>
      <c r="C18" s="10" t="str">
        <f>B12</f>
        <v>Helper</v>
      </c>
      <c r="D18" s="9" t="s">
        <v>24</v>
      </c>
      <c r="E18" s="9"/>
      <c r="F18" s="9"/>
      <c r="G18" s="174">
        <f>'TASK LIST SC'!N23</f>
        <v>0</v>
      </c>
      <c r="H18" s="9"/>
    </row>
    <row r="19" spans="2:8" ht="15.75" customHeight="1">
      <c r="B19" s="67" t="str">
        <f>'TASK LIST SC'!O5</f>
        <v>Welder</v>
      </c>
      <c r="C19" s="68" t="s">
        <v>25</v>
      </c>
      <c r="D19" s="69" t="s">
        <v>11</v>
      </c>
      <c r="E19" s="70" t="s">
        <v>12</v>
      </c>
      <c r="F19" s="69" t="s">
        <v>45</v>
      </c>
      <c r="G19" s="70" t="s">
        <v>13</v>
      </c>
      <c r="H19" s="70" t="s">
        <v>14</v>
      </c>
    </row>
    <row r="20" spans="2:8" ht="15.75" customHeight="1">
      <c r="B20" s="71" t="s">
        <v>15</v>
      </c>
      <c r="C20" s="72"/>
      <c r="D20" s="73">
        <v>12</v>
      </c>
      <c r="E20" s="171">
        <v>132</v>
      </c>
      <c r="F20" s="74"/>
      <c r="G20" s="172">
        <f>C20*D20*F20</f>
        <v>0</v>
      </c>
      <c r="H20" s="175">
        <f>C20*D20*E20*F20</f>
        <v>0</v>
      </c>
    </row>
    <row r="21" spans="2:8" ht="15.75" customHeight="1">
      <c r="B21" s="71" t="s">
        <v>16</v>
      </c>
      <c r="C21" s="72"/>
      <c r="D21" s="73">
        <v>4</v>
      </c>
      <c r="E21" s="171">
        <f>(E20*1.5)</f>
        <v>198</v>
      </c>
      <c r="F21" s="74"/>
      <c r="G21" s="172">
        <f>C21*D21*F21</f>
        <v>0</v>
      </c>
      <c r="H21" s="175">
        <f>C21*D21*E21*F21</f>
        <v>0</v>
      </c>
    </row>
    <row r="22" spans="2:8" ht="15.75" customHeight="1">
      <c r="B22" s="71" t="s">
        <v>17</v>
      </c>
      <c r="C22" s="72"/>
      <c r="D22" s="73">
        <v>12</v>
      </c>
      <c r="E22" s="171">
        <f>E21</f>
        <v>198</v>
      </c>
      <c r="F22" s="74"/>
      <c r="G22" s="172">
        <f>C22*D22*F22</f>
        <v>0</v>
      </c>
      <c r="H22" s="175">
        <f>C22*D22*E22*F22</f>
        <v>0</v>
      </c>
    </row>
    <row r="23" spans="2:8" ht="15.75" customHeight="1">
      <c r="B23" s="71" t="s">
        <v>18</v>
      </c>
      <c r="C23" s="72"/>
      <c r="D23" s="73">
        <v>12</v>
      </c>
      <c r="E23" s="171">
        <f>E22</f>
        <v>198</v>
      </c>
      <c r="F23" s="74"/>
      <c r="G23" s="172">
        <f>C23*D23*F23</f>
        <v>0</v>
      </c>
      <c r="H23" s="175">
        <f>C23*D23*E23*F23</f>
        <v>0</v>
      </c>
    </row>
    <row r="24" spans="2:8" ht="15.75" customHeight="1">
      <c r="B24" s="1"/>
      <c r="C24" s="1"/>
      <c r="D24" s="1"/>
      <c r="E24" s="63" t="str">
        <f>B19</f>
        <v>Welder</v>
      </c>
      <c r="F24" s="64" t="s">
        <v>26</v>
      </c>
      <c r="G24" s="173">
        <f>SUM(G20:G23)</f>
        <v>0</v>
      </c>
      <c r="H24" s="176">
        <f>SUM(H20:H23)</f>
        <v>0</v>
      </c>
    </row>
    <row r="25" spans="2:8" ht="15.75" customHeight="1">
      <c r="B25" s="1"/>
      <c r="C25" s="10" t="str">
        <f>B19</f>
        <v>Welder</v>
      </c>
      <c r="D25" s="9" t="s">
        <v>24</v>
      </c>
      <c r="E25" s="9"/>
      <c r="F25" s="9"/>
      <c r="G25" s="174">
        <f>'TASK LIST SC'!O23</f>
        <v>0</v>
      </c>
      <c r="H25" s="9"/>
    </row>
    <row r="26" spans="2:8" ht="15.75" customHeight="1">
      <c r="B26" s="67" t="str">
        <f>'TASK LIST SC'!P5</f>
        <v>INST. TECH.</v>
      </c>
      <c r="C26" s="68" t="s">
        <v>25</v>
      </c>
      <c r="D26" s="69" t="s">
        <v>11</v>
      </c>
      <c r="E26" s="70" t="s">
        <v>12</v>
      </c>
      <c r="F26" s="69" t="s">
        <v>45</v>
      </c>
      <c r="G26" s="70" t="s">
        <v>13</v>
      </c>
      <c r="H26" s="70" t="s">
        <v>14</v>
      </c>
    </row>
    <row r="27" spans="2:8" ht="15.75" customHeight="1">
      <c r="B27" s="71" t="s">
        <v>15</v>
      </c>
      <c r="C27" s="72"/>
      <c r="D27" s="73">
        <v>8</v>
      </c>
      <c r="E27" s="171">
        <v>106.25</v>
      </c>
      <c r="F27" s="96"/>
      <c r="G27" s="172">
        <f>C27*D27*F27</f>
        <v>0</v>
      </c>
      <c r="H27" s="175">
        <f>C27*D27*E27*F27</f>
        <v>0</v>
      </c>
    </row>
    <row r="28" spans="2:8" ht="15.75" customHeight="1">
      <c r="B28" s="71" t="s">
        <v>16</v>
      </c>
      <c r="C28" s="72"/>
      <c r="D28" s="73">
        <v>4</v>
      </c>
      <c r="E28" s="171">
        <f>(E27*1.5)</f>
        <v>159.375</v>
      </c>
      <c r="F28" s="96"/>
      <c r="G28" s="172">
        <f>C28*D28*F28</f>
        <v>0</v>
      </c>
      <c r="H28" s="175">
        <f>C28*D28*E28*F28</f>
        <v>0</v>
      </c>
    </row>
    <row r="29" spans="2:8" ht="15.75" customHeight="1">
      <c r="B29" s="71" t="s">
        <v>17</v>
      </c>
      <c r="C29" s="72"/>
      <c r="D29" s="73">
        <v>12</v>
      </c>
      <c r="E29" s="171">
        <f>(E27*1.5)</f>
        <v>159.375</v>
      </c>
      <c r="F29" s="96"/>
      <c r="G29" s="172">
        <f>C29*D29*F29</f>
        <v>0</v>
      </c>
      <c r="H29" s="175">
        <f>C29*D29*E29*F29</f>
        <v>0</v>
      </c>
    </row>
    <row r="30" spans="2:8" ht="15.75" customHeight="1">
      <c r="B30" s="71" t="s">
        <v>18</v>
      </c>
      <c r="C30" s="72"/>
      <c r="D30" s="73">
        <v>12</v>
      </c>
      <c r="E30" s="171">
        <f>(E27*1.5)</f>
        <v>159.375</v>
      </c>
      <c r="F30" s="96"/>
      <c r="G30" s="172">
        <f>C30*D30*F30</f>
        <v>0</v>
      </c>
      <c r="H30" s="175">
        <f>C30*D30*E30*F30</f>
        <v>0</v>
      </c>
    </row>
    <row r="31" spans="2:8" ht="15.75" customHeight="1">
      <c r="B31" s="1"/>
      <c r="C31" s="1"/>
      <c r="D31" s="1"/>
      <c r="E31" s="63" t="str">
        <f>B26</f>
        <v>INST. TECH.</v>
      </c>
      <c r="F31" s="64" t="s">
        <v>26</v>
      </c>
      <c r="G31" s="173">
        <f>SUM(G27:G30)</f>
        <v>0</v>
      </c>
      <c r="H31" s="176">
        <f>SUM(H27:H30)</f>
        <v>0</v>
      </c>
    </row>
    <row r="32" spans="2:8" ht="15.75" customHeight="1">
      <c r="B32" s="1"/>
      <c r="C32" s="10" t="str">
        <f>B26</f>
        <v>INST. TECH.</v>
      </c>
      <c r="D32" s="9" t="s">
        <v>24</v>
      </c>
      <c r="E32" s="9"/>
      <c r="F32" s="9"/>
      <c r="G32" s="174">
        <f>'TASK LIST SC'!P23</f>
        <v>0</v>
      </c>
      <c r="H32" s="9"/>
    </row>
    <row r="33" spans="2:8" ht="15.75" customHeight="1">
      <c r="B33" s="67" t="str">
        <f>'TASK LIST SC'!Q5</f>
        <v>ENGINEER</v>
      </c>
      <c r="C33" s="68" t="s">
        <v>25</v>
      </c>
      <c r="D33" s="69" t="s">
        <v>11</v>
      </c>
      <c r="E33" s="70" t="s">
        <v>12</v>
      </c>
      <c r="F33" s="69" t="s">
        <v>45</v>
      </c>
      <c r="G33" s="70" t="s">
        <v>13</v>
      </c>
      <c r="H33" s="70" t="s">
        <v>14</v>
      </c>
    </row>
    <row r="34" spans="2:8" ht="15.75" customHeight="1">
      <c r="B34" s="71" t="s">
        <v>15</v>
      </c>
      <c r="C34" s="72"/>
      <c r="D34" s="73">
        <v>8</v>
      </c>
      <c r="E34" s="171">
        <v>145</v>
      </c>
      <c r="F34" s="96"/>
      <c r="G34" s="172">
        <f>C34*D34*F34</f>
        <v>0</v>
      </c>
      <c r="H34" s="175">
        <f>C34*D34*E34*F34</f>
        <v>0</v>
      </c>
    </row>
    <row r="35" spans="2:8" ht="15.75" customHeight="1">
      <c r="B35" s="71" t="s">
        <v>16</v>
      </c>
      <c r="C35" s="72"/>
      <c r="D35" s="73">
        <v>4</v>
      </c>
      <c r="E35" s="171">
        <f>(E34*1.5)</f>
        <v>217.5</v>
      </c>
      <c r="F35" s="96"/>
      <c r="G35" s="172">
        <f>C35*D35*F35</f>
        <v>0</v>
      </c>
      <c r="H35" s="175">
        <f>C35*D35*E35*F35</f>
        <v>0</v>
      </c>
    </row>
    <row r="36" spans="2:8" ht="15.75" customHeight="1">
      <c r="B36" s="71" t="s">
        <v>17</v>
      </c>
      <c r="C36" s="72"/>
      <c r="D36" s="73">
        <v>12</v>
      </c>
      <c r="E36" s="171">
        <f>E34*1.5</f>
        <v>217.5</v>
      </c>
      <c r="F36" s="96"/>
      <c r="G36" s="172">
        <f>C36*D36*F36</f>
        <v>0</v>
      </c>
      <c r="H36" s="175">
        <f>C36*D36*E36*F36</f>
        <v>0</v>
      </c>
    </row>
    <row r="37" spans="2:8" ht="15.75" customHeight="1">
      <c r="B37" s="71" t="s">
        <v>18</v>
      </c>
      <c r="C37" s="72"/>
      <c r="D37" s="73">
        <v>12</v>
      </c>
      <c r="E37" s="171">
        <f>E34*1.5</f>
        <v>217.5</v>
      </c>
      <c r="F37" s="96"/>
      <c r="G37" s="172">
        <f>C37*D37*F37</f>
        <v>0</v>
      </c>
      <c r="H37" s="175">
        <f>C37*D37*E37*F37</f>
        <v>0</v>
      </c>
    </row>
    <row r="38" spans="2:8" ht="15.75" customHeight="1">
      <c r="B38" s="1"/>
      <c r="C38" s="1"/>
      <c r="D38" s="1"/>
      <c r="E38" s="63" t="str">
        <f>B33</f>
        <v>ENGINEER</v>
      </c>
      <c r="F38" s="64" t="s">
        <v>26</v>
      </c>
      <c r="G38" s="173">
        <f>SUM(G34:G37)</f>
        <v>0</v>
      </c>
      <c r="H38" s="176">
        <f>SUM(H34:H37)</f>
        <v>0</v>
      </c>
    </row>
    <row r="39" spans="2:8" ht="15.75" customHeight="1">
      <c r="B39" s="1"/>
      <c r="C39" s="10" t="str">
        <f>B33</f>
        <v>ENGINEER</v>
      </c>
      <c r="D39" s="9" t="s">
        <v>24</v>
      </c>
      <c r="E39" s="9"/>
      <c r="F39" s="9"/>
      <c r="G39" s="174">
        <f>'TASK LIST SC'!Q23</f>
        <v>0</v>
      </c>
      <c r="H39" s="9"/>
    </row>
    <row r="40" spans="2:8" ht="15.75" customHeight="1">
      <c r="B40" s="67" t="str">
        <f>'TASK LIST SC'!R5</f>
        <v>DAILY TRAVEL</v>
      </c>
      <c r="C40" s="68" t="s">
        <v>25</v>
      </c>
      <c r="D40" s="69" t="s">
        <v>11</v>
      </c>
      <c r="E40" s="70" t="s">
        <v>12</v>
      </c>
      <c r="F40" s="69" t="s">
        <v>45</v>
      </c>
      <c r="G40" s="70" t="s">
        <v>13</v>
      </c>
      <c r="H40" s="70" t="s">
        <v>14</v>
      </c>
    </row>
    <row r="41" spans="2:8" ht="15.75" customHeight="1">
      <c r="B41" s="71" t="s">
        <v>185</v>
      </c>
      <c r="C41" s="72"/>
      <c r="D41" s="73">
        <v>1</v>
      </c>
      <c r="E41" s="171">
        <v>90</v>
      </c>
      <c r="F41" s="96"/>
      <c r="G41" s="172">
        <f>C41*D41*F41</f>
        <v>0</v>
      </c>
      <c r="H41" s="175">
        <f>C41*D41*E41*F41</f>
        <v>0</v>
      </c>
    </row>
    <row r="42" spans="2:8" ht="15.75" customHeight="1">
      <c r="B42" s="71" t="s">
        <v>15</v>
      </c>
      <c r="C42" s="72"/>
      <c r="D42" s="73">
        <v>1</v>
      </c>
      <c r="E42" s="171">
        <v>90</v>
      </c>
      <c r="F42" s="96"/>
      <c r="G42" s="172">
        <f>C42*D42*F42</f>
        <v>0</v>
      </c>
      <c r="H42" s="175">
        <f>C42*D42*E42*F42</f>
        <v>0</v>
      </c>
    </row>
    <row r="43" spans="2:8" ht="15.75" customHeight="1">
      <c r="B43" s="71" t="s">
        <v>15</v>
      </c>
      <c r="C43" s="72"/>
      <c r="D43" s="73">
        <v>1</v>
      </c>
      <c r="E43" s="171">
        <v>142.5</v>
      </c>
      <c r="F43" s="96"/>
      <c r="G43" s="172">
        <f>C43*D43*F43</f>
        <v>0</v>
      </c>
      <c r="H43" s="175">
        <f>C43*D43*E43*F43</f>
        <v>0</v>
      </c>
    </row>
    <row r="44" spans="2:8" ht="15.75" customHeight="1">
      <c r="B44" s="71" t="s">
        <v>15</v>
      </c>
      <c r="C44" s="72"/>
      <c r="D44" s="73">
        <v>1</v>
      </c>
      <c r="E44" s="171">
        <v>112.5</v>
      </c>
      <c r="F44" s="96"/>
      <c r="G44" s="172">
        <f>C44*D44*F44</f>
        <v>0</v>
      </c>
      <c r="H44" s="175">
        <f>C44*D44*E44*F44</f>
        <v>0</v>
      </c>
    </row>
    <row r="45" spans="2:8" ht="15.75" customHeight="1">
      <c r="B45" s="1"/>
      <c r="C45" s="1"/>
      <c r="D45" s="1"/>
      <c r="E45" s="91" t="str">
        <f>B40</f>
        <v>DAILY TRAVEL</v>
      </c>
      <c r="F45" s="64" t="s">
        <v>26</v>
      </c>
      <c r="G45" s="173">
        <f>SUM(G41:G44)</f>
        <v>0</v>
      </c>
      <c r="H45" s="176">
        <f>SUM(H41:H44)</f>
        <v>0</v>
      </c>
    </row>
    <row r="46" spans="2:8" ht="15.75" customHeight="1">
      <c r="B46" s="1"/>
      <c r="C46" s="10" t="str">
        <f>B40</f>
        <v>DAILY TRAVEL</v>
      </c>
      <c r="D46" s="9" t="s">
        <v>24</v>
      </c>
      <c r="E46" s="9"/>
      <c r="F46" s="9"/>
      <c r="G46" s="174">
        <f>'TASK LIST SC'!R23</f>
        <v>0</v>
      </c>
      <c r="H46" s="9"/>
    </row>
    <row r="47" spans="2:8" ht="21.75" customHeight="1">
      <c r="B47" s="263" t="s">
        <v>29</v>
      </c>
      <c r="C47" s="263"/>
      <c r="D47" s="263"/>
      <c r="E47" s="263"/>
      <c r="F47" s="263"/>
      <c r="G47" s="263"/>
      <c r="H47" s="263"/>
    </row>
    <row r="48" spans="2:8" ht="15.75" customHeight="1">
      <c r="B48" s="65" t="s">
        <v>30</v>
      </c>
      <c r="C48" s="65" t="s">
        <v>31</v>
      </c>
      <c r="D48" s="65" t="s">
        <v>32</v>
      </c>
      <c r="E48" s="65" t="s">
        <v>33</v>
      </c>
      <c r="F48" s="65" t="s">
        <v>45</v>
      </c>
      <c r="G48" s="65" t="s">
        <v>34</v>
      </c>
      <c r="H48" s="65" t="s">
        <v>35</v>
      </c>
    </row>
    <row r="49" spans="2:13" ht="15.75" customHeight="1">
      <c r="B49" s="169" t="str">
        <f t="shared" ref="B49:H49" si="0">B3</f>
        <v/>
      </c>
      <c r="C49" s="169" t="str">
        <f t="shared" si="0"/>
        <v/>
      </c>
      <c r="D49" s="169" t="str">
        <f t="shared" si="0"/>
        <v/>
      </c>
      <c r="E49" s="169" t="str">
        <f t="shared" si="0"/>
        <v/>
      </c>
      <c r="F49" s="66"/>
      <c r="G49" s="66"/>
      <c r="H49" s="177" t="str">
        <f t="shared" si="0"/>
        <v/>
      </c>
    </row>
    <row r="50" spans="2:13" ht="28.5" customHeight="1">
      <c r="B50" s="75" t="s">
        <v>36</v>
      </c>
      <c r="C50" s="264">
        <f>B4</f>
        <v>0</v>
      </c>
      <c r="D50" s="265"/>
      <c r="E50" s="265"/>
      <c r="F50" s="265"/>
      <c r="G50" s="265"/>
      <c r="H50" s="265"/>
    </row>
    <row r="51" spans="2:13" ht="15.75" customHeight="1">
      <c r="B51" s="76" t="s">
        <v>37</v>
      </c>
      <c r="C51" s="68" t="s">
        <v>41</v>
      </c>
      <c r="D51" s="69" t="s">
        <v>10</v>
      </c>
      <c r="E51" s="69" t="s">
        <v>12</v>
      </c>
      <c r="F51" s="92"/>
      <c r="G51" s="93"/>
      <c r="H51" s="70" t="s">
        <v>14</v>
      </c>
      <c r="I51" s="34"/>
      <c r="J51" s="26"/>
      <c r="K51" s="1"/>
      <c r="L51" s="1"/>
      <c r="M51" s="1"/>
    </row>
    <row r="52" spans="2:13" ht="15.75" customHeight="1">
      <c r="B52" s="77"/>
      <c r="C52" s="72"/>
      <c r="D52" s="73">
        <v>2</v>
      </c>
      <c r="E52" s="78">
        <v>100</v>
      </c>
      <c r="F52" s="12"/>
      <c r="G52" s="7"/>
      <c r="H52" s="175">
        <f>C52*D52*E52</f>
        <v>0</v>
      </c>
      <c r="I52" s="35"/>
      <c r="J52" s="1"/>
      <c r="K52" s="1"/>
      <c r="L52" s="1"/>
      <c r="M52" s="1"/>
    </row>
    <row r="53" spans="2:13" ht="15.75" customHeight="1">
      <c r="B53" s="76" t="s">
        <v>38</v>
      </c>
      <c r="C53" s="68" t="s">
        <v>42</v>
      </c>
      <c r="D53" s="69" t="s">
        <v>20</v>
      </c>
      <c r="E53" s="69" t="s">
        <v>12</v>
      </c>
      <c r="F53" s="69" t="s">
        <v>10</v>
      </c>
      <c r="G53" s="90" t="s">
        <v>68</v>
      </c>
      <c r="H53" s="70" t="s">
        <v>14</v>
      </c>
      <c r="I53" s="34"/>
      <c r="J53" s="1"/>
      <c r="K53" s="1"/>
      <c r="L53" s="1"/>
      <c r="M53" s="1"/>
    </row>
    <row r="54" spans="2:13" ht="15.75" customHeight="1">
      <c r="B54" s="79" t="s">
        <v>39</v>
      </c>
      <c r="C54" s="72"/>
      <c r="D54" s="74">
        <v>30</v>
      </c>
      <c r="E54" s="167">
        <v>2.25</v>
      </c>
      <c r="F54" s="72"/>
      <c r="G54" s="178">
        <f>C54*D54*F54</f>
        <v>0</v>
      </c>
      <c r="H54" s="175">
        <f>C54*D54*E54*F54</f>
        <v>0</v>
      </c>
      <c r="I54" s="36"/>
      <c r="J54" s="1"/>
      <c r="K54" s="1"/>
      <c r="L54" s="1"/>
      <c r="M54" s="1"/>
    </row>
    <row r="55" spans="2:13" ht="15.75" customHeight="1">
      <c r="B55" s="76" t="s">
        <v>38</v>
      </c>
      <c r="C55" s="68" t="s">
        <v>42</v>
      </c>
      <c r="D55" s="69" t="s">
        <v>20</v>
      </c>
      <c r="E55" s="69" t="s">
        <v>12</v>
      </c>
      <c r="F55" s="69" t="s">
        <v>10</v>
      </c>
      <c r="G55" s="90" t="s">
        <v>68</v>
      </c>
      <c r="H55" s="70" t="s">
        <v>14</v>
      </c>
      <c r="I55" s="34"/>
      <c r="J55" s="1"/>
      <c r="K55" s="1"/>
      <c r="L55" s="1"/>
      <c r="M55" s="1"/>
    </row>
    <row r="56" spans="2:13" ht="15.75" customHeight="1">
      <c r="B56" s="79" t="s">
        <v>39</v>
      </c>
      <c r="C56" s="72">
        <v>0</v>
      </c>
      <c r="D56" s="74">
        <v>282</v>
      </c>
      <c r="E56" s="167">
        <v>2.25</v>
      </c>
      <c r="F56" s="74"/>
      <c r="G56" s="178">
        <f>C56*D56*F56</f>
        <v>0</v>
      </c>
      <c r="H56" s="175">
        <f>C56*D56*E56*F56</f>
        <v>0</v>
      </c>
      <c r="I56" s="34"/>
      <c r="J56" s="1"/>
      <c r="K56" s="1"/>
      <c r="L56" s="1"/>
      <c r="M56" s="1"/>
    </row>
    <row r="57" spans="2:13" ht="15.75" customHeight="1">
      <c r="B57" s="76" t="s">
        <v>38</v>
      </c>
      <c r="C57" s="68" t="s">
        <v>42</v>
      </c>
      <c r="D57" s="69" t="s">
        <v>20</v>
      </c>
      <c r="E57" s="69" t="s">
        <v>12</v>
      </c>
      <c r="F57" s="69" t="s">
        <v>10</v>
      </c>
      <c r="G57" s="90" t="s">
        <v>21</v>
      </c>
      <c r="H57" s="70" t="s">
        <v>14</v>
      </c>
      <c r="I57" s="34"/>
      <c r="J57" s="1"/>
      <c r="K57" s="1"/>
      <c r="L57" s="1"/>
      <c r="M57" s="1"/>
    </row>
    <row r="58" spans="2:13" ht="15.75" customHeight="1">
      <c r="B58" s="80" t="s">
        <v>39</v>
      </c>
      <c r="C58" s="72"/>
      <c r="D58" s="72">
        <v>380</v>
      </c>
      <c r="E58" s="179">
        <v>1.75</v>
      </c>
      <c r="F58" s="74"/>
      <c r="G58" s="172">
        <f>C58*D58*F58</f>
        <v>0</v>
      </c>
      <c r="H58" s="175">
        <f>C58*D58*E58*F58</f>
        <v>0</v>
      </c>
      <c r="I58" s="34"/>
      <c r="J58" s="1"/>
      <c r="K58" s="1"/>
      <c r="L58" s="1"/>
      <c r="M58" s="1"/>
    </row>
    <row r="59" spans="2:13" ht="15.75" customHeight="1">
      <c r="B59" s="76" t="s">
        <v>40</v>
      </c>
      <c r="C59" s="68" t="s">
        <v>43</v>
      </c>
      <c r="D59" s="69" t="s">
        <v>12</v>
      </c>
      <c r="E59" s="69" t="s">
        <v>10</v>
      </c>
      <c r="F59" s="12"/>
      <c r="G59" s="7"/>
      <c r="H59" s="70" t="s">
        <v>14</v>
      </c>
      <c r="I59" s="34"/>
      <c r="J59" s="1"/>
      <c r="K59" s="1"/>
      <c r="L59" s="1"/>
      <c r="M59" s="1"/>
    </row>
    <row r="60" spans="2:13" ht="15.75" customHeight="1">
      <c r="B60" s="77"/>
      <c r="C60" s="72"/>
      <c r="D60" s="78">
        <v>0</v>
      </c>
      <c r="E60" s="73"/>
      <c r="F60" s="94"/>
      <c r="G60" s="95"/>
      <c r="H60" s="175">
        <f>C60*D60*E60</f>
        <v>0</v>
      </c>
      <c r="I60" s="34"/>
      <c r="J60" s="1"/>
      <c r="K60" s="1"/>
      <c r="L60" s="1"/>
      <c r="M60" s="1"/>
    </row>
    <row r="61" spans="2:13" ht="15.75" customHeight="1">
      <c r="B61" s="266" t="s">
        <v>48</v>
      </c>
      <c r="C61" s="266"/>
      <c r="D61" s="266"/>
      <c r="E61" s="266"/>
      <c r="I61" s="33"/>
      <c r="J61" s="1"/>
      <c r="K61" s="1"/>
      <c r="L61" s="1"/>
      <c r="M61" s="1"/>
    </row>
    <row r="62" spans="2:13" ht="15.75" customHeight="1">
      <c r="B62" s="259" t="s">
        <v>44</v>
      </c>
      <c r="C62" s="259"/>
      <c r="D62" s="259"/>
      <c r="E62" s="53" t="s">
        <v>52</v>
      </c>
      <c r="F62" s="53" t="s">
        <v>10</v>
      </c>
      <c r="G62" s="53" t="s">
        <v>46</v>
      </c>
      <c r="H62" s="53" t="s">
        <v>47</v>
      </c>
      <c r="I62" s="33"/>
      <c r="J62" s="1"/>
      <c r="K62" s="1"/>
      <c r="L62" s="1"/>
      <c r="M62" s="1"/>
    </row>
    <row r="63" spans="2:13" ht="15.75" customHeight="1">
      <c r="B63" s="267"/>
      <c r="C63" s="267"/>
      <c r="D63" s="267"/>
      <c r="E63" s="81"/>
      <c r="F63" s="81"/>
      <c r="G63" s="82"/>
      <c r="H63" s="175">
        <f>E63*F63*G63</f>
        <v>0</v>
      </c>
    </row>
    <row r="64" spans="2:13" ht="15.75" customHeight="1">
      <c r="B64" s="267"/>
      <c r="C64" s="267"/>
      <c r="D64" s="267"/>
      <c r="E64" s="81"/>
      <c r="F64" s="81"/>
      <c r="G64" s="82"/>
      <c r="H64" s="175">
        <f t="shared" ref="H64:H82" si="1">E64*F64*G64</f>
        <v>0</v>
      </c>
    </row>
    <row r="65" spans="2:8" ht="15.75" customHeight="1">
      <c r="B65" s="267"/>
      <c r="C65" s="267"/>
      <c r="D65" s="267"/>
      <c r="E65" s="81"/>
      <c r="F65" s="81"/>
      <c r="G65" s="82">
        <v>0</v>
      </c>
      <c r="H65" s="175">
        <f t="shared" si="1"/>
        <v>0</v>
      </c>
    </row>
    <row r="66" spans="2:8" ht="15.75" customHeight="1">
      <c r="B66" s="268"/>
      <c r="C66" s="267"/>
      <c r="D66" s="267"/>
      <c r="E66" s="81"/>
      <c r="F66" s="81"/>
      <c r="G66" s="82">
        <v>0</v>
      </c>
      <c r="H66" s="175">
        <f t="shared" si="1"/>
        <v>0</v>
      </c>
    </row>
    <row r="67" spans="2:8" ht="15.75" customHeight="1">
      <c r="B67" s="268"/>
      <c r="C67" s="267"/>
      <c r="D67" s="267"/>
      <c r="E67" s="81"/>
      <c r="F67" s="81"/>
      <c r="G67" s="82">
        <v>0</v>
      </c>
      <c r="H67" s="175">
        <f t="shared" si="1"/>
        <v>0</v>
      </c>
    </row>
    <row r="68" spans="2:8" ht="15.75" customHeight="1">
      <c r="B68" s="267"/>
      <c r="C68" s="267"/>
      <c r="D68" s="267"/>
      <c r="E68" s="81"/>
      <c r="F68" s="81"/>
      <c r="G68" s="82">
        <v>0</v>
      </c>
      <c r="H68" s="175">
        <f t="shared" si="1"/>
        <v>0</v>
      </c>
    </row>
    <row r="69" spans="2:8" ht="15.75" customHeight="1">
      <c r="B69" s="267"/>
      <c r="C69" s="267"/>
      <c r="D69" s="267"/>
      <c r="E69" s="81"/>
      <c r="F69" s="81"/>
      <c r="G69" s="82">
        <v>0</v>
      </c>
      <c r="H69" s="175">
        <f t="shared" si="1"/>
        <v>0</v>
      </c>
    </row>
    <row r="70" spans="2:8" ht="15.75" customHeight="1">
      <c r="B70" s="267"/>
      <c r="C70" s="267"/>
      <c r="D70" s="267"/>
      <c r="E70" s="81"/>
      <c r="F70" s="81"/>
      <c r="G70" s="82">
        <v>0</v>
      </c>
      <c r="H70" s="175">
        <f t="shared" si="1"/>
        <v>0</v>
      </c>
    </row>
    <row r="71" spans="2:8" ht="15.75" customHeight="1">
      <c r="B71" s="267"/>
      <c r="C71" s="267"/>
      <c r="D71" s="267"/>
      <c r="E71" s="81"/>
      <c r="F71" s="81"/>
      <c r="G71" s="82">
        <v>0</v>
      </c>
      <c r="H71" s="175">
        <f t="shared" si="1"/>
        <v>0</v>
      </c>
    </row>
    <row r="72" spans="2:8" ht="15.75" customHeight="1">
      <c r="B72" s="267"/>
      <c r="C72" s="267"/>
      <c r="D72" s="267"/>
      <c r="E72" s="81"/>
      <c r="F72" s="81"/>
      <c r="G72" s="82">
        <v>0</v>
      </c>
      <c r="H72" s="175">
        <f t="shared" si="1"/>
        <v>0</v>
      </c>
    </row>
    <row r="73" spans="2:8" ht="15.75" customHeight="1">
      <c r="B73" s="267"/>
      <c r="C73" s="267"/>
      <c r="D73" s="267"/>
      <c r="E73" s="81"/>
      <c r="F73" s="81"/>
      <c r="G73" s="82">
        <v>0</v>
      </c>
      <c r="H73" s="175">
        <f t="shared" si="1"/>
        <v>0</v>
      </c>
    </row>
    <row r="74" spans="2:8" ht="15.75" customHeight="1">
      <c r="B74" s="267"/>
      <c r="C74" s="267"/>
      <c r="D74" s="267"/>
      <c r="E74" s="81"/>
      <c r="F74" s="81"/>
      <c r="G74" s="82">
        <v>0</v>
      </c>
      <c r="H74" s="175">
        <f t="shared" si="1"/>
        <v>0</v>
      </c>
    </row>
    <row r="75" spans="2:8" ht="15.75" customHeight="1">
      <c r="B75" s="267"/>
      <c r="C75" s="267"/>
      <c r="D75" s="267"/>
      <c r="E75" s="81"/>
      <c r="F75" s="81"/>
      <c r="G75" s="82">
        <v>0</v>
      </c>
      <c r="H75" s="175">
        <f t="shared" si="1"/>
        <v>0</v>
      </c>
    </row>
    <row r="76" spans="2:8" ht="15.75" customHeight="1">
      <c r="B76" s="267"/>
      <c r="C76" s="267"/>
      <c r="D76" s="267"/>
      <c r="E76" s="81"/>
      <c r="F76" s="81"/>
      <c r="G76" s="82">
        <v>0</v>
      </c>
      <c r="H76" s="175">
        <f t="shared" si="1"/>
        <v>0</v>
      </c>
    </row>
    <row r="77" spans="2:8" ht="15.75" customHeight="1">
      <c r="B77" s="267"/>
      <c r="C77" s="267"/>
      <c r="D77" s="267"/>
      <c r="E77" s="81"/>
      <c r="F77" s="81"/>
      <c r="G77" s="82">
        <v>0</v>
      </c>
      <c r="H77" s="175">
        <f t="shared" si="1"/>
        <v>0</v>
      </c>
    </row>
    <row r="78" spans="2:8" ht="15.75" customHeight="1">
      <c r="B78" s="267"/>
      <c r="C78" s="267"/>
      <c r="D78" s="267"/>
      <c r="E78" s="81"/>
      <c r="F78" s="81"/>
      <c r="G78" s="82">
        <v>0</v>
      </c>
      <c r="H78" s="175">
        <f t="shared" si="1"/>
        <v>0</v>
      </c>
    </row>
    <row r="79" spans="2:8" ht="15.75" customHeight="1">
      <c r="B79" s="267"/>
      <c r="C79" s="267"/>
      <c r="D79" s="267"/>
      <c r="E79" s="81"/>
      <c r="F79" s="81"/>
      <c r="G79" s="82">
        <v>0</v>
      </c>
      <c r="H79" s="175">
        <f t="shared" si="1"/>
        <v>0</v>
      </c>
    </row>
    <row r="80" spans="2:8" ht="15.75" customHeight="1">
      <c r="B80" s="267"/>
      <c r="C80" s="267"/>
      <c r="D80" s="267"/>
      <c r="E80" s="81"/>
      <c r="F80" s="81"/>
      <c r="G80" s="82">
        <v>0</v>
      </c>
      <c r="H80" s="175">
        <f t="shared" si="1"/>
        <v>0</v>
      </c>
    </row>
    <row r="81" spans="2:8" ht="15.75" customHeight="1">
      <c r="B81" s="267"/>
      <c r="C81" s="267"/>
      <c r="D81" s="267"/>
      <c r="E81" s="81"/>
      <c r="F81" s="81"/>
      <c r="G81" s="82">
        <v>0</v>
      </c>
      <c r="H81" s="175">
        <f t="shared" si="1"/>
        <v>0</v>
      </c>
    </row>
    <row r="82" spans="2:8" ht="15.75" customHeight="1">
      <c r="B82" s="267"/>
      <c r="C82" s="267"/>
      <c r="D82" s="267"/>
      <c r="E82" s="81"/>
      <c r="F82" s="81"/>
      <c r="G82" s="82">
        <v>0</v>
      </c>
      <c r="H82" s="175">
        <f t="shared" si="1"/>
        <v>0</v>
      </c>
    </row>
    <row r="83" spans="2:8" ht="15.75" customHeight="1">
      <c r="B83" s="270" t="s">
        <v>416</v>
      </c>
      <c r="C83" s="270"/>
      <c r="D83" s="270"/>
      <c r="E83" s="270"/>
      <c r="F83" s="270"/>
      <c r="G83" s="270"/>
      <c r="H83" s="270"/>
    </row>
    <row r="84" spans="2:8" ht="15.75" customHeight="1">
      <c r="B84" s="62"/>
      <c r="C84" s="83" t="s">
        <v>22</v>
      </c>
      <c r="D84" s="83" t="s">
        <v>77</v>
      </c>
    </row>
    <row r="85" spans="2:8" ht="15.75" customHeight="1">
      <c r="B85" s="84" t="s">
        <v>50</v>
      </c>
      <c r="C85" s="149">
        <f>SUM(G10,G17,G24,G31,G38,G45)</f>
        <v>0</v>
      </c>
      <c r="D85" s="157">
        <f>SUM(H10,H17,H24,H31,H38,H45)</f>
        <v>0</v>
      </c>
      <c r="G85" s="8"/>
    </row>
    <row r="86" spans="2:8" ht="15.75" customHeight="1">
      <c r="B86" s="84" t="s">
        <v>19</v>
      </c>
      <c r="C86" s="62"/>
      <c r="D86" s="157">
        <f>H52</f>
        <v>0</v>
      </c>
      <c r="E86" s="271" t="s">
        <v>72</v>
      </c>
      <c r="F86" s="272"/>
      <c r="G86" s="273"/>
      <c r="H86" s="159">
        <v>3</v>
      </c>
    </row>
    <row r="87" spans="2:8" ht="15.75" customHeight="1">
      <c r="B87" s="84" t="s">
        <v>49</v>
      </c>
      <c r="C87" s="85"/>
      <c r="D87" s="157">
        <f>SUM(H54,H56,H58)</f>
        <v>0</v>
      </c>
      <c r="E87" s="271" t="s">
        <v>69</v>
      </c>
      <c r="F87" s="272"/>
      <c r="G87" s="273"/>
      <c r="H87" s="159">
        <v>0.5</v>
      </c>
    </row>
    <row r="88" spans="2:8" ht="15.75" customHeight="1">
      <c r="B88" s="84" t="s">
        <v>23</v>
      </c>
      <c r="C88" s="62"/>
      <c r="D88" s="157">
        <f>H60</f>
        <v>0</v>
      </c>
      <c r="E88" s="87" t="s">
        <v>91</v>
      </c>
      <c r="F88" s="188"/>
      <c r="G88" s="189"/>
      <c r="H88" s="159">
        <v>2</v>
      </c>
    </row>
    <row r="89" spans="2:8" ht="15.75" customHeight="1">
      <c r="B89" s="84" t="s">
        <v>51</v>
      </c>
      <c r="C89" s="62"/>
      <c r="D89" s="157">
        <f>SUM(H63:H82)</f>
        <v>0</v>
      </c>
      <c r="E89" s="87" t="s">
        <v>92</v>
      </c>
      <c r="F89" s="88"/>
      <c r="G89" s="62"/>
      <c r="H89" s="181">
        <f>D90*(H86/100)+D90*(H87/100)+D90*(H88/100)</f>
        <v>0</v>
      </c>
    </row>
    <row r="90" spans="2:8" ht="31.5" customHeight="1">
      <c r="B90" s="89" t="s">
        <v>64</v>
      </c>
      <c r="C90" s="180">
        <f>SUM(C85:C89)</f>
        <v>0</v>
      </c>
      <c r="D90" s="165">
        <f>SUM(D85:D89)</f>
        <v>0</v>
      </c>
      <c r="E90" s="269" t="s">
        <v>70</v>
      </c>
      <c r="F90" s="269"/>
      <c r="G90" s="269"/>
      <c r="H90" s="181">
        <f>D90+H89</f>
        <v>0</v>
      </c>
    </row>
    <row r="91" spans="2:8" ht="15.75" customHeight="1"/>
    <row r="92" spans="2:8" ht="15.75" customHeight="1">
      <c r="G92" s="13"/>
    </row>
    <row r="93" spans="2:8" ht="15.75" customHeight="1"/>
    <row r="94" spans="2:8" ht="15.75" customHeight="1"/>
    <row r="95" spans="2:8" ht="15.75" customHeight="1"/>
    <row r="96" spans="2:8" ht="15.75" customHeight="1"/>
    <row r="97" ht="15.75" customHeight="1"/>
    <row r="98" ht="15.75" customHeight="1"/>
  </sheetData>
  <dataConsolidate/>
  <mergeCells count="30">
    <mergeCell ref="B73:D73"/>
    <mergeCell ref="B74:D74"/>
    <mergeCell ref="B75:D75"/>
    <mergeCell ref="B76:D76"/>
    <mergeCell ref="E90:G90"/>
    <mergeCell ref="B77:D77"/>
    <mergeCell ref="B78:D78"/>
    <mergeCell ref="B79:D79"/>
    <mergeCell ref="B80:D80"/>
    <mergeCell ref="B83:H83"/>
    <mergeCell ref="B81:D81"/>
    <mergeCell ref="B82:D82"/>
    <mergeCell ref="E87:G87"/>
    <mergeCell ref="E86:G86"/>
    <mergeCell ref="B63:D63"/>
    <mergeCell ref="B64:D64"/>
    <mergeCell ref="B72:D72"/>
    <mergeCell ref="B65:D65"/>
    <mergeCell ref="B66:D66"/>
    <mergeCell ref="B67:D67"/>
    <mergeCell ref="B68:D68"/>
    <mergeCell ref="B69:D69"/>
    <mergeCell ref="B70:D70"/>
    <mergeCell ref="B71:D71"/>
    <mergeCell ref="B62:D62"/>
    <mergeCell ref="B4:H4"/>
    <mergeCell ref="B1:H1"/>
    <mergeCell ref="B47:H47"/>
    <mergeCell ref="C50:H50"/>
    <mergeCell ref="B61:E61"/>
  </mergeCells>
  <phoneticPr fontId="0" type="noConversion"/>
  <conditionalFormatting sqref="G11">
    <cfRule type="cellIs" dxfId="35" priority="1" stopIfTrue="1" operator="notEqual">
      <formula>$G$10</formula>
    </cfRule>
  </conditionalFormatting>
  <conditionalFormatting sqref="H88">
    <cfRule type="cellIs" dxfId="34" priority="2" stopIfTrue="1" operator="equal">
      <formula>0</formula>
    </cfRule>
  </conditionalFormatting>
  <conditionalFormatting sqref="G25">
    <cfRule type="cellIs" dxfId="33" priority="3" stopIfTrue="1" operator="notEqual">
      <formula>$G$24</formula>
    </cfRule>
  </conditionalFormatting>
  <conditionalFormatting sqref="G32">
    <cfRule type="cellIs" dxfId="32" priority="4" stopIfTrue="1" operator="notEqual">
      <formula>$G$31</formula>
    </cfRule>
  </conditionalFormatting>
  <conditionalFormatting sqref="G39">
    <cfRule type="cellIs" dxfId="31" priority="5" stopIfTrue="1" operator="notEqual">
      <formula>$G$38</formula>
    </cfRule>
  </conditionalFormatting>
  <conditionalFormatting sqref="G46">
    <cfRule type="cellIs" dxfId="30" priority="6" stopIfTrue="1" operator="notEqual">
      <formula>$G$45</formula>
    </cfRule>
  </conditionalFormatting>
  <conditionalFormatting sqref="G18">
    <cfRule type="cellIs" dxfId="29" priority="7" stopIfTrue="1" operator="notEqual">
      <formula>$G$17</formula>
    </cfRule>
  </conditionalFormatting>
  <dataValidations count="1">
    <dataValidation type="whole" allowBlank="1" showInputMessage="1" showErrorMessage="1" errorTitle="INVALID ENTRY!" error="ONLY NUMBERS BETWEEN 1 AND 25! _x000a_         OR JUST LEAVE IT BLANK!" sqref="H88">
      <formula1>1</formula1>
      <formula2>25</formula2>
    </dataValidation>
  </dataValidations>
  <pageMargins left="0.75" right="0.75" top="0.5" bottom="0.5" header="0.5" footer="0.25"/>
  <pageSetup scale="95" orientation="portrait" r:id="rId1"/>
  <headerFooter alignWithMargins="0">
    <oddFooter>&amp;L&amp;D&amp;C&amp;P of &amp;N&amp;R&amp;F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X123"/>
  <sheetViews>
    <sheetView showGridLines="0" topLeftCell="A16" zoomScaleNormal="100" workbookViewId="0">
      <selection activeCell="E23" sqref="E23:E24"/>
    </sheetView>
  </sheetViews>
  <sheetFormatPr defaultRowHeight="12.75" outlineLevelRow="1" outlineLevelCol="1"/>
  <cols>
    <col min="1" max="1" width="2.28515625" customWidth="1"/>
    <col min="2" max="2" width="23.85546875" bestFit="1" customWidth="1"/>
    <col min="3" max="3" width="46.85546875" bestFit="1" customWidth="1"/>
    <col min="4" max="4" width="14.42578125" style="29" customWidth="1"/>
    <col min="5" max="5" width="11.7109375" style="27" bestFit="1" customWidth="1" outlineLevel="1"/>
    <col min="6" max="6" width="11.42578125" style="2" customWidth="1" outlineLevel="1"/>
    <col min="7" max="7" width="12.7109375" style="2" customWidth="1" outlineLevel="1"/>
    <col min="8" max="8" width="11.28515625" style="2" bestFit="1" customWidth="1" outlineLevel="1"/>
    <col min="9" max="13" width="10.85546875" style="2" customWidth="1" outlineLevel="1"/>
    <col min="14" max="14" width="12.7109375" style="2" customWidth="1" outlineLevel="1"/>
    <col min="15" max="15" width="10.85546875" style="2" customWidth="1" outlineLevel="1"/>
    <col min="16" max="18" width="10.85546875" customWidth="1"/>
    <col min="19" max="19" width="12.7109375" customWidth="1"/>
    <col min="20" max="20" width="10.85546875" customWidth="1"/>
    <col min="22" max="23" width="14.85546875" bestFit="1" customWidth="1" outlineLevel="1"/>
    <col min="24" max="24" width="14.85546875" bestFit="1" customWidth="1"/>
  </cols>
  <sheetData>
    <row r="1" spans="2:24" ht="23.25" customHeight="1">
      <c r="B1" s="190" t="str">
        <f>'TASK LIST SC'!F2</f>
        <v/>
      </c>
      <c r="C1" s="283" t="str">
        <f>'TASK LIST SC'!F3</f>
        <v/>
      </c>
      <c r="D1" s="283"/>
      <c r="E1" s="282" t="s">
        <v>0</v>
      </c>
      <c r="F1" s="282"/>
      <c r="G1" s="282"/>
      <c r="H1" s="282"/>
      <c r="I1" s="282"/>
      <c r="J1" s="282"/>
      <c r="K1" s="282"/>
      <c r="L1" s="282"/>
      <c r="M1" s="282"/>
      <c r="N1" s="282"/>
      <c r="O1" s="282"/>
    </row>
    <row r="2" spans="2:24" ht="17.25" customHeight="1" outlineLevel="1">
      <c r="B2" s="97" t="s">
        <v>4</v>
      </c>
      <c r="C2" s="286" t="str">
        <f>'TASK LIST SC'!D2</f>
        <v/>
      </c>
      <c r="D2" s="287"/>
      <c r="E2" s="284" t="s">
        <v>417</v>
      </c>
      <c r="F2" s="284"/>
      <c r="G2" s="191">
        <f>SUM(F3:F7)</f>
        <v>16409.93</v>
      </c>
      <c r="H2" s="211"/>
      <c r="I2" s="211"/>
      <c r="J2" s="211"/>
      <c r="K2" s="281" t="s">
        <v>82</v>
      </c>
      <c r="L2" s="281"/>
      <c r="M2" s="193">
        <f>SUM(L3:L7)</f>
        <v>20470.067317927173</v>
      </c>
      <c r="N2" s="107"/>
      <c r="O2" s="108"/>
    </row>
    <row r="3" spans="2:24" ht="17.25" customHeight="1" outlineLevel="1">
      <c r="B3" s="97" t="s">
        <v>5</v>
      </c>
      <c r="C3" s="286" t="str">
        <f>'TASK LIST SC'!D3</f>
        <v/>
      </c>
      <c r="D3" s="287"/>
      <c r="E3" s="98" t="str">
        <f>E10</f>
        <v>CAT</v>
      </c>
      <c r="F3" s="288">
        <f>SUM(K11:K465)</f>
        <v>647.85</v>
      </c>
      <c r="G3" s="289"/>
      <c r="H3" s="211"/>
      <c r="I3" s="211"/>
      <c r="J3" s="211"/>
      <c r="K3" s="99" t="str">
        <f>E10</f>
        <v>CAT</v>
      </c>
      <c r="L3" s="192">
        <f>SUM(P11:P500)</f>
        <v>845.05178571428587</v>
      </c>
      <c r="M3" s="285" t="s">
        <v>104</v>
      </c>
      <c r="N3" s="285"/>
      <c r="O3" s="194">
        <f>SUM(M2-G2)</f>
        <v>4060.1373179271723</v>
      </c>
    </row>
    <row r="4" spans="2:24" ht="17.25" customHeight="1" outlineLevel="1">
      <c r="B4" s="97" t="s">
        <v>8</v>
      </c>
      <c r="C4" s="286" t="str">
        <f>'TASK LIST SC'!J2</f>
        <v/>
      </c>
      <c r="D4" s="287"/>
      <c r="E4" s="98" t="str">
        <f>F10</f>
        <v>IPD</v>
      </c>
      <c r="F4" s="288">
        <f>SUM(L11:L514)</f>
        <v>0</v>
      </c>
      <c r="G4" s="289"/>
      <c r="H4" s="211"/>
      <c r="I4" s="211"/>
      <c r="J4" s="211"/>
      <c r="K4" s="100" t="str">
        <f>L10</f>
        <v>IPD</v>
      </c>
      <c r="L4" s="192">
        <f>SUM(Q11:Q500)</f>
        <v>0</v>
      </c>
      <c r="M4" s="101"/>
      <c r="N4" s="102"/>
      <c r="O4" s="103"/>
    </row>
    <row r="5" spans="2:24" ht="17.25" customHeight="1" outlineLevel="1">
      <c r="B5" s="97" t="s">
        <v>6</v>
      </c>
      <c r="C5" s="290" t="str">
        <f>'TASK LIST SC'!I3</f>
        <v/>
      </c>
      <c r="D5" s="291"/>
      <c r="E5" s="98" t="str">
        <f>G10</f>
        <v>MATA</v>
      </c>
      <c r="F5" s="288">
        <f>SUM(M11:M482)</f>
        <v>3303.4100000000003</v>
      </c>
      <c r="G5" s="289"/>
      <c r="H5" s="211"/>
      <c r="I5" s="211"/>
      <c r="J5" s="211"/>
      <c r="K5" s="100" t="str">
        <f>M10</f>
        <v>MATA</v>
      </c>
      <c r="L5" s="192">
        <f>SUM(R11:R500)</f>
        <v>4230.243928571429</v>
      </c>
      <c r="M5" s="101"/>
      <c r="N5" s="102"/>
      <c r="O5" s="103"/>
    </row>
    <row r="6" spans="2:24" ht="17.25" customHeight="1" outlineLevel="1">
      <c r="E6" s="98" t="str">
        <f>H10</f>
        <v>Mcclung</v>
      </c>
      <c r="F6" s="288">
        <f>SUM(N11:N515)</f>
        <v>12458.669999999998</v>
      </c>
      <c r="G6" s="289"/>
      <c r="H6" s="211"/>
      <c r="I6" s="211"/>
      <c r="J6" s="211"/>
      <c r="K6" s="100" t="str">
        <f>N10</f>
        <v>Mcclung</v>
      </c>
      <c r="L6" s="192">
        <f>SUM(S11:S500)</f>
        <v>15394.771603641457</v>
      </c>
      <c r="M6" s="101"/>
      <c r="N6" s="102"/>
      <c r="O6" s="103"/>
    </row>
    <row r="7" spans="2:24" ht="17.25" customHeight="1" outlineLevel="1">
      <c r="C7" s="14"/>
      <c r="E7" s="98" t="str">
        <f>I10</f>
        <v>ISC</v>
      </c>
      <c r="F7" s="288">
        <f>SUM(O11:O483)</f>
        <v>0</v>
      </c>
      <c r="G7" s="289"/>
      <c r="H7" s="211"/>
      <c r="I7" s="211"/>
      <c r="J7" s="211"/>
      <c r="K7" s="100" t="str">
        <f>O10</f>
        <v>ISC</v>
      </c>
      <c r="L7" s="192">
        <f>SUM(T11:T500)</f>
        <v>0</v>
      </c>
      <c r="M7" s="104"/>
      <c r="N7" s="105"/>
      <c r="O7" s="106"/>
    </row>
    <row r="8" spans="2:24" ht="17.25" customHeight="1">
      <c r="B8" s="276" t="s">
        <v>1</v>
      </c>
      <c r="C8" s="276" t="s">
        <v>2</v>
      </c>
      <c r="D8" s="277" t="s">
        <v>3</v>
      </c>
      <c r="E8" s="275" t="s">
        <v>66</v>
      </c>
      <c r="F8" s="275"/>
      <c r="G8" s="275"/>
      <c r="H8" s="275"/>
      <c r="I8" s="275"/>
      <c r="J8" s="208"/>
      <c r="K8" s="274" t="s">
        <v>9</v>
      </c>
      <c r="L8" s="274"/>
      <c r="M8" s="274"/>
      <c r="N8" s="274"/>
      <c r="O8" s="274"/>
      <c r="P8" s="274" t="s">
        <v>426</v>
      </c>
      <c r="Q8" s="274"/>
      <c r="R8" s="274"/>
      <c r="S8" s="274"/>
      <c r="T8" s="274"/>
    </row>
    <row r="9" spans="2:24" ht="27.75" customHeight="1">
      <c r="B9" s="276"/>
      <c r="C9" s="276"/>
      <c r="D9" s="277"/>
      <c r="E9" s="278" t="s">
        <v>94</v>
      </c>
      <c r="F9" s="279"/>
      <c r="G9" s="279"/>
      <c r="H9" s="279"/>
      <c r="I9" s="280"/>
      <c r="J9" s="209"/>
      <c r="K9" s="274"/>
      <c r="L9" s="274"/>
      <c r="M9" s="274"/>
      <c r="N9" s="274"/>
      <c r="O9" s="274"/>
      <c r="P9" s="274"/>
      <c r="Q9" s="274"/>
      <c r="R9" s="274"/>
      <c r="S9" s="274"/>
      <c r="T9" s="274"/>
    </row>
    <row r="10" spans="2:24" ht="17.25" customHeight="1">
      <c r="B10" s="276"/>
      <c r="C10" s="276"/>
      <c r="D10" s="277"/>
      <c r="E10" s="109" t="s">
        <v>197</v>
      </c>
      <c r="F10" s="110" t="s">
        <v>352</v>
      </c>
      <c r="G10" s="110" t="s">
        <v>497</v>
      </c>
      <c r="H10" s="110" t="s">
        <v>496</v>
      </c>
      <c r="I10" s="110" t="s">
        <v>118</v>
      </c>
      <c r="J10" s="110" t="s">
        <v>119</v>
      </c>
      <c r="K10" s="115" t="str">
        <f>E10</f>
        <v>CAT</v>
      </c>
      <c r="L10" s="116" t="str">
        <f>F10</f>
        <v>IPD</v>
      </c>
      <c r="M10" s="116" t="str">
        <f>G10</f>
        <v>MATA</v>
      </c>
      <c r="N10" s="116" t="str">
        <f>H10</f>
        <v>Mcclung</v>
      </c>
      <c r="O10" s="116" t="str">
        <f>I10</f>
        <v>ISC</v>
      </c>
      <c r="P10" s="115" t="str">
        <f t="shared" ref="P10:T10" si="0">K10</f>
        <v>CAT</v>
      </c>
      <c r="Q10" s="115" t="str">
        <f t="shared" si="0"/>
        <v>IPD</v>
      </c>
      <c r="R10" s="115" t="str">
        <f t="shared" si="0"/>
        <v>MATA</v>
      </c>
      <c r="S10" s="115" t="str">
        <f t="shared" si="0"/>
        <v>Mcclung</v>
      </c>
      <c r="T10" s="115" t="str">
        <f t="shared" si="0"/>
        <v>ISC</v>
      </c>
      <c r="V10" s="115" t="s">
        <v>427</v>
      </c>
      <c r="W10" s="115" t="s">
        <v>197</v>
      </c>
      <c r="X10" s="115" t="s">
        <v>429</v>
      </c>
    </row>
    <row r="11" spans="2:24" ht="15" customHeight="1">
      <c r="B11" s="216" t="s">
        <v>430</v>
      </c>
      <c r="C11" s="117" t="s">
        <v>468</v>
      </c>
      <c r="D11" s="114">
        <v>2</v>
      </c>
      <c r="E11" s="366"/>
      <c r="F11" s="366"/>
      <c r="G11" s="366"/>
      <c r="H11" s="366">
        <v>470.63</v>
      </c>
      <c r="I11" s="366"/>
      <c r="J11" s="212">
        <v>0.2</v>
      </c>
      <c r="K11" s="195">
        <f t="shared" ref="K11:K13" si="1">D11*E11</f>
        <v>0</v>
      </c>
      <c r="L11" s="195">
        <f t="shared" ref="L11:L13" si="2">D11*F11</f>
        <v>0</v>
      </c>
      <c r="M11" s="195">
        <f t="shared" ref="M11:M13" si="3">D11*G11</f>
        <v>0</v>
      </c>
      <c r="N11" s="195">
        <f t="shared" ref="N11:N13" si="4">D11*H11</f>
        <v>941.26</v>
      </c>
      <c r="O11" s="195">
        <f>D11*I11</f>
        <v>0</v>
      </c>
      <c r="P11" s="195">
        <f t="shared" ref="P11:P12" si="5">K11/(1-$J11)</f>
        <v>0</v>
      </c>
      <c r="Q11" s="195">
        <f t="shared" ref="Q11:Q12" si="6">L11/(1-$J11)</f>
        <v>0</v>
      </c>
      <c r="R11" s="195">
        <f t="shared" ref="R11:R12" si="7">M11/(1-$J11)</f>
        <v>0</v>
      </c>
      <c r="S11" s="195">
        <f t="shared" ref="S11:S12" si="8">N11/(1-$J11)</f>
        <v>1176.5749999999998</v>
      </c>
      <c r="T11" s="195">
        <f t="shared" ref="T11:T12" si="9">O11/(1-$J11)</f>
        <v>0</v>
      </c>
      <c r="V11" s="195">
        <f>MIN(E11:I11)</f>
        <v>470.63</v>
      </c>
      <c r="W11" s="195" t="str">
        <f t="shared" ref="W11:W12" si="10">IFERROR(INDEX($E$10:$I$10,MATCH($V11,$E11:$I11,0)),"")</f>
        <v>Mcclung</v>
      </c>
      <c r="X11" s="195">
        <f>IFERROR(INDEX($P11:$T11,MATCH($W11,$P$10:$T$10,0)),"")</f>
        <v>1176.5749999999998</v>
      </c>
    </row>
    <row r="12" spans="2:24" ht="15" customHeight="1">
      <c r="B12" s="217" t="s">
        <v>431</v>
      </c>
      <c r="C12" s="117" t="s">
        <v>469</v>
      </c>
      <c r="D12" s="114">
        <v>4</v>
      </c>
      <c r="E12" s="366"/>
      <c r="F12" s="366"/>
      <c r="G12" s="366"/>
      <c r="H12" s="366">
        <v>340.46</v>
      </c>
      <c r="I12" s="366"/>
      <c r="J12" s="212">
        <v>0.2</v>
      </c>
      <c r="K12" s="195">
        <f t="shared" si="1"/>
        <v>0</v>
      </c>
      <c r="L12" s="195">
        <f t="shared" si="2"/>
        <v>0</v>
      </c>
      <c r="M12" s="195">
        <f t="shared" si="3"/>
        <v>0</v>
      </c>
      <c r="N12" s="195">
        <f t="shared" si="4"/>
        <v>1361.84</v>
      </c>
      <c r="O12" s="195">
        <f t="shared" ref="O12:O13" si="11">D12*I12</f>
        <v>0</v>
      </c>
      <c r="P12" s="195">
        <f t="shared" si="5"/>
        <v>0</v>
      </c>
      <c r="Q12" s="195">
        <f t="shared" si="6"/>
        <v>0</v>
      </c>
      <c r="R12" s="195">
        <f t="shared" si="7"/>
        <v>0</v>
      </c>
      <c r="S12" s="195">
        <f t="shared" si="8"/>
        <v>1702.2999999999997</v>
      </c>
      <c r="T12" s="195">
        <f t="shared" si="9"/>
        <v>0</v>
      </c>
      <c r="V12" s="195">
        <f>MIN(E12:I12)</f>
        <v>340.46</v>
      </c>
      <c r="W12" s="195" t="str">
        <f t="shared" si="10"/>
        <v>Mcclung</v>
      </c>
      <c r="X12" s="195">
        <f t="shared" ref="X12:X75" si="12">IFERROR(INDEX($P12:$T12,MATCH($W12,$P$10:$T$10,0)),"")</f>
        <v>1702.2999999999997</v>
      </c>
    </row>
    <row r="13" spans="2:24" ht="15" customHeight="1">
      <c r="B13" s="217" t="s">
        <v>432</v>
      </c>
      <c r="C13" s="117" t="s">
        <v>470</v>
      </c>
      <c r="D13" s="114">
        <v>8</v>
      </c>
      <c r="E13" s="366"/>
      <c r="F13" s="366"/>
      <c r="G13" s="366"/>
      <c r="H13" s="366">
        <v>172.91</v>
      </c>
      <c r="I13" s="366"/>
      <c r="J13" s="212">
        <v>0.2</v>
      </c>
      <c r="K13" s="195">
        <f t="shared" si="1"/>
        <v>0</v>
      </c>
      <c r="L13" s="195">
        <f t="shared" si="2"/>
        <v>0</v>
      </c>
      <c r="M13" s="195">
        <f t="shared" si="3"/>
        <v>0</v>
      </c>
      <c r="N13" s="195">
        <f t="shared" si="4"/>
        <v>1383.28</v>
      </c>
      <c r="O13" s="195">
        <f t="shared" si="11"/>
        <v>0</v>
      </c>
      <c r="P13" s="195">
        <f>K13/(1-$J13)</f>
        <v>0</v>
      </c>
      <c r="Q13" s="195">
        <f t="shared" ref="Q13:T13" si="13">L13/(1-$J13)</f>
        <v>0</v>
      </c>
      <c r="R13" s="195">
        <f t="shared" si="13"/>
        <v>0</v>
      </c>
      <c r="S13" s="195">
        <f t="shared" si="13"/>
        <v>1729.1</v>
      </c>
      <c r="T13" s="195">
        <f t="shared" si="13"/>
        <v>0</v>
      </c>
      <c r="V13" s="195">
        <f t="shared" ref="V13:V76" si="14">MIN(E13:I13)</f>
        <v>172.91</v>
      </c>
      <c r="W13" s="195" t="str">
        <f>IFERROR(INDEX($E$10:$I$10,MATCH($V13,$E13:$I13,0)),"")</f>
        <v>Mcclung</v>
      </c>
      <c r="X13" s="195">
        <f t="shared" si="12"/>
        <v>1729.1</v>
      </c>
    </row>
    <row r="14" spans="2:24" ht="15" customHeight="1">
      <c r="B14" s="218" t="s">
        <v>433</v>
      </c>
      <c r="C14" s="118" t="s">
        <v>471</v>
      </c>
      <c r="D14" s="114">
        <v>8</v>
      </c>
      <c r="E14" s="366"/>
      <c r="F14" s="366"/>
      <c r="G14" s="366"/>
      <c r="H14" s="366">
        <v>125.22</v>
      </c>
      <c r="I14" s="366"/>
      <c r="J14" s="212">
        <v>0.2</v>
      </c>
      <c r="K14" s="195">
        <f t="shared" ref="K14" si="15">D14*E14</f>
        <v>0</v>
      </c>
      <c r="L14" s="195">
        <f t="shared" ref="L14" si="16">D14*F14</f>
        <v>0</v>
      </c>
      <c r="M14" s="195">
        <f t="shared" ref="M14" si="17">D14*G14</f>
        <v>0</v>
      </c>
      <c r="N14" s="195">
        <f t="shared" ref="N14" si="18">D14*H14</f>
        <v>1001.76</v>
      </c>
      <c r="O14" s="195">
        <f t="shared" ref="O14" si="19">D14*I14</f>
        <v>0</v>
      </c>
      <c r="P14" s="195">
        <f t="shared" ref="P14:P77" si="20">K14/(1-$J14)</f>
        <v>0</v>
      </c>
      <c r="Q14" s="195">
        <f t="shared" ref="Q14:Q77" si="21">L14/(1-$J14)</f>
        <v>0</v>
      </c>
      <c r="R14" s="195">
        <f t="shared" ref="R14:R77" si="22">M14/(1-$J14)</f>
        <v>0</v>
      </c>
      <c r="S14" s="195">
        <f t="shared" ref="S14:S77" si="23">N14/(1-$J14)</f>
        <v>1252.1999999999998</v>
      </c>
      <c r="T14" s="195">
        <f t="shared" ref="T14:T77" si="24">O14/(1-$J14)</f>
        <v>0</v>
      </c>
      <c r="V14" s="195">
        <f t="shared" si="14"/>
        <v>125.22</v>
      </c>
      <c r="W14" s="195" t="str">
        <f t="shared" ref="W14:W77" si="25">IFERROR(INDEX($E$10:$I$10,MATCH($V14,$E14:$I14,0)),"")</f>
        <v>Mcclung</v>
      </c>
      <c r="X14" s="195">
        <f t="shared" si="12"/>
        <v>1252.1999999999998</v>
      </c>
    </row>
    <row r="15" spans="2:24" ht="15" customHeight="1">
      <c r="B15" s="218" t="s">
        <v>434</v>
      </c>
      <c r="C15" s="119" t="s">
        <v>472</v>
      </c>
      <c r="D15" s="114">
        <v>8</v>
      </c>
      <c r="E15" s="366"/>
      <c r="F15" s="366"/>
      <c r="G15" s="366"/>
      <c r="H15" s="366">
        <v>150.91</v>
      </c>
      <c r="I15" s="366"/>
      <c r="J15" s="212">
        <v>0.2</v>
      </c>
      <c r="K15" s="195">
        <f t="shared" ref="K15:K78" si="26">D15*E15</f>
        <v>0</v>
      </c>
      <c r="L15" s="195">
        <f t="shared" ref="L15:L78" si="27">D15*F15</f>
        <v>0</v>
      </c>
      <c r="M15" s="195">
        <f t="shared" ref="M15:M78" si="28">D15*G15</f>
        <v>0</v>
      </c>
      <c r="N15" s="195">
        <f t="shared" ref="N15:N78" si="29">D15*H15</f>
        <v>1207.28</v>
      </c>
      <c r="O15" s="195">
        <f t="shared" ref="O15:O78" si="30">D15*I15</f>
        <v>0</v>
      </c>
      <c r="P15" s="195">
        <f t="shared" si="20"/>
        <v>0</v>
      </c>
      <c r="Q15" s="195">
        <f t="shared" si="21"/>
        <v>0</v>
      </c>
      <c r="R15" s="195">
        <f t="shared" si="22"/>
        <v>0</v>
      </c>
      <c r="S15" s="195">
        <f t="shared" si="23"/>
        <v>1509.1</v>
      </c>
      <c r="T15" s="195">
        <f t="shared" si="24"/>
        <v>0</v>
      </c>
      <c r="V15" s="195">
        <f t="shared" si="14"/>
        <v>150.91</v>
      </c>
      <c r="W15" s="195" t="str">
        <f t="shared" si="25"/>
        <v>Mcclung</v>
      </c>
      <c r="X15" s="195">
        <f t="shared" si="12"/>
        <v>1509.1</v>
      </c>
    </row>
    <row r="16" spans="2:24" ht="15" customHeight="1">
      <c r="B16" s="218" t="s">
        <v>435</v>
      </c>
      <c r="C16" s="120" t="s">
        <v>473</v>
      </c>
      <c r="D16" s="114">
        <v>1</v>
      </c>
      <c r="E16" s="366"/>
      <c r="F16" s="366"/>
      <c r="G16" s="366"/>
      <c r="H16" s="366">
        <v>28</v>
      </c>
      <c r="I16" s="366"/>
      <c r="J16" s="212">
        <v>0.3</v>
      </c>
      <c r="K16" s="195">
        <f t="shared" si="26"/>
        <v>0</v>
      </c>
      <c r="L16" s="195">
        <f t="shared" si="27"/>
        <v>0</v>
      </c>
      <c r="M16" s="195">
        <f t="shared" si="28"/>
        <v>0</v>
      </c>
      <c r="N16" s="195">
        <f t="shared" si="29"/>
        <v>28</v>
      </c>
      <c r="O16" s="195">
        <f t="shared" si="30"/>
        <v>0</v>
      </c>
      <c r="P16" s="195">
        <f t="shared" si="20"/>
        <v>0</v>
      </c>
      <c r="Q16" s="195">
        <f t="shared" si="21"/>
        <v>0</v>
      </c>
      <c r="R16" s="195">
        <f t="shared" si="22"/>
        <v>0</v>
      </c>
      <c r="S16" s="195">
        <f t="shared" si="23"/>
        <v>40</v>
      </c>
      <c r="T16" s="195">
        <f t="shared" si="24"/>
        <v>0</v>
      </c>
      <c r="V16" s="195">
        <f t="shared" si="14"/>
        <v>28</v>
      </c>
      <c r="W16" s="195" t="str">
        <f t="shared" si="25"/>
        <v>Mcclung</v>
      </c>
      <c r="X16" s="195">
        <f t="shared" si="12"/>
        <v>40</v>
      </c>
    </row>
    <row r="17" spans="2:24" ht="15" customHeight="1">
      <c r="B17" s="218" t="s">
        <v>436</v>
      </c>
      <c r="C17" s="119" t="s">
        <v>474</v>
      </c>
      <c r="D17" s="114">
        <v>3</v>
      </c>
      <c r="E17" s="366"/>
      <c r="F17" s="366"/>
      <c r="G17" s="366"/>
      <c r="H17" s="366">
        <v>8.86</v>
      </c>
      <c r="I17" s="366"/>
      <c r="J17" s="212">
        <v>0.3</v>
      </c>
      <c r="K17" s="195">
        <f t="shared" si="26"/>
        <v>0</v>
      </c>
      <c r="L17" s="195">
        <f t="shared" si="27"/>
        <v>0</v>
      </c>
      <c r="M17" s="195">
        <f t="shared" si="28"/>
        <v>0</v>
      </c>
      <c r="N17" s="195">
        <f t="shared" si="29"/>
        <v>26.58</v>
      </c>
      <c r="O17" s="195">
        <f t="shared" si="30"/>
        <v>0</v>
      </c>
      <c r="P17" s="195">
        <f t="shared" si="20"/>
        <v>0</v>
      </c>
      <c r="Q17" s="195">
        <f t="shared" si="21"/>
        <v>0</v>
      </c>
      <c r="R17" s="195">
        <f t="shared" si="22"/>
        <v>0</v>
      </c>
      <c r="S17" s="195">
        <f t="shared" si="23"/>
        <v>37.971428571428568</v>
      </c>
      <c r="T17" s="195">
        <f t="shared" si="24"/>
        <v>0</v>
      </c>
      <c r="V17" s="195">
        <f t="shared" si="14"/>
        <v>8.86</v>
      </c>
      <c r="W17" s="195" t="str">
        <f t="shared" si="25"/>
        <v>Mcclung</v>
      </c>
      <c r="X17" s="195">
        <f t="shared" si="12"/>
        <v>37.971428571428568</v>
      </c>
    </row>
    <row r="18" spans="2:24" ht="15" customHeight="1">
      <c r="B18" s="121" t="s">
        <v>437</v>
      </c>
      <c r="C18" s="112" t="s">
        <v>475</v>
      </c>
      <c r="D18" s="222">
        <v>1</v>
      </c>
      <c r="E18" s="366"/>
      <c r="F18" s="366"/>
      <c r="G18" s="366"/>
      <c r="H18" s="366">
        <v>16.940000000000001</v>
      </c>
      <c r="I18" s="366"/>
      <c r="J18" s="212">
        <v>0.3</v>
      </c>
      <c r="K18" s="195">
        <f t="shared" si="26"/>
        <v>0</v>
      </c>
      <c r="L18" s="195">
        <f t="shared" si="27"/>
        <v>0</v>
      </c>
      <c r="M18" s="195">
        <f t="shared" si="28"/>
        <v>0</v>
      </c>
      <c r="N18" s="195">
        <f t="shared" si="29"/>
        <v>16.940000000000001</v>
      </c>
      <c r="O18" s="195">
        <f t="shared" si="30"/>
        <v>0</v>
      </c>
      <c r="P18" s="195">
        <f t="shared" si="20"/>
        <v>0</v>
      </c>
      <c r="Q18" s="195">
        <f t="shared" si="21"/>
        <v>0</v>
      </c>
      <c r="R18" s="195">
        <f t="shared" si="22"/>
        <v>0</v>
      </c>
      <c r="S18" s="195">
        <f t="shared" si="23"/>
        <v>24.200000000000003</v>
      </c>
      <c r="T18" s="195">
        <f t="shared" si="24"/>
        <v>0</v>
      </c>
      <c r="V18" s="195">
        <f t="shared" si="14"/>
        <v>16.940000000000001</v>
      </c>
      <c r="W18" s="195" t="str">
        <f t="shared" si="25"/>
        <v>Mcclung</v>
      </c>
      <c r="X18" s="195">
        <f t="shared" si="12"/>
        <v>24.200000000000003</v>
      </c>
    </row>
    <row r="19" spans="2:24" ht="15" customHeight="1">
      <c r="B19" s="121" t="s">
        <v>438</v>
      </c>
      <c r="C19" s="119" t="s">
        <v>476</v>
      </c>
      <c r="D19" s="114">
        <v>2</v>
      </c>
      <c r="E19" s="366"/>
      <c r="F19" s="366"/>
      <c r="G19" s="366"/>
      <c r="H19" s="366">
        <v>5.67</v>
      </c>
      <c r="I19" s="366"/>
      <c r="J19" s="212">
        <v>0.3</v>
      </c>
      <c r="K19" s="195">
        <f t="shared" si="26"/>
        <v>0</v>
      </c>
      <c r="L19" s="195">
        <f t="shared" si="27"/>
        <v>0</v>
      </c>
      <c r="M19" s="195">
        <f t="shared" si="28"/>
        <v>0</v>
      </c>
      <c r="N19" s="195">
        <f t="shared" si="29"/>
        <v>11.34</v>
      </c>
      <c r="O19" s="195">
        <f t="shared" si="30"/>
        <v>0</v>
      </c>
      <c r="P19" s="195">
        <f t="shared" si="20"/>
        <v>0</v>
      </c>
      <c r="Q19" s="195">
        <f t="shared" si="21"/>
        <v>0</v>
      </c>
      <c r="R19" s="195">
        <f t="shared" si="22"/>
        <v>0</v>
      </c>
      <c r="S19" s="195">
        <f t="shared" si="23"/>
        <v>16.2</v>
      </c>
      <c r="T19" s="195">
        <f t="shared" si="24"/>
        <v>0</v>
      </c>
      <c r="V19" s="195">
        <f t="shared" si="14"/>
        <v>5.67</v>
      </c>
      <c r="W19" s="195" t="str">
        <f t="shared" si="25"/>
        <v>Mcclung</v>
      </c>
      <c r="X19" s="195">
        <f t="shared" si="12"/>
        <v>16.2</v>
      </c>
    </row>
    <row r="20" spans="2:24" ht="15" customHeight="1">
      <c r="B20" s="121" t="s">
        <v>439</v>
      </c>
      <c r="C20" s="119" t="s">
        <v>475</v>
      </c>
      <c r="D20" s="114">
        <v>8</v>
      </c>
      <c r="E20" s="366"/>
      <c r="F20" s="366"/>
      <c r="G20" s="366"/>
      <c r="H20" s="366">
        <v>20.43</v>
      </c>
      <c r="I20" s="366"/>
      <c r="J20" s="212">
        <v>0.3</v>
      </c>
      <c r="K20" s="195">
        <f t="shared" si="26"/>
        <v>0</v>
      </c>
      <c r="L20" s="195">
        <f t="shared" si="27"/>
        <v>0</v>
      </c>
      <c r="M20" s="195">
        <f t="shared" si="28"/>
        <v>0</v>
      </c>
      <c r="N20" s="195">
        <f t="shared" si="29"/>
        <v>163.44</v>
      </c>
      <c r="O20" s="195">
        <f t="shared" si="30"/>
        <v>0</v>
      </c>
      <c r="P20" s="195">
        <f t="shared" si="20"/>
        <v>0</v>
      </c>
      <c r="Q20" s="195">
        <f t="shared" si="21"/>
        <v>0</v>
      </c>
      <c r="R20" s="195">
        <f t="shared" si="22"/>
        <v>0</v>
      </c>
      <c r="S20" s="195">
        <f t="shared" si="23"/>
        <v>233.48571428571429</v>
      </c>
      <c r="T20" s="195">
        <f t="shared" si="24"/>
        <v>0</v>
      </c>
      <c r="V20" s="195">
        <f t="shared" si="14"/>
        <v>20.43</v>
      </c>
      <c r="W20" s="195" t="str">
        <f t="shared" si="25"/>
        <v>Mcclung</v>
      </c>
      <c r="X20" s="195">
        <f t="shared" si="12"/>
        <v>233.48571428571429</v>
      </c>
    </row>
    <row r="21" spans="2:24" ht="15" customHeight="1">
      <c r="B21" s="121" t="s">
        <v>440</v>
      </c>
      <c r="C21" s="119" t="s">
        <v>475</v>
      </c>
      <c r="D21" s="114">
        <v>1</v>
      </c>
      <c r="E21" s="366"/>
      <c r="F21" s="366"/>
      <c r="G21" s="366"/>
      <c r="H21" s="366">
        <v>138.72</v>
      </c>
      <c r="I21" s="366"/>
      <c r="J21" s="212">
        <v>0.2</v>
      </c>
      <c r="K21" s="195">
        <f t="shared" si="26"/>
        <v>0</v>
      </c>
      <c r="L21" s="195">
        <f t="shared" si="27"/>
        <v>0</v>
      </c>
      <c r="M21" s="195">
        <f t="shared" si="28"/>
        <v>0</v>
      </c>
      <c r="N21" s="195">
        <f t="shared" si="29"/>
        <v>138.72</v>
      </c>
      <c r="O21" s="195">
        <f t="shared" si="30"/>
        <v>0</v>
      </c>
      <c r="P21" s="195">
        <f t="shared" si="20"/>
        <v>0</v>
      </c>
      <c r="Q21" s="195">
        <f t="shared" si="21"/>
        <v>0</v>
      </c>
      <c r="R21" s="195">
        <f t="shared" si="22"/>
        <v>0</v>
      </c>
      <c r="S21" s="195">
        <f t="shared" si="23"/>
        <v>173.39999999999998</v>
      </c>
      <c r="T21" s="195">
        <f t="shared" si="24"/>
        <v>0</v>
      </c>
      <c r="V21" s="195">
        <f t="shared" si="14"/>
        <v>138.72</v>
      </c>
      <c r="W21" s="195" t="str">
        <f t="shared" si="25"/>
        <v>Mcclung</v>
      </c>
      <c r="X21" s="195">
        <f t="shared" si="12"/>
        <v>173.39999999999998</v>
      </c>
    </row>
    <row r="22" spans="2:24" ht="15" customHeight="1">
      <c r="B22" s="121" t="s">
        <v>441</v>
      </c>
      <c r="C22" s="112" t="s">
        <v>475</v>
      </c>
      <c r="D22" s="222">
        <v>2</v>
      </c>
      <c r="E22" s="366"/>
      <c r="F22" s="366"/>
      <c r="G22" s="366"/>
      <c r="H22" s="366">
        <v>38.200000000000003</v>
      </c>
      <c r="I22" s="366"/>
      <c r="J22" s="212">
        <v>0.2</v>
      </c>
      <c r="K22" s="195">
        <f t="shared" si="26"/>
        <v>0</v>
      </c>
      <c r="L22" s="195">
        <f t="shared" si="27"/>
        <v>0</v>
      </c>
      <c r="M22" s="195">
        <f t="shared" si="28"/>
        <v>0</v>
      </c>
      <c r="N22" s="195">
        <f t="shared" si="29"/>
        <v>76.400000000000006</v>
      </c>
      <c r="O22" s="195">
        <f t="shared" si="30"/>
        <v>0</v>
      </c>
      <c r="P22" s="195">
        <f t="shared" si="20"/>
        <v>0</v>
      </c>
      <c r="Q22" s="195">
        <f t="shared" si="21"/>
        <v>0</v>
      </c>
      <c r="R22" s="195">
        <f t="shared" si="22"/>
        <v>0</v>
      </c>
      <c r="S22" s="195">
        <f t="shared" si="23"/>
        <v>95.5</v>
      </c>
      <c r="T22" s="195">
        <f t="shared" si="24"/>
        <v>0</v>
      </c>
      <c r="V22" s="195">
        <f t="shared" si="14"/>
        <v>38.200000000000003</v>
      </c>
      <c r="W22" s="195" t="str">
        <f t="shared" si="25"/>
        <v>Mcclung</v>
      </c>
      <c r="X22" s="195">
        <f t="shared" si="12"/>
        <v>95.5</v>
      </c>
    </row>
    <row r="23" spans="2:24" ht="15" customHeight="1">
      <c r="B23" s="121" t="s">
        <v>442</v>
      </c>
      <c r="C23" s="113" t="s">
        <v>476</v>
      </c>
      <c r="D23" s="222">
        <v>1</v>
      </c>
      <c r="E23" s="366">
        <v>21.08</v>
      </c>
      <c r="F23" s="366"/>
      <c r="G23" s="366"/>
      <c r="H23" s="366">
        <v>21.08</v>
      </c>
      <c r="I23" s="366"/>
      <c r="J23" s="212">
        <v>0.2</v>
      </c>
      <c r="K23" s="195">
        <f t="shared" si="26"/>
        <v>21.08</v>
      </c>
      <c r="L23" s="195">
        <f t="shared" si="27"/>
        <v>0</v>
      </c>
      <c r="M23" s="195">
        <f t="shared" si="28"/>
        <v>0</v>
      </c>
      <c r="N23" s="195">
        <f t="shared" si="29"/>
        <v>21.08</v>
      </c>
      <c r="O23" s="195">
        <f t="shared" si="30"/>
        <v>0</v>
      </c>
      <c r="P23" s="195">
        <f t="shared" si="20"/>
        <v>26.349999999999998</v>
      </c>
      <c r="Q23" s="195">
        <f t="shared" si="21"/>
        <v>0</v>
      </c>
      <c r="R23" s="195">
        <f t="shared" si="22"/>
        <v>0</v>
      </c>
      <c r="S23" s="195">
        <f t="shared" si="23"/>
        <v>26.349999999999998</v>
      </c>
      <c r="T23" s="195">
        <f t="shared" si="24"/>
        <v>0</v>
      </c>
      <c r="V23" s="195">
        <f t="shared" si="14"/>
        <v>21.08</v>
      </c>
      <c r="W23" s="195" t="str">
        <f t="shared" si="25"/>
        <v>CAT</v>
      </c>
      <c r="X23" s="195">
        <f t="shared" si="12"/>
        <v>26.349999999999998</v>
      </c>
    </row>
    <row r="24" spans="2:24" ht="15" customHeight="1">
      <c r="B24" s="121" t="s">
        <v>443</v>
      </c>
      <c r="C24" s="113" t="s">
        <v>477</v>
      </c>
      <c r="D24" s="222">
        <v>1</v>
      </c>
      <c r="E24" s="366">
        <v>9.34</v>
      </c>
      <c r="F24" s="366"/>
      <c r="G24" s="366"/>
      <c r="H24" s="366">
        <v>9.34</v>
      </c>
      <c r="I24" s="366"/>
      <c r="J24" s="212">
        <v>0.3</v>
      </c>
      <c r="K24" s="195">
        <f t="shared" si="26"/>
        <v>9.34</v>
      </c>
      <c r="L24" s="195">
        <f t="shared" si="27"/>
        <v>0</v>
      </c>
      <c r="M24" s="195">
        <f t="shared" si="28"/>
        <v>0</v>
      </c>
      <c r="N24" s="195">
        <f t="shared" si="29"/>
        <v>9.34</v>
      </c>
      <c r="O24" s="195">
        <f t="shared" si="30"/>
        <v>0</v>
      </c>
      <c r="P24" s="195">
        <f t="shared" si="20"/>
        <v>13.342857142857143</v>
      </c>
      <c r="Q24" s="195">
        <f t="shared" si="21"/>
        <v>0</v>
      </c>
      <c r="R24" s="195">
        <f t="shared" si="22"/>
        <v>0</v>
      </c>
      <c r="S24" s="195">
        <f t="shared" si="23"/>
        <v>13.342857142857143</v>
      </c>
      <c r="T24" s="195">
        <f t="shared" si="24"/>
        <v>0</v>
      </c>
      <c r="V24" s="195">
        <f t="shared" si="14"/>
        <v>9.34</v>
      </c>
      <c r="W24" s="195" t="str">
        <f t="shared" si="25"/>
        <v>CAT</v>
      </c>
      <c r="X24" s="195">
        <f t="shared" si="12"/>
        <v>13.342857142857143</v>
      </c>
    </row>
    <row r="25" spans="2:24" ht="15" customHeight="1">
      <c r="B25" s="219" t="s">
        <v>444</v>
      </c>
      <c r="C25" s="122" t="s">
        <v>478</v>
      </c>
      <c r="D25" s="223">
        <v>2</v>
      </c>
      <c r="E25" s="366"/>
      <c r="F25" s="366"/>
      <c r="G25" s="366"/>
      <c r="H25" s="366">
        <v>2.81</v>
      </c>
      <c r="I25" s="366"/>
      <c r="J25" s="212">
        <v>0.3</v>
      </c>
      <c r="K25" s="195">
        <f t="shared" si="26"/>
        <v>0</v>
      </c>
      <c r="L25" s="195">
        <f t="shared" si="27"/>
        <v>0</v>
      </c>
      <c r="M25" s="195">
        <f t="shared" si="28"/>
        <v>0</v>
      </c>
      <c r="N25" s="195">
        <f t="shared" si="29"/>
        <v>5.62</v>
      </c>
      <c r="O25" s="195">
        <f t="shared" si="30"/>
        <v>0</v>
      </c>
      <c r="P25" s="195">
        <f t="shared" si="20"/>
        <v>0</v>
      </c>
      <c r="Q25" s="195">
        <f t="shared" si="21"/>
        <v>0</v>
      </c>
      <c r="R25" s="195">
        <f t="shared" si="22"/>
        <v>0</v>
      </c>
      <c r="S25" s="195">
        <f t="shared" si="23"/>
        <v>8.0285714285714285</v>
      </c>
      <c r="T25" s="195">
        <f t="shared" si="24"/>
        <v>0</v>
      </c>
      <c r="V25" s="195">
        <f t="shared" si="14"/>
        <v>2.81</v>
      </c>
      <c r="W25" s="195" t="str">
        <f t="shared" si="25"/>
        <v>Mcclung</v>
      </c>
      <c r="X25" s="195">
        <f t="shared" si="12"/>
        <v>8.0285714285714285</v>
      </c>
    </row>
    <row r="26" spans="2:24" ht="15" customHeight="1">
      <c r="B26" s="220" t="s">
        <v>445</v>
      </c>
      <c r="C26" s="122" t="s">
        <v>479</v>
      </c>
      <c r="D26" s="223">
        <v>1</v>
      </c>
      <c r="E26" s="366"/>
      <c r="F26" s="366"/>
      <c r="G26" s="366"/>
      <c r="H26" s="366">
        <v>60.31</v>
      </c>
      <c r="I26" s="366"/>
      <c r="J26" s="212">
        <v>0.2</v>
      </c>
      <c r="K26" s="195">
        <f t="shared" si="26"/>
        <v>0</v>
      </c>
      <c r="L26" s="195">
        <f t="shared" si="27"/>
        <v>0</v>
      </c>
      <c r="M26" s="195">
        <f t="shared" si="28"/>
        <v>0</v>
      </c>
      <c r="N26" s="195">
        <f t="shared" si="29"/>
        <v>60.31</v>
      </c>
      <c r="O26" s="195">
        <f t="shared" si="30"/>
        <v>0</v>
      </c>
      <c r="P26" s="195">
        <f t="shared" si="20"/>
        <v>0</v>
      </c>
      <c r="Q26" s="195">
        <f t="shared" si="21"/>
        <v>0</v>
      </c>
      <c r="R26" s="195">
        <f t="shared" si="22"/>
        <v>0</v>
      </c>
      <c r="S26" s="195">
        <f t="shared" si="23"/>
        <v>75.387500000000003</v>
      </c>
      <c r="T26" s="195">
        <f t="shared" si="24"/>
        <v>0</v>
      </c>
      <c r="V26" s="195">
        <f t="shared" si="14"/>
        <v>60.31</v>
      </c>
      <c r="W26" s="195" t="str">
        <f t="shared" si="25"/>
        <v>Mcclung</v>
      </c>
      <c r="X26" s="195">
        <f t="shared" si="12"/>
        <v>75.387500000000003</v>
      </c>
    </row>
    <row r="27" spans="2:24" ht="15" customHeight="1">
      <c r="B27" s="219" t="s">
        <v>446</v>
      </c>
      <c r="C27" s="122" t="s">
        <v>479</v>
      </c>
      <c r="D27" s="223">
        <v>1</v>
      </c>
      <c r="E27" s="366"/>
      <c r="F27" s="366"/>
      <c r="G27" s="366"/>
      <c r="H27" s="366">
        <v>49.72</v>
      </c>
      <c r="I27" s="366"/>
      <c r="J27" s="212">
        <v>0.2</v>
      </c>
      <c r="K27" s="195">
        <f t="shared" si="26"/>
        <v>0</v>
      </c>
      <c r="L27" s="195">
        <f t="shared" si="27"/>
        <v>0</v>
      </c>
      <c r="M27" s="195">
        <f t="shared" si="28"/>
        <v>0</v>
      </c>
      <c r="N27" s="195">
        <f t="shared" si="29"/>
        <v>49.72</v>
      </c>
      <c r="O27" s="195">
        <f t="shared" si="30"/>
        <v>0</v>
      </c>
      <c r="P27" s="195">
        <f t="shared" si="20"/>
        <v>0</v>
      </c>
      <c r="Q27" s="195">
        <f t="shared" si="21"/>
        <v>0</v>
      </c>
      <c r="R27" s="195">
        <f t="shared" si="22"/>
        <v>0</v>
      </c>
      <c r="S27" s="195">
        <f t="shared" si="23"/>
        <v>62.15</v>
      </c>
      <c r="T27" s="195">
        <f t="shared" si="24"/>
        <v>0</v>
      </c>
      <c r="V27" s="195">
        <f t="shared" si="14"/>
        <v>49.72</v>
      </c>
      <c r="W27" s="195" t="str">
        <f t="shared" si="25"/>
        <v>Mcclung</v>
      </c>
      <c r="X27" s="195">
        <f t="shared" si="12"/>
        <v>62.15</v>
      </c>
    </row>
    <row r="28" spans="2:24" ht="15" customHeight="1">
      <c r="B28" s="219" t="s">
        <v>447</v>
      </c>
      <c r="C28" s="122" t="s">
        <v>475</v>
      </c>
      <c r="D28" s="223">
        <v>2</v>
      </c>
      <c r="E28" s="366"/>
      <c r="F28" s="366"/>
      <c r="G28" s="366"/>
      <c r="H28" s="366">
        <v>20.43</v>
      </c>
      <c r="I28" s="366"/>
      <c r="J28" s="212">
        <v>0.3</v>
      </c>
      <c r="K28" s="195">
        <f t="shared" si="26"/>
        <v>0</v>
      </c>
      <c r="L28" s="195">
        <f t="shared" si="27"/>
        <v>0</v>
      </c>
      <c r="M28" s="195">
        <f t="shared" si="28"/>
        <v>0</v>
      </c>
      <c r="N28" s="195">
        <f t="shared" si="29"/>
        <v>40.86</v>
      </c>
      <c r="O28" s="195">
        <f t="shared" si="30"/>
        <v>0</v>
      </c>
      <c r="P28" s="195">
        <f t="shared" si="20"/>
        <v>0</v>
      </c>
      <c r="Q28" s="195">
        <f t="shared" si="21"/>
        <v>0</v>
      </c>
      <c r="R28" s="195">
        <f t="shared" si="22"/>
        <v>0</v>
      </c>
      <c r="S28" s="195">
        <f t="shared" si="23"/>
        <v>58.371428571428574</v>
      </c>
      <c r="T28" s="195">
        <f t="shared" si="24"/>
        <v>0</v>
      </c>
      <c r="V28" s="195">
        <f t="shared" si="14"/>
        <v>20.43</v>
      </c>
      <c r="W28" s="195" t="str">
        <f t="shared" si="25"/>
        <v>Mcclung</v>
      </c>
      <c r="X28" s="195">
        <f t="shared" si="12"/>
        <v>58.371428571428574</v>
      </c>
    </row>
    <row r="29" spans="2:24" ht="15" customHeight="1">
      <c r="B29" s="220" t="s">
        <v>448</v>
      </c>
      <c r="C29" s="122" t="s">
        <v>480</v>
      </c>
      <c r="D29" s="223">
        <v>1</v>
      </c>
      <c r="E29" s="366"/>
      <c r="F29" s="366"/>
      <c r="G29" s="366"/>
      <c r="H29" s="366">
        <v>1738.09</v>
      </c>
      <c r="I29" s="366"/>
      <c r="J29" s="212">
        <v>0.15</v>
      </c>
      <c r="K29" s="195">
        <f t="shared" si="26"/>
        <v>0</v>
      </c>
      <c r="L29" s="195">
        <f t="shared" si="27"/>
        <v>0</v>
      </c>
      <c r="M29" s="195">
        <f t="shared" si="28"/>
        <v>0</v>
      </c>
      <c r="N29" s="195">
        <f t="shared" si="29"/>
        <v>1738.09</v>
      </c>
      <c r="O29" s="195">
        <f t="shared" si="30"/>
        <v>0</v>
      </c>
      <c r="P29" s="195">
        <f t="shared" si="20"/>
        <v>0</v>
      </c>
      <c r="Q29" s="195">
        <f t="shared" si="21"/>
        <v>0</v>
      </c>
      <c r="R29" s="195">
        <f t="shared" si="22"/>
        <v>0</v>
      </c>
      <c r="S29" s="195">
        <f t="shared" si="23"/>
        <v>2044.8117647058823</v>
      </c>
      <c r="T29" s="195">
        <f t="shared" si="24"/>
        <v>0</v>
      </c>
      <c r="V29" s="195">
        <f t="shared" si="14"/>
        <v>1738.09</v>
      </c>
      <c r="W29" s="195" t="str">
        <f t="shared" si="25"/>
        <v>Mcclung</v>
      </c>
      <c r="X29" s="195">
        <f t="shared" si="12"/>
        <v>2044.8117647058823</v>
      </c>
    </row>
    <row r="30" spans="2:24" ht="15" customHeight="1">
      <c r="B30" s="219" t="s">
        <v>449</v>
      </c>
      <c r="C30" s="122" t="s">
        <v>481</v>
      </c>
      <c r="D30" s="223">
        <v>4</v>
      </c>
      <c r="E30" s="366"/>
      <c r="F30" s="366"/>
      <c r="G30" s="366"/>
      <c r="H30" s="366">
        <v>44.39</v>
      </c>
      <c r="I30" s="366"/>
      <c r="J30" s="212">
        <v>0.2</v>
      </c>
      <c r="K30" s="195">
        <f t="shared" si="26"/>
        <v>0</v>
      </c>
      <c r="L30" s="195">
        <f t="shared" si="27"/>
        <v>0</v>
      </c>
      <c r="M30" s="195">
        <f t="shared" si="28"/>
        <v>0</v>
      </c>
      <c r="N30" s="195">
        <f t="shared" si="29"/>
        <v>177.56</v>
      </c>
      <c r="O30" s="195">
        <f t="shared" si="30"/>
        <v>0</v>
      </c>
      <c r="P30" s="195">
        <f t="shared" si="20"/>
        <v>0</v>
      </c>
      <c r="Q30" s="195">
        <f t="shared" si="21"/>
        <v>0</v>
      </c>
      <c r="R30" s="195">
        <f t="shared" si="22"/>
        <v>0</v>
      </c>
      <c r="S30" s="195">
        <f t="shared" si="23"/>
        <v>221.95</v>
      </c>
      <c r="T30" s="195">
        <f t="shared" si="24"/>
        <v>0</v>
      </c>
      <c r="V30" s="195">
        <f t="shared" si="14"/>
        <v>44.39</v>
      </c>
      <c r="W30" s="195" t="str">
        <f t="shared" si="25"/>
        <v>Mcclung</v>
      </c>
      <c r="X30" s="195">
        <f t="shared" si="12"/>
        <v>221.95</v>
      </c>
    </row>
    <row r="31" spans="2:24" ht="15" customHeight="1">
      <c r="B31" s="219" t="s">
        <v>450</v>
      </c>
      <c r="C31" s="122" t="s">
        <v>482</v>
      </c>
      <c r="D31" s="223">
        <v>4</v>
      </c>
      <c r="E31" s="366"/>
      <c r="F31" s="366"/>
      <c r="G31" s="366"/>
      <c r="H31" s="366">
        <v>0.64</v>
      </c>
      <c r="I31" s="366"/>
      <c r="J31" s="212">
        <v>0.4</v>
      </c>
      <c r="K31" s="195">
        <f t="shared" si="26"/>
        <v>0</v>
      </c>
      <c r="L31" s="195">
        <f t="shared" si="27"/>
        <v>0</v>
      </c>
      <c r="M31" s="195">
        <f t="shared" si="28"/>
        <v>0</v>
      </c>
      <c r="N31" s="195">
        <f t="shared" si="29"/>
        <v>2.56</v>
      </c>
      <c r="O31" s="195">
        <f t="shared" si="30"/>
        <v>0</v>
      </c>
      <c r="P31" s="195">
        <f t="shared" si="20"/>
        <v>0</v>
      </c>
      <c r="Q31" s="195">
        <f t="shared" si="21"/>
        <v>0</v>
      </c>
      <c r="R31" s="195">
        <f t="shared" si="22"/>
        <v>0</v>
      </c>
      <c r="S31" s="195">
        <f t="shared" si="23"/>
        <v>4.2666666666666666</v>
      </c>
      <c r="T31" s="195">
        <f t="shared" si="24"/>
        <v>0</v>
      </c>
      <c r="V31" s="195">
        <f t="shared" si="14"/>
        <v>0.64</v>
      </c>
      <c r="W31" s="195" t="str">
        <f t="shared" si="25"/>
        <v>Mcclung</v>
      </c>
      <c r="X31" s="195">
        <f t="shared" si="12"/>
        <v>4.2666666666666666</v>
      </c>
    </row>
    <row r="32" spans="2:24" ht="15" customHeight="1">
      <c r="B32" s="219" t="s">
        <v>451</v>
      </c>
      <c r="C32" s="122" t="s">
        <v>483</v>
      </c>
      <c r="D32" s="223">
        <v>4</v>
      </c>
      <c r="E32" s="366"/>
      <c r="F32" s="366"/>
      <c r="G32" s="366"/>
      <c r="H32" s="366">
        <v>61.09</v>
      </c>
      <c r="I32" s="366"/>
      <c r="J32" s="212">
        <v>0.2</v>
      </c>
      <c r="K32" s="195">
        <f t="shared" si="26"/>
        <v>0</v>
      </c>
      <c r="L32" s="195">
        <f t="shared" si="27"/>
        <v>0</v>
      </c>
      <c r="M32" s="195">
        <f t="shared" si="28"/>
        <v>0</v>
      </c>
      <c r="N32" s="195">
        <f t="shared" si="29"/>
        <v>244.36</v>
      </c>
      <c r="O32" s="195">
        <f t="shared" si="30"/>
        <v>0</v>
      </c>
      <c r="P32" s="195">
        <f t="shared" si="20"/>
        <v>0</v>
      </c>
      <c r="Q32" s="195">
        <f t="shared" si="21"/>
        <v>0</v>
      </c>
      <c r="R32" s="195">
        <f t="shared" si="22"/>
        <v>0</v>
      </c>
      <c r="S32" s="195">
        <f t="shared" si="23"/>
        <v>305.45</v>
      </c>
      <c r="T32" s="195">
        <f t="shared" si="24"/>
        <v>0</v>
      </c>
      <c r="V32" s="195">
        <f t="shared" si="14"/>
        <v>61.09</v>
      </c>
      <c r="W32" s="195" t="str">
        <f t="shared" si="25"/>
        <v>Mcclung</v>
      </c>
      <c r="X32" s="195">
        <f t="shared" si="12"/>
        <v>305.45</v>
      </c>
    </row>
    <row r="33" spans="2:24" ht="15" customHeight="1">
      <c r="B33" s="219" t="s">
        <v>452</v>
      </c>
      <c r="C33" s="122" t="s">
        <v>484</v>
      </c>
      <c r="D33" s="223">
        <v>2</v>
      </c>
      <c r="E33" s="366"/>
      <c r="F33" s="366"/>
      <c r="G33" s="366"/>
      <c r="H33" s="366">
        <v>5.66</v>
      </c>
      <c r="I33" s="366"/>
      <c r="J33" s="212">
        <v>0.2</v>
      </c>
      <c r="K33" s="195">
        <f t="shared" si="26"/>
        <v>0</v>
      </c>
      <c r="L33" s="195">
        <f t="shared" si="27"/>
        <v>0</v>
      </c>
      <c r="M33" s="195">
        <f t="shared" si="28"/>
        <v>0</v>
      </c>
      <c r="N33" s="195">
        <f t="shared" si="29"/>
        <v>11.32</v>
      </c>
      <c r="O33" s="195">
        <f t="shared" si="30"/>
        <v>0</v>
      </c>
      <c r="P33" s="195">
        <f t="shared" si="20"/>
        <v>0</v>
      </c>
      <c r="Q33" s="195">
        <f t="shared" si="21"/>
        <v>0</v>
      </c>
      <c r="R33" s="195">
        <f t="shared" si="22"/>
        <v>0</v>
      </c>
      <c r="S33" s="195">
        <f t="shared" si="23"/>
        <v>14.15</v>
      </c>
      <c r="T33" s="195">
        <f t="shared" si="24"/>
        <v>0</v>
      </c>
      <c r="V33" s="195">
        <f t="shared" si="14"/>
        <v>5.66</v>
      </c>
      <c r="W33" s="195" t="str">
        <f t="shared" si="25"/>
        <v>Mcclung</v>
      </c>
      <c r="X33" s="195">
        <f t="shared" si="12"/>
        <v>14.15</v>
      </c>
    </row>
    <row r="34" spans="2:24" ht="15" customHeight="1">
      <c r="B34" s="220" t="s">
        <v>453</v>
      </c>
      <c r="C34" s="122" t="s">
        <v>485</v>
      </c>
      <c r="D34" s="223">
        <v>2</v>
      </c>
      <c r="E34" s="366"/>
      <c r="F34" s="366"/>
      <c r="G34" s="366">
        <v>448.65</v>
      </c>
      <c r="H34" s="366"/>
      <c r="I34" s="366"/>
      <c r="J34" s="212">
        <v>0.2</v>
      </c>
      <c r="K34" s="195">
        <f t="shared" si="26"/>
        <v>0</v>
      </c>
      <c r="L34" s="195">
        <f t="shared" si="27"/>
        <v>0</v>
      </c>
      <c r="M34" s="195">
        <f t="shared" si="28"/>
        <v>897.3</v>
      </c>
      <c r="N34" s="195">
        <f t="shared" si="29"/>
        <v>0</v>
      </c>
      <c r="O34" s="195">
        <f t="shared" si="30"/>
        <v>0</v>
      </c>
      <c r="P34" s="195">
        <f t="shared" si="20"/>
        <v>0</v>
      </c>
      <c r="Q34" s="195">
        <f t="shared" si="21"/>
        <v>0</v>
      </c>
      <c r="R34" s="195">
        <f t="shared" si="22"/>
        <v>1121.6249999999998</v>
      </c>
      <c r="S34" s="195">
        <f t="shared" si="23"/>
        <v>0</v>
      </c>
      <c r="T34" s="195">
        <f t="shared" si="24"/>
        <v>0</v>
      </c>
      <c r="V34" s="195">
        <f t="shared" si="14"/>
        <v>448.65</v>
      </c>
      <c r="W34" s="195" t="str">
        <f t="shared" si="25"/>
        <v>MATA</v>
      </c>
      <c r="X34" s="195">
        <f t="shared" si="12"/>
        <v>1121.6249999999998</v>
      </c>
    </row>
    <row r="35" spans="2:24" ht="15" customHeight="1">
      <c r="B35" s="221" t="s">
        <v>454</v>
      </c>
      <c r="C35" s="122" t="s">
        <v>485</v>
      </c>
      <c r="D35" s="223">
        <v>1</v>
      </c>
      <c r="E35" s="366">
        <v>429.43</v>
      </c>
      <c r="F35" s="366"/>
      <c r="G35" s="366">
        <v>429.43</v>
      </c>
      <c r="H35" s="366"/>
      <c r="I35" s="366"/>
      <c r="J35" s="212">
        <v>0.2</v>
      </c>
      <c r="K35" s="195">
        <f t="shared" si="26"/>
        <v>429.43</v>
      </c>
      <c r="L35" s="195">
        <f t="shared" si="27"/>
        <v>0</v>
      </c>
      <c r="M35" s="195">
        <f t="shared" si="28"/>
        <v>429.43</v>
      </c>
      <c r="N35" s="195">
        <f t="shared" si="29"/>
        <v>0</v>
      </c>
      <c r="O35" s="195">
        <f t="shared" si="30"/>
        <v>0</v>
      </c>
      <c r="P35" s="195">
        <f t="shared" si="20"/>
        <v>536.78750000000002</v>
      </c>
      <c r="Q35" s="195">
        <f t="shared" si="21"/>
        <v>0</v>
      </c>
      <c r="R35" s="195">
        <f t="shared" si="22"/>
        <v>536.78750000000002</v>
      </c>
      <c r="S35" s="195">
        <f t="shared" si="23"/>
        <v>0</v>
      </c>
      <c r="T35" s="195">
        <f t="shared" si="24"/>
        <v>0</v>
      </c>
      <c r="V35" s="195">
        <f t="shared" si="14"/>
        <v>429.43</v>
      </c>
      <c r="W35" s="195" t="str">
        <f t="shared" si="25"/>
        <v>CAT</v>
      </c>
      <c r="X35" s="195">
        <f t="shared" si="12"/>
        <v>536.78750000000002</v>
      </c>
    </row>
    <row r="36" spans="2:24" ht="15" customHeight="1">
      <c r="B36" s="221" t="s">
        <v>455</v>
      </c>
      <c r="C36" s="122" t="s">
        <v>486</v>
      </c>
      <c r="D36" s="223">
        <v>4</v>
      </c>
      <c r="E36" s="366">
        <v>47</v>
      </c>
      <c r="F36" s="366"/>
      <c r="G36" s="366">
        <v>47</v>
      </c>
      <c r="H36" s="366"/>
      <c r="I36" s="366"/>
      <c r="J36" s="212">
        <v>0.3</v>
      </c>
      <c r="K36" s="195">
        <f t="shared" si="26"/>
        <v>188</v>
      </c>
      <c r="L36" s="195">
        <f t="shared" si="27"/>
        <v>0</v>
      </c>
      <c r="M36" s="195">
        <f t="shared" si="28"/>
        <v>188</v>
      </c>
      <c r="N36" s="195">
        <f t="shared" si="29"/>
        <v>0</v>
      </c>
      <c r="O36" s="195">
        <f t="shared" si="30"/>
        <v>0</v>
      </c>
      <c r="P36" s="195">
        <f t="shared" si="20"/>
        <v>268.57142857142861</v>
      </c>
      <c r="Q36" s="195">
        <f t="shared" si="21"/>
        <v>0</v>
      </c>
      <c r="R36" s="195">
        <f t="shared" si="22"/>
        <v>268.57142857142861</v>
      </c>
      <c r="S36" s="195">
        <f t="shared" si="23"/>
        <v>0</v>
      </c>
      <c r="T36" s="195">
        <f t="shared" si="24"/>
        <v>0</v>
      </c>
      <c r="V36" s="195">
        <f t="shared" si="14"/>
        <v>47</v>
      </c>
      <c r="W36" s="195" t="str">
        <f t="shared" si="25"/>
        <v>CAT</v>
      </c>
      <c r="X36" s="195">
        <f t="shared" si="12"/>
        <v>268.57142857142861</v>
      </c>
    </row>
    <row r="37" spans="2:24" ht="15" customHeight="1">
      <c r="B37" s="221" t="s">
        <v>456</v>
      </c>
      <c r="C37" s="122" t="s">
        <v>486</v>
      </c>
      <c r="D37" s="223">
        <v>4</v>
      </c>
      <c r="E37" s="366"/>
      <c r="F37" s="366"/>
      <c r="G37" s="366">
        <v>103.62</v>
      </c>
      <c r="H37" s="366"/>
      <c r="I37" s="366"/>
      <c r="J37" s="212">
        <v>0.25</v>
      </c>
      <c r="K37" s="195">
        <f t="shared" si="26"/>
        <v>0</v>
      </c>
      <c r="L37" s="195">
        <f t="shared" si="27"/>
        <v>0</v>
      </c>
      <c r="M37" s="195">
        <f t="shared" si="28"/>
        <v>414.48</v>
      </c>
      <c r="N37" s="195">
        <f t="shared" si="29"/>
        <v>0</v>
      </c>
      <c r="O37" s="195">
        <f t="shared" si="30"/>
        <v>0</v>
      </c>
      <c r="P37" s="195">
        <f t="shared" si="20"/>
        <v>0</v>
      </c>
      <c r="Q37" s="195">
        <f t="shared" si="21"/>
        <v>0</v>
      </c>
      <c r="R37" s="195">
        <f t="shared" si="22"/>
        <v>552.64</v>
      </c>
      <c r="S37" s="195">
        <f t="shared" si="23"/>
        <v>0</v>
      </c>
      <c r="T37" s="195">
        <f t="shared" si="24"/>
        <v>0</v>
      </c>
      <c r="V37" s="195">
        <f t="shared" si="14"/>
        <v>103.62</v>
      </c>
      <c r="W37" s="195" t="str">
        <f t="shared" si="25"/>
        <v>MATA</v>
      </c>
      <c r="X37" s="195">
        <f t="shared" si="12"/>
        <v>552.64</v>
      </c>
    </row>
    <row r="38" spans="2:24" ht="15" customHeight="1">
      <c r="B38" s="221" t="s">
        <v>457</v>
      </c>
      <c r="C38" s="122" t="s">
        <v>486</v>
      </c>
      <c r="D38" s="223">
        <v>2</v>
      </c>
      <c r="E38" s="366"/>
      <c r="F38" s="366"/>
      <c r="G38" s="366">
        <v>99.67</v>
      </c>
      <c r="H38" s="366"/>
      <c r="I38" s="366"/>
      <c r="J38" s="212">
        <v>0.2</v>
      </c>
      <c r="K38" s="195">
        <f t="shared" si="26"/>
        <v>0</v>
      </c>
      <c r="L38" s="195">
        <f t="shared" si="27"/>
        <v>0</v>
      </c>
      <c r="M38" s="195">
        <f t="shared" si="28"/>
        <v>199.34</v>
      </c>
      <c r="N38" s="195">
        <f t="shared" si="29"/>
        <v>0</v>
      </c>
      <c r="O38" s="195">
        <f t="shared" si="30"/>
        <v>0</v>
      </c>
      <c r="P38" s="195">
        <f t="shared" si="20"/>
        <v>0</v>
      </c>
      <c r="Q38" s="195">
        <f t="shared" si="21"/>
        <v>0</v>
      </c>
      <c r="R38" s="195">
        <f t="shared" si="22"/>
        <v>249.17499999999998</v>
      </c>
      <c r="S38" s="195">
        <f t="shared" si="23"/>
        <v>0</v>
      </c>
      <c r="T38" s="195">
        <f t="shared" si="24"/>
        <v>0</v>
      </c>
      <c r="V38" s="195">
        <f t="shared" si="14"/>
        <v>99.67</v>
      </c>
      <c r="W38" s="195" t="str">
        <f t="shared" si="25"/>
        <v>MATA</v>
      </c>
      <c r="X38" s="195">
        <f t="shared" si="12"/>
        <v>249.17499999999998</v>
      </c>
    </row>
    <row r="39" spans="2:24" ht="15" customHeight="1">
      <c r="B39" s="221" t="s">
        <v>458</v>
      </c>
      <c r="C39" s="122" t="s">
        <v>487</v>
      </c>
      <c r="D39" s="223">
        <v>2</v>
      </c>
      <c r="E39" s="366"/>
      <c r="F39" s="366"/>
      <c r="G39" s="366"/>
      <c r="H39" s="366">
        <v>787.62</v>
      </c>
      <c r="I39" s="366"/>
      <c r="J39" s="212">
        <v>0.15</v>
      </c>
      <c r="K39" s="195">
        <f t="shared" si="26"/>
        <v>0</v>
      </c>
      <c r="L39" s="195">
        <f t="shared" si="27"/>
        <v>0</v>
      </c>
      <c r="M39" s="195">
        <f t="shared" si="28"/>
        <v>0</v>
      </c>
      <c r="N39" s="195">
        <f t="shared" si="29"/>
        <v>1575.24</v>
      </c>
      <c r="O39" s="195">
        <f t="shared" si="30"/>
        <v>0</v>
      </c>
      <c r="P39" s="195">
        <f t="shared" si="20"/>
        <v>0</v>
      </c>
      <c r="Q39" s="195">
        <f t="shared" si="21"/>
        <v>0</v>
      </c>
      <c r="R39" s="195">
        <f t="shared" si="22"/>
        <v>0</v>
      </c>
      <c r="S39" s="195">
        <f t="shared" si="23"/>
        <v>1853.2235294117647</v>
      </c>
      <c r="T39" s="195">
        <f t="shared" si="24"/>
        <v>0</v>
      </c>
      <c r="V39" s="195">
        <f t="shared" si="14"/>
        <v>787.62</v>
      </c>
      <c r="W39" s="195" t="str">
        <f t="shared" si="25"/>
        <v>Mcclung</v>
      </c>
      <c r="X39" s="195">
        <f t="shared" si="12"/>
        <v>1853.2235294117647</v>
      </c>
    </row>
    <row r="40" spans="2:24" ht="15" customHeight="1">
      <c r="B40" s="221" t="s">
        <v>459</v>
      </c>
      <c r="C40" s="122" t="s">
        <v>488</v>
      </c>
      <c r="D40" s="223">
        <v>2</v>
      </c>
      <c r="E40" s="366"/>
      <c r="F40" s="366"/>
      <c r="G40" s="366"/>
      <c r="H40" s="366">
        <v>124.18</v>
      </c>
      <c r="I40" s="366"/>
      <c r="J40" s="212">
        <v>0.2</v>
      </c>
      <c r="K40" s="195">
        <f t="shared" si="26"/>
        <v>0</v>
      </c>
      <c r="L40" s="195">
        <f t="shared" si="27"/>
        <v>0</v>
      </c>
      <c r="M40" s="195">
        <f t="shared" si="28"/>
        <v>0</v>
      </c>
      <c r="N40" s="195">
        <f t="shared" si="29"/>
        <v>248.36</v>
      </c>
      <c r="O40" s="195">
        <f t="shared" si="30"/>
        <v>0</v>
      </c>
      <c r="P40" s="195">
        <f t="shared" si="20"/>
        <v>0</v>
      </c>
      <c r="Q40" s="195">
        <f t="shared" si="21"/>
        <v>0</v>
      </c>
      <c r="R40" s="195">
        <f t="shared" si="22"/>
        <v>0</v>
      </c>
      <c r="S40" s="195">
        <f t="shared" si="23"/>
        <v>310.45</v>
      </c>
      <c r="T40" s="195">
        <f t="shared" si="24"/>
        <v>0</v>
      </c>
      <c r="V40" s="195">
        <f t="shared" si="14"/>
        <v>124.18</v>
      </c>
      <c r="W40" s="195" t="str">
        <f t="shared" si="25"/>
        <v>Mcclung</v>
      </c>
      <c r="X40" s="195">
        <f t="shared" si="12"/>
        <v>310.45</v>
      </c>
    </row>
    <row r="41" spans="2:24" ht="15" customHeight="1">
      <c r="B41" s="221" t="s">
        <v>460</v>
      </c>
      <c r="C41" s="122" t="s">
        <v>489</v>
      </c>
      <c r="D41" s="223">
        <v>2</v>
      </c>
      <c r="E41" s="366"/>
      <c r="F41" s="366"/>
      <c r="G41" s="366"/>
      <c r="H41" s="366">
        <v>178.45</v>
      </c>
      <c r="I41" s="366"/>
      <c r="J41" s="212">
        <v>0.2</v>
      </c>
      <c r="K41" s="195">
        <f t="shared" si="26"/>
        <v>0</v>
      </c>
      <c r="L41" s="195">
        <f t="shared" si="27"/>
        <v>0</v>
      </c>
      <c r="M41" s="195">
        <f t="shared" si="28"/>
        <v>0</v>
      </c>
      <c r="N41" s="195">
        <f t="shared" si="29"/>
        <v>356.9</v>
      </c>
      <c r="O41" s="195">
        <f t="shared" si="30"/>
        <v>0</v>
      </c>
      <c r="P41" s="195">
        <f t="shared" si="20"/>
        <v>0</v>
      </c>
      <c r="Q41" s="195">
        <f t="shared" si="21"/>
        <v>0</v>
      </c>
      <c r="R41" s="195">
        <f t="shared" si="22"/>
        <v>0</v>
      </c>
      <c r="S41" s="195">
        <f t="shared" si="23"/>
        <v>446.12499999999994</v>
      </c>
      <c r="T41" s="195">
        <f t="shared" si="24"/>
        <v>0</v>
      </c>
      <c r="V41" s="195">
        <f t="shared" si="14"/>
        <v>178.45</v>
      </c>
      <c r="W41" s="195" t="str">
        <f t="shared" si="25"/>
        <v>Mcclung</v>
      </c>
      <c r="X41" s="195">
        <f t="shared" si="12"/>
        <v>446.12499999999994</v>
      </c>
    </row>
    <row r="42" spans="2:24" ht="15" customHeight="1">
      <c r="B42" s="221" t="s">
        <v>461</v>
      </c>
      <c r="C42" s="122" t="s">
        <v>490</v>
      </c>
      <c r="D42" s="223">
        <v>1</v>
      </c>
      <c r="E42" s="366"/>
      <c r="F42" s="366"/>
      <c r="G42" s="366"/>
      <c r="H42" s="366">
        <v>379.92</v>
      </c>
      <c r="I42" s="366"/>
      <c r="J42" s="212">
        <v>0.2</v>
      </c>
      <c r="K42" s="195">
        <f t="shared" si="26"/>
        <v>0</v>
      </c>
      <c r="L42" s="195">
        <f t="shared" si="27"/>
        <v>0</v>
      </c>
      <c r="M42" s="195">
        <f t="shared" si="28"/>
        <v>0</v>
      </c>
      <c r="N42" s="195">
        <f t="shared" si="29"/>
        <v>379.92</v>
      </c>
      <c r="O42" s="195">
        <f t="shared" si="30"/>
        <v>0</v>
      </c>
      <c r="P42" s="195">
        <f t="shared" si="20"/>
        <v>0</v>
      </c>
      <c r="Q42" s="195">
        <f t="shared" si="21"/>
        <v>0</v>
      </c>
      <c r="R42" s="195">
        <f t="shared" si="22"/>
        <v>0</v>
      </c>
      <c r="S42" s="195">
        <f t="shared" si="23"/>
        <v>474.9</v>
      </c>
      <c r="T42" s="195">
        <f t="shared" si="24"/>
        <v>0</v>
      </c>
      <c r="V42" s="195">
        <f t="shared" si="14"/>
        <v>379.92</v>
      </c>
      <c r="W42" s="195" t="str">
        <f t="shared" si="25"/>
        <v>Mcclung</v>
      </c>
      <c r="X42" s="195">
        <f t="shared" si="12"/>
        <v>474.9</v>
      </c>
    </row>
    <row r="43" spans="2:24" ht="15" customHeight="1">
      <c r="B43" s="123" t="s">
        <v>462</v>
      </c>
      <c r="C43" s="122" t="s">
        <v>491</v>
      </c>
      <c r="D43" s="223">
        <v>1</v>
      </c>
      <c r="E43" s="366"/>
      <c r="F43" s="366"/>
      <c r="G43" s="366"/>
      <c r="H43" s="366">
        <v>379.92</v>
      </c>
      <c r="I43" s="366"/>
      <c r="J43" s="212">
        <v>0.2</v>
      </c>
      <c r="K43" s="195">
        <f t="shared" si="26"/>
        <v>0</v>
      </c>
      <c r="L43" s="195">
        <f t="shared" si="27"/>
        <v>0</v>
      </c>
      <c r="M43" s="195">
        <f t="shared" si="28"/>
        <v>0</v>
      </c>
      <c r="N43" s="195">
        <f t="shared" si="29"/>
        <v>379.92</v>
      </c>
      <c r="O43" s="195">
        <f t="shared" si="30"/>
        <v>0</v>
      </c>
      <c r="P43" s="195">
        <f t="shared" si="20"/>
        <v>0</v>
      </c>
      <c r="Q43" s="195">
        <f t="shared" si="21"/>
        <v>0</v>
      </c>
      <c r="R43" s="195">
        <f t="shared" si="22"/>
        <v>0</v>
      </c>
      <c r="S43" s="195">
        <f t="shared" si="23"/>
        <v>474.9</v>
      </c>
      <c r="T43" s="195">
        <f t="shared" si="24"/>
        <v>0</v>
      </c>
      <c r="V43" s="195">
        <f t="shared" si="14"/>
        <v>379.92</v>
      </c>
      <c r="W43" s="195" t="str">
        <f t="shared" si="25"/>
        <v>Mcclung</v>
      </c>
      <c r="X43" s="195">
        <f t="shared" si="12"/>
        <v>474.9</v>
      </c>
    </row>
    <row r="44" spans="2:24" ht="15" customHeight="1">
      <c r="B44" s="123" t="s">
        <v>463</v>
      </c>
      <c r="C44" s="122" t="s">
        <v>492</v>
      </c>
      <c r="D44" s="223">
        <v>3</v>
      </c>
      <c r="E44" s="366"/>
      <c r="F44" s="366"/>
      <c r="G44" s="366"/>
      <c r="H44" s="366">
        <v>18.75</v>
      </c>
      <c r="I44" s="366"/>
      <c r="J44" s="212">
        <v>0.3</v>
      </c>
      <c r="K44" s="195">
        <f t="shared" si="26"/>
        <v>0</v>
      </c>
      <c r="L44" s="195">
        <f t="shared" si="27"/>
        <v>0</v>
      </c>
      <c r="M44" s="195">
        <f t="shared" si="28"/>
        <v>0</v>
      </c>
      <c r="N44" s="195">
        <f t="shared" si="29"/>
        <v>56.25</v>
      </c>
      <c r="O44" s="195">
        <f t="shared" si="30"/>
        <v>0</v>
      </c>
      <c r="P44" s="195">
        <f t="shared" si="20"/>
        <v>0</v>
      </c>
      <c r="Q44" s="195">
        <f t="shared" si="21"/>
        <v>0</v>
      </c>
      <c r="R44" s="195">
        <f t="shared" si="22"/>
        <v>0</v>
      </c>
      <c r="S44" s="195">
        <f t="shared" si="23"/>
        <v>80.357142857142861</v>
      </c>
      <c r="T44" s="195">
        <f t="shared" si="24"/>
        <v>0</v>
      </c>
      <c r="V44" s="195">
        <f t="shared" si="14"/>
        <v>18.75</v>
      </c>
      <c r="W44" s="195" t="str">
        <f t="shared" si="25"/>
        <v>Mcclung</v>
      </c>
      <c r="X44" s="195">
        <f t="shared" si="12"/>
        <v>80.357142857142861</v>
      </c>
    </row>
    <row r="45" spans="2:24" ht="15" customHeight="1">
      <c r="B45" s="123" t="s">
        <v>464</v>
      </c>
      <c r="C45" s="122" t="s">
        <v>493</v>
      </c>
      <c r="D45" s="223">
        <v>3</v>
      </c>
      <c r="E45" s="366"/>
      <c r="F45" s="366"/>
      <c r="G45" s="366"/>
      <c r="H45" s="366">
        <v>248.14</v>
      </c>
      <c r="I45" s="366"/>
      <c r="J45" s="212">
        <v>0.2</v>
      </c>
      <c r="K45" s="195">
        <f t="shared" si="26"/>
        <v>0</v>
      </c>
      <c r="L45" s="195">
        <f t="shared" si="27"/>
        <v>0</v>
      </c>
      <c r="M45" s="195">
        <f t="shared" si="28"/>
        <v>0</v>
      </c>
      <c r="N45" s="195">
        <f t="shared" si="29"/>
        <v>744.42</v>
      </c>
      <c r="O45" s="195">
        <f t="shared" si="30"/>
        <v>0</v>
      </c>
      <c r="P45" s="195">
        <f t="shared" si="20"/>
        <v>0</v>
      </c>
      <c r="Q45" s="195">
        <f t="shared" si="21"/>
        <v>0</v>
      </c>
      <c r="R45" s="195">
        <f t="shared" si="22"/>
        <v>0</v>
      </c>
      <c r="S45" s="195">
        <f t="shared" si="23"/>
        <v>930.52499999999986</v>
      </c>
      <c r="T45" s="195">
        <f t="shared" si="24"/>
        <v>0</v>
      </c>
      <c r="V45" s="195">
        <f t="shared" si="14"/>
        <v>248.14</v>
      </c>
      <c r="W45" s="195" t="str">
        <f t="shared" si="25"/>
        <v>Mcclung</v>
      </c>
      <c r="X45" s="195">
        <f t="shared" si="12"/>
        <v>930.52499999999986</v>
      </c>
    </row>
    <row r="46" spans="2:24" ht="15" customHeight="1">
      <c r="B46" s="123" t="s">
        <v>465</v>
      </c>
      <c r="C46" s="122" t="s">
        <v>494</v>
      </c>
      <c r="D46" s="223">
        <v>3</v>
      </c>
      <c r="E46" s="366"/>
      <c r="F46" s="366"/>
      <c r="G46" s="366">
        <v>179.99</v>
      </c>
      <c r="H46" s="366"/>
      <c r="I46" s="366"/>
      <c r="J46" s="212">
        <v>0.2</v>
      </c>
      <c r="K46" s="195">
        <f t="shared" si="26"/>
        <v>0</v>
      </c>
      <c r="L46" s="195">
        <f t="shared" si="27"/>
        <v>0</v>
      </c>
      <c r="M46" s="195">
        <f t="shared" si="28"/>
        <v>539.97</v>
      </c>
      <c r="N46" s="195">
        <f t="shared" si="29"/>
        <v>0</v>
      </c>
      <c r="O46" s="195">
        <f t="shared" si="30"/>
        <v>0</v>
      </c>
      <c r="P46" s="195">
        <f t="shared" si="20"/>
        <v>0</v>
      </c>
      <c r="Q46" s="195">
        <f t="shared" si="21"/>
        <v>0</v>
      </c>
      <c r="R46" s="195">
        <f t="shared" si="22"/>
        <v>674.96249999999998</v>
      </c>
      <c r="S46" s="195">
        <f t="shared" si="23"/>
        <v>0</v>
      </c>
      <c r="T46" s="195">
        <f t="shared" si="24"/>
        <v>0</v>
      </c>
      <c r="V46" s="195">
        <f t="shared" si="14"/>
        <v>179.99</v>
      </c>
      <c r="W46" s="195" t="str">
        <f t="shared" si="25"/>
        <v>MATA</v>
      </c>
      <c r="X46" s="195">
        <f t="shared" si="12"/>
        <v>674.96249999999998</v>
      </c>
    </row>
    <row r="47" spans="2:24" ht="15" customHeight="1">
      <c r="B47" s="123" t="s">
        <v>466</v>
      </c>
      <c r="C47" s="122" t="s">
        <v>494</v>
      </c>
      <c r="D47" s="223">
        <v>1</v>
      </c>
      <c r="E47" s="366"/>
      <c r="F47" s="366"/>
      <c r="G47" s="366">
        <v>240.45</v>
      </c>
      <c r="H47" s="366"/>
      <c r="I47" s="366"/>
      <c r="J47" s="212">
        <v>0.2</v>
      </c>
      <c r="K47" s="195">
        <f t="shared" si="26"/>
        <v>0</v>
      </c>
      <c r="L47" s="195">
        <f t="shared" si="27"/>
        <v>0</v>
      </c>
      <c r="M47" s="195">
        <f t="shared" si="28"/>
        <v>240.45</v>
      </c>
      <c r="N47" s="195">
        <f t="shared" si="29"/>
        <v>0</v>
      </c>
      <c r="O47" s="195">
        <f t="shared" si="30"/>
        <v>0</v>
      </c>
      <c r="P47" s="195">
        <f t="shared" si="20"/>
        <v>0</v>
      </c>
      <c r="Q47" s="195">
        <f t="shared" si="21"/>
        <v>0</v>
      </c>
      <c r="R47" s="195">
        <f t="shared" si="22"/>
        <v>300.56249999999994</v>
      </c>
      <c r="S47" s="195">
        <f t="shared" si="23"/>
        <v>0</v>
      </c>
      <c r="T47" s="195">
        <f t="shared" si="24"/>
        <v>0</v>
      </c>
      <c r="V47" s="195">
        <f t="shared" si="14"/>
        <v>240.45</v>
      </c>
      <c r="W47" s="195" t="str">
        <f t="shared" si="25"/>
        <v>MATA</v>
      </c>
      <c r="X47" s="195">
        <f t="shared" si="12"/>
        <v>300.56249999999994</v>
      </c>
    </row>
    <row r="48" spans="2:24" ht="15" customHeight="1">
      <c r="B48" s="123" t="s">
        <v>467</v>
      </c>
      <c r="C48" s="122" t="s">
        <v>495</v>
      </c>
      <c r="D48" s="223">
        <v>4</v>
      </c>
      <c r="E48" s="366"/>
      <c r="F48" s="366"/>
      <c r="G48" s="366">
        <v>98.61</v>
      </c>
      <c r="H48" s="366"/>
      <c r="I48" s="366"/>
      <c r="J48" s="212">
        <v>0.25</v>
      </c>
      <c r="K48" s="195">
        <f t="shared" si="26"/>
        <v>0</v>
      </c>
      <c r="L48" s="195">
        <f t="shared" si="27"/>
        <v>0</v>
      </c>
      <c r="M48" s="195">
        <f t="shared" si="28"/>
        <v>394.44</v>
      </c>
      <c r="N48" s="195">
        <f t="shared" si="29"/>
        <v>0</v>
      </c>
      <c r="O48" s="195">
        <f t="shared" si="30"/>
        <v>0</v>
      </c>
      <c r="P48" s="195">
        <f t="shared" si="20"/>
        <v>0</v>
      </c>
      <c r="Q48" s="195">
        <f t="shared" si="21"/>
        <v>0</v>
      </c>
      <c r="R48" s="195">
        <f t="shared" si="22"/>
        <v>525.91999999999996</v>
      </c>
      <c r="S48" s="195">
        <f t="shared" si="23"/>
        <v>0</v>
      </c>
      <c r="T48" s="195">
        <f t="shared" si="24"/>
        <v>0</v>
      </c>
      <c r="V48" s="195">
        <f t="shared" si="14"/>
        <v>98.61</v>
      </c>
      <c r="W48" s="195" t="str">
        <f t="shared" si="25"/>
        <v>MATA</v>
      </c>
      <c r="X48" s="195">
        <f t="shared" si="12"/>
        <v>525.91999999999996</v>
      </c>
    </row>
    <row r="49" spans="2:24" ht="15" customHeight="1">
      <c r="B49" s="123"/>
      <c r="C49" s="122"/>
      <c r="D49" s="114"/>
      <c r="E49" s="366"/>
      <c r="F49" s="366"/>
      <c r="G49" s="366"/>
      <c r="H49" s="366"/>
      <c r="I49" s="366"/>
      <c r="J49" s="212"/>
      <c r="K49" s="195">
        <f t="shared" si="26"/>
        <v>0</v>
      </c>
      <c r="L49" s="195">
        <f t="shared" si="27"/>
        <v>0</v>
      </c>
      <c r="M49" s="195">
        <f t="shared" si="28"/>
        <v>0</v>
      </c>
      <c r="N49" s="195">
        <f t="shared" si="29"/>
        <v>0</v>
      </c>
      <c r="O49" s="195">
        <f t="shared" si="30"/>
        <v>0</v>
      </c>
      <c r="P49" s="195">
        <f t="shared" si="20"/>
        <v>0</v>
      </c>
      <c r="Q49" s="195">
        <f t="shared" si="21"/>
        <v>0</v>
      </c>
      <c r="R49" s="195">
        <f t="shared" si="22"/>
        <v>0</v>
      </c>
      <c r="S49" s="195">
        <f t="shared" si="23"/>
        <v>0</v>
      </c>
      <c r="T49" s="195">
        <f t="shared" si="24"/>
        <v>0</v>
      </c>
      <c r="V49" s="195">
        <f t="shared" si="14"/>
        <v>0</v>
      </c>
      <c r="W49" s="195" t="str">
        <f t="shared" si="25"/>
        <v/>
      </c>
      <c r="X49" s="195" t="str">
        <f t="shared" si="12"/>
        <v/>
      </c>
    </row>
    <row r="50" spans="2:24" ht="15" customHeight="1">
      <c r="B50" s="123"/>
      <c r="C50" s="122"/>
      <c r="D50" s="114"/>
      <c r="E50" s="366"/>
      <c r="F50" s="366"/>
      <c r="G50" s="366"/>
      <c r="H50" s="366"/>
      <c r="I50" s="366"/>
      <c r="J50" s="212"/>
      <c r="K50" s="195">
        <f t="shared" si="26"/>
        <v>0</v>
      </c>
      <c r="L50" s="195">
        <f t="shared" si="27"/>
        <v>0</v>
      </c>
      <c r="M50" s="195">
        <f t="shared" si="28"/>
        <v>0</v>
      </c>
      <c r="N50" s="195">
        <f t="shared" si="29"/>
        <v>0</v>
      </c>
      <c r="O50" s="195">
        <f t="shared" si="30"/>
        <v>0</v>
      </c>
      <c r="P50" s="195">
        <f t="shared" si="20"/>
        <v>0</v>
      </c>
      <c r="Q50" s="195">
        <f t="shared" si="21"/>
        <v>0</v>
      </c>
      <c r="R50" s="195">
        <f t="shared" si="22"/>
        <v>0</v>
      </c>
      <c r="S50" s="195">
        <f t="shared" si="23"/>
        <v>0</v>
      </c>
      <c r="T50" s="195">
        <f t="shared" si="24"/>
        <v>0</v>
      </c>
      <c r="V50" s="195">
        <f t="shared" si="14"/>
        <v>0</v>
      </c>
      <c r="W50" s="195" t="str">
        <f t="shared" si="25"/>
        <v/>
      </c>
      <c r="X50" s="195" t="str">
        <f t="shared" si="12"/>
        <v/>
      </c>
    </row>
    <row r="51" spans="2:24">
      <c r="B51" s="123"/>
      <c r="C51" s="122"/>
      <c r="D51" s="114"/>
      <c r="E51" s="366"/>
      <c r="F51" s="366"/>
      <c r="G51" s="366"/>
      <c r="H51" s="366"/>
      <c r="I51" s="366"/>
      <c r="J51" s="212"/>
      <c r="K51" s="195">
        <f t="shared" si="26"/>
        <v>0</v>
      </c>
      <c r="L51" s="195">
        <f t="shared" si="27"/>
        <v>0</v>
      </c>
      <c r="M51" s="195">
        <f t="shared" si="28"/>
        <v>0</v>
      </c>
      <c r="N51" s="195">
        <f t="shared" si="29"/>
        <v>0</v>
      </c>
      <c r="O51" s="195">
        <f t="shared" si="30"/>
        <v>0</v>
      </c>
      <c r="P51" s="195">
        <f t="shared" si="20"/>
        <v>0</v>
      </c>
      <c r="Q51" s="195">
        <f t="shared" si="21"/>
        <v>0</v>
      </c>
      <c r="R51" s="195">
        <f t="shared" si="22"/>
        <v>0</v>
      </c>
      <c r="S51" s="195">
        <f t="shared" si="23"/>
        <v>0</v>
      </c>
      <c r="T51" s="195">
        <f t="shared" si="24"/>
        <v>0</v>
      </c>
      <c r="V51" s="195">
        <f t="shared" si="14"/>
        <v>0</v>
      </c>
      <c r="W51" s="195" t="str">
        <f t="shared" si="25"/>
        <v/>
      </c>
      <c r="X51" s="195" t="str">
        <f t="shared" si="12"/>
        <v/>
      </c>
    </row>
    <row r="52" spans="2:24">
      <c r="B52" s="123"/>
      <c r="C52" s="122"/>
      <c r="D52" s="114"/>
      <c r="E52" s="366"/>
      <c r="F52" s="366"/>
      <c r="G52" s="366"/>
      <c r="H52" s="366"/>
      <c r="I52" s="366"/>
      <c r="J52" s="212"/>
      <c r="K52" s="195">
        <f t="shared" si="26"/>
        <v>0</v>
      </c>
      <c r="L52" s="195">
        <f t="shared" si="27"/>
        <v>0</v>
      </c>
      <c r="M52" s="195">
        <f t="shared" si="28"/>
        <v>0</v>
      </c>
      <c r="N52" s="195">
        <f t="shared" si="29"/>
        <v>0</v>
      </c>
      <c r="O52" s="195">
        <f t="shared" si="30"/>
        <v>0</v>
      </c>
      <c r="P52" s="195">
        <f t="shared" si="20"/>
        <v>0</v>
      </c>
      <c r="Q52" s="195">
        <f t="shared" si="21"/>
        <v>0</v>
      </c>
      <c r="R52" s="195">
        <f t="shared" si="22"/>
        <v>0</v>
      </c>
      <c r="S52" s="195">
        <f t="shared" si="23"/>
        <v>0</v>
      </c>
      <c r="T52" s="195">
        <f t="shared" si="24"/>
        <v>0</v>
      </c>
      <c r="V52" s="195">
        <f t="shared" si="14"/>
        <v>0</v>
      </c>
      <c r="W52" s="195" t="str">
        <f t="shared" si="25"/>
        <v/>
      </c>
      <c r="X52" s="195" t="str">
        <f t="shared" si="12"/>
        <v/>
      </c>
    </row>
    <row r="53" spans="2:24">
      <c r="B53" s="123"/>
      <c r="C53" s="122"/>
      <c r="D53" s="114"/>
      <c r="E53" s="366"/>
      <c r="F53" s="366"/>
      <c r="G53" s="366"/>
      <c r="H53" s="366"/>
      <c r="I53" s="366"/>
      <c r="J53" s="212"/>
      <c r="K53" s="195">
        <f t="shared" si="26"/>
        <v>0</v>
      </c>
      <c r="L53" s="195">
        <f t="shared" si="27"/>
        <v>0</v>
      </c>
      <c r="M53" s="195">
        <f t="shared" si="28"/>
        <v>0</v>
      </c>
      <c r="N53" s="195">
        <f t="shared" si="29"/>
        <v>0</v>
      </c>
      <c r="O53" s="195">
        <f t="shared" si="30"/>
        <v>0</v>
      </c>
      <c r="P53" s="195">
        <f t="shared" si="20"/>
        <v>0</v>
      </c>
      <c r="Q53" s="195">
        <f t="shared" si="21"/>
        <v>0</v>
      </c>
      <c r="R53" s="195">
        <f t="shared" si="22"/>
        <v>0</v>
      </c>
      <c r="S53" s="195">
        <f t="shared" si="23"/>
        <v>0</v>
      </c>
      <c r="T53" s="195">
        <f t="shared" si="24"/>
        <v>0</v>
      </c>
      <c r="V53" s="195">
        <f t="shared" si="14"/>
        <v>0</v>
      </c>
      <c r="W53" s="195" t="str">
        <f t="shared" si="25"/>
        <v/>
      </c>
      <c r="X53" s="195" t="str">
        <f t="shared" si="12"/>
        <v/>
      </c>
    </row>
    <row r="54" spans="2:24">
      <c r="B54" s="123"/>
      <c r="C54" s="122"/>
      <c r="D54" s="114"/>
      <c r="E54" s="366"/>
      <c r="F54" s="366"/>
      <c r="G54" s="366"/>
      <c r="H54" s="366"/>
      <c r="I54" s="366"/>
      <c r="J54" s="212"/>
      <c r="K54" s="195">
        <f t="shared" si="26"/>
        <v>0</v>
      </c>
      <c r="L54" s="195">
        <f t="shared" si="27"/>
        <v>0</v>
      </c>
      <c r="M54" s="195">
        <f t="shared" si="28"/>
        <v>0</v>
      </c>
      <c r="N54" s="195">
        <f t="shared" si="29"/>
        <v>0</v>
      </c>
      <c r="O54" s="195">
        <f t="shared" si="30"/>
        <v>0</v>
      </c>
      <c r="P54" s="195">
        <f t="shared" si="20"/>
        <v>0</v>
      </c>
      <c r="Q54" s="195">
        <f t="shared" si="21"/>
        <v>0</v>
      </c>
      <c r="R54" s="195">
        <f t="shared" si="22"/>
        <v>0</v>
      </c>
      <c r="S54" s="195">
        <f t="shared" si="23"/>
        <v>0</v>
      </c>
      <c r="T54" s="195">
        <f t="shared" si="24"/>
        <v>0</v>
      </c>
      <c r="V54" s="195">
        <f t="shared" si="14"/>
        <v>0</v>
      </c>
      <c r="W54" s="195" t="str">
        <f t="shared" si="25"/>
        <v/>
      </c>
      <c r="X54" s="195" t="str">
        <f t="shared" si="12"/>
        <v/>
      </c>
    </row>
    <row r="55" spans="2:24">
      <c r="B55" s="123"/>
      <c r="C55" s="122"/>
      <c r="D55" s="114"/>
      <c r="E55" s="366"/>
      <c r="F55" s="366"/>
      <c r="G55" s="366"/>
      <c r="H55" s="366"/>
      <c r="I55" s="366"/>
      <c r="J55" s="212"/>
      <c r="K55" s="195">
        <f t="shared" si="26"/>
        <v>0</v>
      </c>
      <c r="L55" s="195">
        <f t="shared" si="27"/>
        <v>0</v>
      </c>
      <c r="M55" s="195">
        <f t="shared" si="28"/>
        <v>0</v>
      </c>
      <c r="N55" s="195">
        <f t="shared" si="29"/>
        <v>0</v>
      </c>
      <c r="O55" s="195">
        <f t="shared" si="30"/>
        <v>0</v>
      </c>
      <c r="P55" s="195">
        <f t="shared" si="20"/>
        <v>0</v>
      </c>
      <c r="Q55" s="195">
        <f t="shared" si="21"/>
        <v>0</v>
      </c>
      <c r="R55" s="195">
        <f t="shared" si="22"/>
        <v>0</v>
      </c>
      <c r="S55" s="195">
        <f t="shared" si="23"/>
        <v>0</v>
      </c>
      <c r="T55" s="195">
        <f t="shared" si="24"/>
        <v>0</v>
      </c>
      <c r="V55" s="195">
        <f t="shared" si="14"/>
        <v>0</v>
      </c>
      <c r="W55" s="195" t="str">
        <f t="shared" si="25"/>
        <v/>
      </c>
      <c r="X55" s="195" t="str">
        <f t="shared" si="12"/>
        <v/>
      </c>
    </row>
    <row r="56" spans="2:24">
      <c r="B56" s="123"/>
      <c r="C56" s="122"/>
      <c r="D56" s="114"/>
      <c r="E56" s="366"/>
      <c r="F56" s="366"/>
      <c r="G56" s="366"/>
      <c r="H56" s="366"/>
      <c r="I56" s="366"/>
      <c r="J56" s="212"/>
      <c r="K56" s="195">
        <f t="shared" si="26"/>
        <v>0</v>
      </c>
      <c r="L56" s="195">
        <f t="shared" si="27"/>
        <v>0</v>
      </c>
      <c r="M56" s="195">
        <f t="shared" si="28"/>
        <v>0</v>
      </c>
      <c r="N56" s="195">
        <f t="shared" si="29"/>
        <v>0</v>
      </c>
      <c r="O56" s="195">
        <f t="shared" si="30"/>
        <v>0</v>
      </c>
      <c r="P56" s="195">
        <f t="shared" si="20"/>
        <v>0</v>
      </c>
      <c r="Q56" s="195">
        <f t="shared" si="21"/>
        <v>0</v>
      </c>
      <c r="R56" s="195">
        <f t="shared" si="22"/>
        <v>0</v>
      </c>
      <c r="S56" s="195">
        <f t="shared" si="23"/>
        <v>0</v>
      </c>
      <c r="T56" s="195">
        <f t="shared" si="24"/>
        <v>0</v>
      </c>
      <c r="V56" s="195">
        <f t="shared" si="14"/>
        <v>0</v>
      </c>
      <c r="W56" s="195" t="str">
        <f t="shared" si="25"/>
        <v/>
      </c>
      <c r="X56" s="195" t="str">
        <f t="shared" si="12"/>
        <v/>
      </c>
    </row>
    <row r="57" spans="2:24">
      <c r="B57" s="123"/>
      <c r="C57" s="122"/>
      <c r="D57" s="114"/>
      <c r="E57" s="366"/>
      <c r="F57" s="366"/>
      <c r="G57" s="366"/>
      <c r="H57" s="366"/>
      <c r="I57" s="366"/>
      <c r="J57" s="212"/>
      <c r="K57" s="195">
        <f t="shared" si="26"/>
        <v>0</v>
      </c>
      <c r="L57" s="195">
        <f t="shared" si="27"/>
        <v>0</v>
      </c>
      <c r="M57" s="195">
        <f t="shared" si="28"/>
        <v>0</v>
      </c>
      <c r="N57" s="195">
        <f t="shared" si="29"/>
        <v>0</v>
      </c>
      <c r="O57" s="195">
        <f t="shared" si="30"/>
        <v>0</v>
      </c>
      <c r="P57" s="195">
        <f t="shared" si="20"/>
        <v>0</v>
      </c>
      <c r="Q57" s="195">
        <f t="shared" si="21"/>
        <v>0</v>
      </c>
      <c r="R57" s="195">
        <f t="shared" si="22"/>
        <v>0</v>
      </c>
      <c r="S57" s="195">
        <f t="shared" si="23"/>
        <v>0</v>
      </c>
      <c r="T57" s="195">
        <f t="shared" si="24"/>
        <v>0</v>
      </c>
      <c r="V57" s="195">
        <f t="shared" si="14"/>
        <v>0</v>
      </c>
      <c r="W57" s="195" t="str">
        <f t="shared" si="25"/>
        <v/>
      </c>
      <c r="X57" s="195" t="str">
        <f t="shared" si="12"/>
        <v/>
      </c>
    </row>
    <row r="58" spans="2:24">
      <c r="B58" s="123"/>
      <c r="C58" s="122"/>
      <c r="D58" s="114"/>
      <c r="E58" s="366"/>
      <c r="F58" s="366"/>
      <c r="G58" s="366"/>
      <c r="H58" s="366"/>
      <c r="I58" s="366"/>
      <c r="J58" s="212"/>
      <c r="K58" s="195">
        <f t="shared" si="26"/>
        <v>0</v>
      </c>
      <c r="L58" s="195">
        <f t="shared" si="27"/>
        <v>0</v>
      </c>
      <c r="M58" s="195">
        <f t="shared" si="28"/>
        <v>0</v>
      </c>
      <c r="N58" s="195">
        <f t="shared" si="29"/>
        <v>0</v>
      </c>
      <c r="O58" s="195">
        <f t="shared" si="30"/>
        <v>0</v>
      </c>
      <c r="P58" s="195">
        <f t="shared" si="20"/>
        <v>0</v>
      </c>
      <c r="Q58" s="195">
        <f t="shared" si="21"/>
        <v>0</v>
      </c>
      <c r="R58" s="195">
        <f t="shared" si="22"/>
        <v>0</v>
      </c>
      <c r="S58" s="195">
        <f t="shared" si="23"/>
        <v>0</v>
      </c>
      <c r="T58" s="195">
        <f t="shared" si="24"/>
        <v>0</v>
      </c>
      <c r="V58" s="195">
        <f t="shared" si="14"/>
        <v>0</v>
      </c>
      <c r="W58" s="195" t="str">
        <f t="shared" si="25"/>
        <v/>
      </c>
      <c r="X58" s="195" t="str">
        <f t="shared" si="12"/>
        <v/>
      </c>
    </row>
    <row r="59" spans="2:24">
      <c r="B59" s="123"/>
      <c r="C59" s="122"/>
      <c r="D59" s="114"/>
      <c r="E59" s="366"/>
      <c r="F59" s="366"/>
      <c r="G59" s="366"/>
      <c r="H59" s="366"/>
      <c r="I59" s="366"/>
      <c r="J59" s="212"/>
      <c r="K59" s="195">
        <f t="shared" si="26"/>
        <v>0</v>
      </c>
      <c r="L59" s="195">
        <f t="shared" si="27"/>
        <v>0</v>
      </c>
      <c r="M59" s="195">
        <f t="shared" si="28"/>
        <v>0</v>
      </c>
      <c r="N59" s="195">
        <f t="shared" si="29"/>
        <v>0</v>
      </c>
      <c r="O59" s="195">
        <f t="shared" si="30"/>
        <v>0</v>
      </c>
      <c r="P59" s="195">
        <f t="shared" si="20"/>
        <v>0</v>
      </c>
      <c r="Q59" s="195">
        <f t="shared" si="21"/>
        <v>0</v>
      </c>
      <c r="R59" s="195">
        <f t="shared" si="22"/>
        <v>0</v>
      </c>
      <c r="S59" s="195">
        <f t="shared" si="23"/>
        <v>0</v>
      </c>
      <c r="T59" s="195">
        <f t="shared" si="24"/>
        <v>0</v>
      </c>
      <c r="V59" s="195">
        <f t="shared" si="14"/>
        <v>0</v>
      </c>
      <c r="W59" s="195" t="str">
        <f t="shared" si="25"/>
        <v/>
      </c>
      <c r="X59" s="195" t="str">
        <f t="shared" si="12"/>
        <v/>
      </c>
    </row>
    <row r="60" spans="2:24">
      <c r="B60" s="123"/>
      <c r="C60" s="122"/>
      <c r="D60" s="114"/>
      <c r="E60" s="366"/>
      <c r="F60" s="366"/>
      <c r="G60" s="366"/>
      <c r="H60" s="366"/>
      <c r="I60" s="366"/>
      <c r="J60" s="212"/>
      <c r="K60" s="195">
        <f t="shared" si="26"/>
        <v>0</v>
      </c>
      <c r="L60" s="195">
        <f t="shared" si="27"/>
        <v>0</v>
      </c>
      <c r="M60" s="195">
        <f t="shared" si="28"/>
        <v>0</v>
      </c>
      <c r="N60" s="195">
        <f t="shared" si="29"/>
        <v>0</v>
      </c>
      <c r="O60" s="195">
        <f t="shared" si="30"/>
        <v>0</v>
      </c>
      <c r="P60" s="195">
        <f t="shared" si="20"/>
        <v>0</v>
      </c>
      <c r="Q60" s="195">
        <f t="shared" si="21"/>
        <v>0</v>
      </c>
      <c r="R60" s="195">
        <f t="shared" si="22"/>
        <v>0</v>
      </c>
      <c r="S60" s="195">
        <f t="shared" si="23"/>
        <v>0</v>
      </c>
      <c r="T60" s="195">
        <f t="shared" si="24"/>
        <v>0</v>
      </c>
      <c r="V60" s="195">
        <f t="shared" si="14"/>
        <v>0</v>
      </c>
      <c r="W60" s="195" t="str">
        <f t="shared" si="25"/>
        <v/>
      </c>
      <c r="X60" s="195" t="str">
        <f t="shared" si="12"/>
        <v/>
      </c>
    </row>
    <row r="61" spans="2:24">
      <c r="B61" s="123"/>
      <c r="C61" s="122"/>
      <c r="D61" s="114"/>
      <c r="E61" s="366"/>
      <c r="F61" s="366"/>
      <c r="G61" s="366"/>
      <c r="H61" s="366"/>
      <c r="I61" s="366"/>
      <c r="J61" s="212"/>
      <c r="K61" s="195">
        <f t="shared" si="26"/>
        <v>0</v>
      </c>
      <c r="L61" s="195">
        <f t="shared" si="27"/>
        <v>0</v>
      </c>
      <c r="M61" s="195">
        <f t="shared" si="28"/>
        <v>0</v>
      </c>
      <c r="N61" s="195">
        <f t="shared" si="29"/>
        <v>0</v>
      </c>
      <c r="O61" s="195">
        <f t="shared" si="30"/>
        <v>0</v>
      </c>
      <c r="P61" s="195">
        <f t="shared" si="20"/>
        <v>0</v>
      </c>
      <c r="Q61" s="195">
        <f t="shared" si="21"/>
        <v>0</v>
      </c>
      <c r="R61" s="195">
        <f t="shared" si="22"/>
        <v>0</v>
      </c>
      <c r="S61" s="195">
        <f t="shared" si="23"/>
        <v>0</v>
      </c>
      <c r="T61" s="195">
        <f t="shared" si="24"/>
        <v>0</v>
      </c>
      <c r="V61" s="195">
        <f t="shared" si="14"/>
        <v>0</v>
      </c>
      <c r="W61" s="195" t="str">
        <f t="shared" si="25"/>
        <v/>
      </c>
      <c r="X61" s="195" t="str">
        <f t="shared" si="12"/>
        <v/>
      </c>
    </row>
    <row r="62" spans="2:24">
      <c r="B62" s="123"/>
      <c r="C62" s="122"/>
      <c r="D62" s="114"/>
      <c r="E62" s="366"/>
      <c r="F62" s="366"/>
      <c r="G62" s="366"/>
      <c r="H62" s="366"/>
      <c r="I62" s="366"/>
      <c r="J62" s="212"/>
      <c r="K62" s="195">
        <f t="shared" si="26"/>
        <v>0</v>
      </c>
      <c r="L62" s="195">
        <f t="shared" si="27"/>
        <v>0</v>
      </c>
      <c r="M62" s="195">
        <f t="shared" si="28"/>
        <v>0</v>
      </c>
      <c r="N62" s="195">
        <f t="shared" si="29"/>
        <v>0</v>
      </c>
      <c r="O62" s="195">
        <f t="shared" si="30"/>
        <v>0</v>
      </c>
      <c r="P62" s="195">
        <f t="shared" si="20"/>
        <v>0</v>
      </c>
      <c r="Q62" s="195">
        <f t="shared" si="21"/>
        <v>0</v>
      </c>
      <c r="R62" s="195">
        <f t="shared" si="22"/>
        <v>0</v>
      </c>
      <c r="S62" s="195">
        <f t="shared" si="23"/>
        <v>0</v>
      </c>
      <c r="T62" s="195">
        <f t="shared" si="24"/>
        <v>0</v>
      </c>
      <c r="V62" s="195">
        <f t="shared" si="14"/>
        <v>0</v>
      </c>
      <c r="W62" s="195" t="str">
        <f t="shared" si="25"/>
        <v/>
      </c>
      <c r="X62" s="195" t="str">
        <f t="shared" si="12"/>
        <v/>
      </c>
    </row>
    <row r="63" spans="2:24">
      <c r="B63" s="123"/>
      <c r="C63" s="122"/>
      <c r="D63" s="114"/>
      <c r="E63" s="366"/>
      <c r="F63" s="366"/>
      <c r="G63" s="366"/>
      <c r="H63" s="366"/>
      <c r="I63" s="366"/>
      <c r="J63" s="212"/>
      <c r="K63" s="195">
        <f t="shared" si="26"/>
        <v>0</v>
      </c>
      <c r="L63" s="195">
        <f t="shared" si="27"/>
        <v>0</v>
      </c>
      <c r="M63" s="195">
        <f t="shared" si="28"/>
        <v>0</v>
      </c>
      <c r="N63" s="195">
        <f t="shared" si="29"/>
        <v>0</v>
      </c>
      <c r="O63" s="195">
        <f t="shared" si="30"/>
        <v>0</v>
      </c>
      <c r="P63" s="195">
        <f t="shared" si="20"/>
        <v>0</v>
      </c>
      <c r="Q63" s="195">
        <f t="shared" si="21"/>
        <v>0</v>
      </c>
      <c r="R63" s="195">
        <f t="shared" si="22"/>
        <v>0</v>
      </c>
      <c r="S63" s="195">
        <f t="shared" si="23"/>
        <v>0</v>
      </c>
      <c r="T63" s="195">
        <f t="shared" si="24"/>
        <v>0</v>
      </c>
      <c r="V63" s="195">
        <f t="shared" si="14"/>
        <v>0</v>
      </c>
      <c r="W63" s="195" t="str">
        <f t="shared" si="25"/>
        <v/>
      </c>
      <c r="X63" s="195" t="str">
        <f t="shared" si="12"/>
        <v/>
      </c>
    </row>
    <row r="64" spans="2:24">
      <c r="B64" s="123"/>
      <c r="C64" s="122"/>
      <c r="D64" s="114"/>
      <c r="E64" s="366"/>
      <c r="F64" s="366"/>
      <c r="G64" s="366"/>
      <c r="H64" s="366"/>
      <c r="I64" s="366"/>
      <c r="J64" s="212"/>
      <c r="K64" s="195">
        <f t="shared" si="26"/>
        <v>0</v>
      </c>
      <c r="L64" s="195">
        <f t="shared" si="27"/>
        <v>0</v>
      </c>
      <c r="M64" s="195">
        <f t="shared" si="28"/>
        <v>0</v>
      </c>
      <c r="N64" s="195">
        <f t="shared" si="29"/>
        <v>0</v>
      </c>
      <c r="O64" s="195">
        <f t="shared" si="30"/>
        <v>0</v>
      </c>
      <c r="P64" s="195">
        <f t="shared" si="20"/>
        <v>0</v>
      </c>
      <c r="Q64" s="195">
        <f t="shared" si="21"/>
        <v>0</v>
      </c>
      <c r="R64" s="195">
        <f t="shared" si="22"/>
        <v>0</v>
      </c>
      <c r="S64" s="195">
        <f t="shared" si="23"/>
        <v>0</v>
      </c>
      <c r="T64" s="195">
        <f t="shared" si="24"/>
        <v>0</v>
      </c>
      <c r="V64" s="195">
        <f t="shared" si="14"/>
        <v>0</v>
      </c>
      <c r="W64" s="195" t="str">
        <f t="shared" si="25"/>
        <v/>
      </c>
      <c r="X64" s="195" t="str">
        <f t="shared" si="12"/>
        <v/>
      </c>
    </row>
    <row r="65" spans="2:24">
      <c r="B65" s="123"/>
      <c r="C65" s="122"/>
      <c r="D65" s="114"/>
      <c r="E65" s="366"/>
      <c r="F65" s="366"/>
      <c r="G65" s="366"/>
      <c r="H65" s="366"/>
      <c r="I65" s="366"/>
      <c r="J65" s="212"/>
      <c r="K65" s="195">
        <f t="shared" si="26"/>
        <v>0</v>
      </c>
      <c r="L65" s="195">
        <f t="shared" si="27"/>
        <v>0</v>
      </c>
      <c r="M65" s="195">
        <f t="shared" si="28"/>
        <v>0</v>
      </c>
      <c r="N65" s="195">
        <f t="shared" si="29"/>
        <v>0</v>
      </c>
      <c r="O65" s="195">
        <f t="shared" si="30"/>
        <v>0</v>
      </c>
      <c r="P65" s="195">
        <f t="shared" si="20"/>
        <v>0</v>
      </c>
      <c r="Q65" s="195">
        <f t="shared" si="21"/>
        <v>0</v>
      </c>
      <c r="R65" s="195">
        <f t="shared" si="22"/>
        <v>0</v>
      </c>
      <c r="S65" s="195">
        <f t="shared" si="23"/>
        <v>0</v>
      </c>
      <c r="T65" s="195">
        <f t="shared" si="24"/>
        <v>0</v>
      </c>
      <c r="V65" s="195">
        <f t="shared" si="14"/>
        <v>0</v>
      </c>
      <c r="W65" s="195" t="str">
        <f t="shared" si="25"/>
        <v/>
      </c>
      <c r="X65" s="195" t="str">
        <f t="shared" si="12"/>
        <v/>
      </c>
    </row>
    <row r="66" spans="2:24">
      <c r="B66" s="123"/>
      <c r="C66" s="122"/>
      <c r="D66" s="114"/>
      <c r="E66" s="366"/>
      <c r="F66" s="366"/>
      <c r="G66" s="366"/>
      <c r="H66" s="366"/>
      <c r="I66" s="366"/>
      <c r="J66" s="212"/>
      <c r="K66" s="195">
        <f t="shared" si="26"/>
        <v>0</v>
      </c>
      <c r="L66" s="195">
        <f t="shared" si="27"/>
        <v>0</v>
      </c>
      <c r="M66" s="195">
        <f t="shared" si="28"/>
        <v>0</v>
      </c>
      <c r="N66" s="195">
        <f t="shared" si="29"/>
        <v>0</v>
      </c>
      <c r="O66" s="195">
        <f t="shared" si="30"/>
        <v>0</v>
      </c>
      <c r="P66" s="195">
        <f t="shared" si="20"/>
        <v>0</v>
      </c>
      <c r="Q66" s="195">
        <f t="shared" si="21"/>
        <v>0</v>
      </c>
      <c r="R66" s="195">
        <f t="shared" si="22"/>
        <v>0</v>
      </c>
      <c r="S66" s="195">
        <f t="shared" si="23"/>
        <v>0</v>
      </c>
      <c r="T66" s="195">
        <f t="shared" si="24"/>
        <v>0</v>
      </c>
      <c r="V66" s="195">
        <f t="shared" si="14"/>
        <v>0</v>
      </c>
      <c r="W66" s="195" t="str">
        <f t="shared" si="25"/>
        <v/>
      </c>
      <c r="X66" s="195" t="str">
        <f t="shared" si="12"/>
        <v/>
      </c>
    </row>
    <row r="67" spans="2:24">
      <c r="B67" s="123"/>
      <c r="C67" s="122"/>
      <c r="D67" s="114"/>
      <c r="E67" s="366"/>
      <c r="F67" s="366"/>
      <c r="G67" s="366"/>
      <c r="H67" s="366"/>
      <c r="I67" s="366"/>
      <c r="J67" s="212"/>
      <c r="K67" s="195">
        <f t="shared" si="26"/>
        <v>0</v>
      </c>
      <c r="L67" s="195">
        <f t="shared" si="27"/>
        <v>0</v>
      </c>
      <c r="M67" s="195">
        <f t="shared" si="28"/>
        <v>0</v>
      </c>
      <c r="N67" s="195">
        <f t="shared" si="29"/>
        <v>0</v>
      </c>
      <c r="O67" s="195">
        <f t="shared" si="30"/>
        <v>0</v>
      </c>
      <c r="P67" s="195">
        <f t="shared" si="20"/>
        <v>0</v>
      </c>
      <c r="Q67" s="195">
        <f t="shared" si="21"/>
        <v>0</v>
      </c>
      <c r="R67" s="195">
        <f t="shared" si="22"/>
        <v>0</v>
      </c>
      <c r="S67" s="195">
        <f t="shared" si="23"/>
        <v>0</v>
      </c>
      <c r="T67" s="195">
        <f t="shared" si="24"/>
        <v>0</v>
      </c>
      <c r="V67" s="195">
        <f t="shared" si="14"/>
        <v>0</v>
      </c>
      <c r="W67" s="195" t="str">
        <f t="shared" si="25"/>
        <v/>
      </c>
      <c r="X67" s="195" t="str">
        <f t="shared" si="12"/>
        <v/>
      </c>
    </row>
    <row r="68" spans="2:24">
      <c r="B68" s="123"/>
      <c r="C68" s="122"/>
      <c r="D68" s="114"/>
      <c r="E68" s="366"/>
      <c r="F68" s="366"/>
      <c r="G68" s="366"/>
      <c r="H68" s="366"/>
      <c r="I68" s="366"/>
      <c r="J68" s="212"/>
      <c r="K68" s="195">
        <f t="shared" si="26"/>
        <v>0</v>
      </c>
      <c r="L68" s="195">
        <f t="shared" si="27"/>
        <v>0</v>
      </c>
      <c r="M68" s="195">
        <f t="shared" si="28"/>
        <v>0</v>
      </c>
      <c r="N68" s="195">
        <f t="shared" si="29"/>
        <v>0</v>
      </c>
      <c r="O68" s="195">
        <f t="shared" si="30"/>
        <v>0</v>
      </c>
      <c r="P68" s="195">
        <f t="shared" si="20"/>
        <v>0</v>
      </c>
      <c r="Q68" s="195">
        <f t="shared" si="21"/>
        <v>0</v>
      </c>
      <c r="R68" s="195">
        <f t="shared" si="22"/>
        <v>0</v>
      </c>
      <c r="S68" s="195">
        <f t="shared" si="23"/>
        <v>0</v>
      </c>
      <c r="T68" s="195">
        <f t="shared" si="24"/>
        <v>0</v>
      </c>
      <c r="V68" s="195">
        <f t="shared" si="14"/>
        <v>0</v>
      </c>
      <c r="W68" s="195" t="str">
        <f t="shared" si="25"/>
        <v/>
      </c>
      <c r="X68" s="195" t="str">
        <f t="shared" si="12"/>
        <v/>
      </c>
    </row>
    <row r="69" spans="2:24">
      <c r="B69" s="123"/>
      <c r="C69" s="122"/>
      <c r="D69" s="114"/>
      <c r="E69" s="366"/>
      <c r="F69" s="366"/>
      <c r="G69" s="366"/>
      <c r="H69" s="366"/>
      <c r="I69" s="366"/>
      <c r="J69" s="212"/>
      <c r="K69" s="195">
        <f t="shared" si="26"/>
        <v>0</v>
      </c>
      <c r="L69" s="195">
        <f t="shared" si="27"/>
        <v>0</v>
      </c>
      <c r="M69" s="195">
        <f t="shared" si="28"/>
        <v>0</v>
      </c>
      <c r="N69" s="195">
        <f t="shared" si="29"/>
        <v>0</v>
      </c>
      <c r="O69" s="195">
        <f t="shared" si="30"/>
        <v>0</v>
      </c>
      <c r="P69" s="195">
        <f t="shared" si="20"/>
        <v>0</v>
      </c>
      <c r="Q69" s="195">
        <f t="shared" si="21"/>
        <v>0</v>
      </c>
      <c r="R69" s="195">
        <f t="shared" si="22"/>
        <v>0</v>
      </c>
      <c r="S69" s="195">
        <f t="shared" si="23"/>
        <v>0</v>
      </c>
      <c r="T69" s="195">
        <f t="shared" si="24"/>
        <v>0</v>
      </c>
      <c r="V69" s="195">
        <f t="shared" si="14"/>
        <v>0</v>
      </c>
      <c r="W69" s="195" t="str">
        <f t="shared" si="25"/>
        <v/>
      </c>
      <c r="X69" s="195" t="str">
        <f t="shared" si="12"/>
        <v/>
      </c>
    </row>
    <row r="70" spans="2:24">
      <c r="B70" s="123"/>
      <c r="C70" s="122"/>
      <c r="D70" s="114"/>
      <c r="E70" s="366"/>
      <c r="F70" s="366"/>
      <c r="G70" s="366"/>
      <c r="H70" s="366"/>
      <c r="I70" s="366"/>
      <c r="J70" s="212"/>
      <c r="K70" s="195">
        <f t="shared" si="26"/>
        <v>0</v>
      </c>
      <c r="L70" s="195">
        <f t="shared" si="27"/>
        <v>0</v>
      </c>
      <c r="M70" s="195">
        <f t="shared" si="28"/>
        <v>0</v>
      </c>
      <c r="N70" s="195">
        <f t="shared" si="29"/>
        <v>0</v>
      </c>
      <c r="O70" s="195">
        <f t="shared" si="30"/>
        <v>0</v>
      </c>
      <c r="P70" s="195">
        <f t="shared" si="20"/>
        <v>0</v>
      </c>
      <c r="Q70" s="195">
        <f t="shared" si="21"/>
        <v>0</v>
      </c>
      <c r="R70" s="195">
        <f t="shared" si="22"/>
        <v>0</v>
      </c>
      <c r="S70" s="195">
        <f t="shared" si="23"/>
        <v>0</v>
      </c>
      <c r="T70" s="195">
        <f t="shared" si="24"/>
        <v>0</v>
      </c>
      <c r="V70" s="195">
        <f t="shared" si="14"/>
        <v>0</v>
      </c>
      <c r="W70" s="195" t="str">
        <f t="shared" si="25"/>
        <v/>
      </c>
      <c r="X70" s="195" t="str">
        <f t="shared" si="12"/>
        <v/>
      </c>
    </row>
    <row r="71" spans="2:24">
      <c r="B71" s="123"/>
      <c r="C71" s="122"/>
      <c r="D71" s="114"/>
      <c r="E71" s="366"/>
      <c r="F71" s="366"/>
      <c r="G71" s="366"/>
      <c r="H71" s="366"/>
      <c r="I71" s="366"/>
      <c r="J71" s="212"/>
      <c r="K71" s="195">
        <f t="shared" si="26"/>
        <v>0</v>
      </c>
      <c r="L71" s="195">
        <f t="shared" si="27"/>
        <v>0</v>
      </c>
      <c r="M71" s="195">
        <f t="shared" si="28"/>
        <v>0</v>
      </c>
      <c r="N71" s="195">
        <f t="shared" si="29"/>
        <v>0</v>
      </c>
      <c r="O71" s="195">
        <f t="shared" si="30"/>
        <v>0</v>
      </c>
      <c r="P71" s="195">
        <f t="shared" si="20"/>
        <v>0</v>
      </c>
      <c r="Q71" s="195">
        <f t="shared" si="21"/>
        <v>0</v>
      </c>
      <c r="R71" s="195">
        <f t="shared" si="22"/>
        <v>0</v>
      </c>
      <c r="S71" s="195">
        <f t="shared" si="23"/>
        <v>0</v>
      </c>
      <c r="T71" s="195">
        <f t="shared" si="24"/>
        <v>0</v>
      </c>
      <c r="V71" s="195">
        <f t="shared" si="14"/>
        <v>0</v>
      </c>
      <c r="W71" s="195" t="str">
        <f t="shared" si="25"/>
        <v/>
      </c>
      <c r="X71" s="195" t="str">
        <f t="shared" si="12"/>
        <v/>
      </c>
    </row>
    <row r="72" spans="2:24">
      <c r="B72" s="123"/>
      <c r="C72" s="122"/>
      <c r="D72" s="114"/>
      <c r="E72" s="366"/>
      <c r="F72" s="366"/>
      <c r="G72" s="366"/>
      <c r="H72" s="366"/>
      <c r="I72" s="366"/>
      <c r="J72" s="212"/>
      <c r="K72" s="195">
        <f t="shared" si="26"/>
        <v>0</v>
      </c>
      <c r="L72" s="195">
        <f t="shared" si="27"/>
        <v>0</v>
      </c>
      <c r="M72" s="195">
        <f t="shared" si="28"/>
        <v>0</v>
      </c>
      <c r="N72" s="195">
        <f t="shared" si="29"/>
        <v>0</v>
      </c>
      <c r="O72" s="195">
        <f t="shared" si="30"/>
        <v>0</v>
      </c>
      <c r="P72" s="195">
        <f t="shared" si="20"/>
        <v>0</v>
      </c>
      <c r="Q72" s="195">
        <f t="shared" si="21"/>
        <v>0</v>
      </c>
      <c r="R72" s="195">
        <f t="shared" si="22"/>
        <v>0</v>
      </c>
      <c r="S72" s="195">
        <f t="shared" si="23"/>
        <v>0</v>
      </c>
      <c r="T72" s="195">
        <f t="shared" si="24"/>
        <v>0</v>
      </c>
      <c r="V72" s="195">
        <f t="shared" si="14"/>
        <v>0</v>
      </c>
      <c r="W72" s="195" t="str">
        <f t="shared" si="25"/>
        <v/>
      </c>
      <c r="X72" s="195" t="str">
        <f t="shared" si="12"/>
        <v/>
      </c>
    </row>
    <row r="73" spans="2:24">
      <c r="B73" s="123"/>
      <c r="C73" s="122"/>
      <c r="D73" s="114"/>
      <c r="E73" s="366"/>
      <c r="F73" s="366"/>
      <c r="G73" s="366"/>
      <c r="H73" s="366"/>
      <c r="I73" s="366"/>
      <c r="J73" s="212"/>
      <c r="K73" s="195">
        <f t="shared" si="26"/>
        <v>0</v>
      </c>
      <c r="L73" s="195">
        <f t="shared" si="27"/>
        <v>0</v>
      </c>
      <c r="M73" s="195">
        <f t="shared" si="28"/>
        <v>0</v>
      </c>
      <c r="N73" s="195">
        <f t="shared" si="29"/>
        <v>0</v>
      </c>
      <c r="O73" s="195">
        <f t="shared" si="30"/>
        <v>0</v>
      </c>
      <c r="P73" s="195">
        <f t="shared" si="20"/>
        <v>0</v>
      </c>
      <c r="Q73" s="195">
        <f t="shared" si="21"/>
        <v>0</v>
      </c>
      <c r="R73" s="195">
        <f t="shared" si="22"/>
        <v>0</v>
      </c>
      <c r="S73" s="195">
        <f t="shared" si="23"/>
        <v>0</v>
      </c>
      <c r="T73" s="195">
        <f t="shared" si="24"/>
        <v>0</v>
      </c>
      <c r="V73" s="195">
        <f t="shared" si="14"/>
        <v>0</v>
      </c>
      <c r="W73" s="195" t="str">
        <f t="shared" si="25"/>
        <v/>
      </c>
      <c r="X73" s="195" t="str">
        <f t="shared" si="12"/>
        <v/>
      </c>
    </row>
    <row r="74" spans="2:24">
      <c r="B74" s="123"/>
      <c r="C74" s="122"/>
      <c r="D74" s="114"/>
      <c r="E74" s="366"/>
      <c r="F74" s="366"/>
      <c r="G74" s="366"/>
      <c r="H74" s="366"/>
      <c r="I74" s="366"/>
      <c r="J74" s="212"/>
      <c r="K74" s="195">
        <f t="shared" si="26"/>
        <v>0</v>
      </c>
      <c r="L74" s="195">
        <f t="shared" si="27"/>
        <v>0</v>
      </c>
      <c r="M74" s="195">
        <f t="shared" si="28"/>
        <v>0</v>
      </c>
      <c r="N74" s="195">
        <f t="shared" si="29"/>
        <v>0</v>
      </c>
      <c r="O74" s="195">
        <f t="shared" si="30"/>
        <v>0</v>
      </c>
      <c r="P74" s="195">
        <f t="shared" si="20"/>
        <v>0</v>
      </c>
      <c r="Q74" s="195">
        <f t="shared" si="21"/>
        <v>0</v>
      </c>
      <c r="R74" s="195">
        <f t="shared" si="22"/>
        <v>0</v>
      </c>
      <c r="S74" s="195">
        <f t="shared" si="23"/>
        <v>0</v>
      </c>
      <c r="T74" s="195">
        <f t="shared" si="24"/>
        <v>0</v>
      </c>
      <c r="V74" s="195">
        <f t="shared" si="14"/>
        <v>0</v>
      </c>
      <c r="W74" s="195" t="str">
        <f t="shared" si="25"/>
        <v/>
      </c>
      <c r="X74" s="195" t="str">
        <f t="shared" si="12"/>
        <v/>
      </c>
    </row>
    <row r="75" spans="2:24">
      <c r="B75" s="123"/>
      <c r="C75" s="122"/>
      <c r="D75" s="114"/>
      <c r="E75" s="366"/>
      <c r="F75" s="366"/>
      <c r="G75" s="366"/>
      <c r="H75" s="366"/>
      <c r="I75" s="366"/>
      <c r="J75" s="212"/>
      <c r="K75" s="195">
        <f t="shared" si="26"/>
        <v>0</v>
      </c>
      <c r="L75" s="195">
        <f t="shared" si="27"/>
        <v>0</v>
      </c>
      <c r="M75" s="195">
        <f t="shared" si="28"/>
        <v>0</v>
      </c>
      <c r="N75" s="195">
        <f t="shared" si="29"/>
        <v>0</v>
      </c>
      <c r="O75" s="195">
        <f t="shared" si="30"/>
        <v>0</v>
      </c>
      <c r="P75" s="195">
        <f t="shared" si="20"/>
        <v>0</v>
      </c>
      <c r="Q75" s="195">
        <f t="shared" si="21"/>
        <v>0</v>
      </c>
      <c r="R75" s="195">
        <f t="shared" si="22"/>
        <v>0</v>
      </c>
      <c r="S75" s="195">
        <f t="shared" si="23"/>
        <v>0</v>
      </c>
      <c r="T75" s="195">
        <f t="shared" si="24"/>
        <v>0</v>
      </c>
      <c r="V75" s="195">
        <f t="shared" si="14"/>
        <v>0</v>
      </c>
      <c r="W75" s="195" t="str">
        <f t="shared" si="25"/>
        <v/>
      </c>
      <c r="X75" s="195" t="str">
        <f t="shared" si="12"/>
        <v/>
      </c>
    </row>
    <row r="76" spans="2:24">
      <c r="B76" s="123"/>
      <c r="C76" s="122"/>
      <c r="D76" s="114"/>
      <c r="E76" s="366"/>
      <c r="F76" s="366"/>
      <c r="G76" s="366"/>
      <c r="H76" s="366"/>
      <c r="I76" s="366"/>
      <c r="J76" s="212"/>
      <c r="K76" s="195">
        <f t="shared" si="26"/>
        <v>0</v>
      </c>
      <c r="L76" s="195">
        <f t="shared" si="27"/>
        <v>0</v>
      </c>
      <c r="M76" s="195">
        <f t="shared" si="28"/>
        <v>0</v>
      </c>
      <c r="N76" s="195">
        <f t="shared" si="29"/>
        <v>0</v>
      </c>
      <c r="O76" s="195">
        <f t="shared" si="30"/>
        <v>0</v>
      </c>
      <c r="P76" s="195">
        <f t="shared" si="20"/>
        <v>0</v>
      </c>
      <c r="Q76" s="195">
        <f t="shared" si="21"/>
        <v>0</v>
      </c>
      <c r="R76" s="195">
        <f t="shared" si="22"/>
        <v>0</v>
      </c>
      <c r="S76" s="195">
        <f t="shared" si="23"/>
        <v>0</v>
      </c>
      <c r="T76" s="195">
        <f t="shared" si="24"/>
        <v>0</v>
      </c>
      <c r="V76" s="195">
        <f t="shared" si="14"/>
        <v>0</v>
      </c>
      <c r="W76" s="195" t="str">
        <f t="shared" si="25"/>
        <v/>
      </c>
      <c r="X76" s="195" t="str">
        <f t="shared" ref="X76:X103" si="31">IFERROR(INDEX($P76:$T76,MATCH($W76,$P$10:$T$10,0)),"")</f>
        <v/>
      </c>
    </row>
    <row r="77" spans="2:24">
      <c r="B77" s="123"/>
      <c r="C77" s="122"/>
      <c r="D77" s="114"/>
      <c r="E77" s="366"/>
      <c r="F77" s="366"/>
      <c r="G77" s="366"/>
      <c r="H77" s="366"/>
      <c r="I77" s="366"/>
      <c r="J77" s="212"/>
      <c r="K77" s="195">
        <f t="shared" si="26"/>
        <v>0</v>
      </c>
      <c r="L77" s="195">
        <f t="shared" si="27"/>
        <v>0</v>
      </c>
      <c r="M77" s="195">
        <f t="shared" si="28"/>
        <v>0</v>
      </c>
      <c r="N77" s="195">
        <f t="shared" si="29"/>
        <v>0</v>
      </c>
      <c r="O77" s="195">
        <f t="shared" si="30"/>
        <v>0</v>
      </c>
      <c r="P77" s="195">
        <f t="shared" si="20"/>
        <v>0</v>
      </c>
      <c r="Q77" s="195">
        <f t="shared" si="21"/>
        <v>0</v>
      </c>
      <c r="R77" s="195">
        <f t="shared" si="22"/>
        <v>0</v>
      </c>
      <c r="S77" s="195">
        <f t="shared" si="23"/>
        <v>0</v>
      </c>
      <c r="T77" s="195">
        <f t="shared" si="24"/>
        <v>0</v>
      </c>
      <c r="V77" s="195">
        <f t="shared" ref="V77:V103" si="32">MIN(E77:I77)</f>
        <v>0</v>
      </c>
      <c r="W77" s="195" t="str">
        <f t="shared" si="25"/>
        <v/>
      </c>
      <c r="X77" s="195" t="str">
        <f t="shared" si="31"/>
        <v/>
      </c>
    </row>
    <row r="78" spans="2:24">
      <c r="B78" s="123"/>
      <c r="C78" s="122"/>
      <c r="D78" s="114"/>
      <c r="E78" s="366"/>
      <c r="F78" s="366"/>
      <c r="G78" s="366"/>
      <c r="H78" s="366"/>
      <c r="I78" s="366"/>
      <c r="J78" s="212"/>
      <c r="K78" s="195">
        <f t="shared" si="26"/>
        <v>0</v>
      </c>
      <c r="L78" s="195">
        <f t="shared" si="27"/>
        <v>0</v>
      </c>
      <c r="M78" s="195">
        <f t="shared" si="28"/>
        <v>0</v>
      </c>
      <c r="N78" s="195">
        <f t="shared" si="29"/>
        <v>0</v>
      </c>
      <c r="O78" s="195">
        <f t="shared" si="30"/>
        <v>0</v>
      </c>
      <c r="P78" s="195">
        <f t="shared" ref="P78:P103" si="33">K78/(1-$J78)</f>
        <v>0</v>
      </c>
      <c r="Q78" s="195">
        <f t="shared" ref="Q78:Q103" si="34">L78/(1-$J78)</f>
        <v>0</v>
      </c>
      <c r="R78" s="195">
        <f t="shared" ref="R78:R103" si="35">M78/(1-$J78)</f>
        <v>0</v>
      </c>
      <c r="S78" s="195">
        <f t="shared" ref="S78:S103" si="36">N78/(1-$J78)</f>
        <v>0</v>
      </c>
      <c r="T78" s="195">
        <f t="shared" ref="T78:T103" si="37">O78/(1-$J78)</f>
        <v>0</v>
      </c>
      <c r="V78" s="195">
        <f t="shared" si="32"/>
        <v>0</v>
      </c>
      <c r="W78" s="195" t="str">
        <f t="shared" ref="W78:W103" si="38">IFERROR(INDEX($E$10:$I$10,MATCH($V78,$E78:$I78,0)),"")</f>
        <v/>
      </c>
      <c r="X78" s="195" t="str">
        <f t="shared" si="31"/>
        <v/>
      </c>
    </row>
    <row r="79" spans="2:24">
      <c r="B79" s="124"/>
      <c r="C79" s="125"/>
      <c r="D79" s="114"/>
      <c r="E79" s="366"/>
      <c r="F79" s="366"/>
      <c r="G79" s="366"/>
      <c r="H79" s="366"/>
      <c r="I79" s="366"/>
      <c r="J79" s="212"/>
      <c r="K79" s="195">
        <f t="shared" ref="K79:K103" si="39">D79*E79</f>
        <v>0</v>
      </c>
      <c r="L79" s="195">
        <f t="shared" ref="L79:L103" si="40">D79*F79</f>
        <v>0</v>
      </c>
      <c r="M79" s="195">
        <f t="shared" ref="M79:M103" si="41">D79*G79</f>
        <v>0</v>
      </c>
      <c r="N79" s="195">
        <f t="shared" ref="N79:N103" si="42">D79*H79</f>
        <v>0</v>
      </c>
      <c r="O79" s="195">
        <f t="shared" ref="O79:O103" si="43">D79*I79</f>
        <v>0</v>
      </c>
      <c r="P79" s="195">
        <f t="shared" si="33"/>
        <v>0</v>
      </c>
      <c r="Q79" s="195">
        <f t="shared" si="34"/>
        <v>0</v>
      </c>
      <c r="R79" s="195">
        <f t="shared" si="35"/>
        <v>0</v>
      </c>
      <c r="S79" s="195">
        <f t="shared" si="36"/>
        <v>0</v>
      </c>
      <c r="T79" s="195">
        <f t="shared" si="37"/>
        <v>0</v>
      </c>
      <c r="V79" s="195">
        <f t="shared" si="32"/>
        <v>0</v>
      </c>
      <c r="W79" s="195" t="str">
        <f t="shared" si="38"/>
        <v/>
      </c>
      <c r="X79" s="195" t="str">
        <f t="shared" si="31"/>
        <v/>
      </c>
    </row>
    <row r="80" spans="2:24">
      <c r="B80" s="124"/>
      <c r="C80" s="125"/>
      <c r="D80" s="114"/>
      <c r="E80" s="366"/>
      <c r="F80" s="366"/>
      <c r="G80" s="366"/>
      <c r="H80" s="366"/>
      <c r="I80" s="366"/>
      <c r="J80" s="212"/>
      <c r="K80" s="195">
        <f t="shared" si="39"/>
        <v>0</v>
      </c>
      <c r="L80" s="195">
        <f t="shared" si="40"/>
        <v>0</v>
      </c>
      <c r="M80" s="195">
        <f t="shared" si="41"/>
        <v>0</v>
      </c>
      <c r="N80" s="195">
        <f t="shared" si="42"/>
        <v>0</v>
      </c>
      <c r="O80" s="195">
        <f t="shared" si="43"/>
        <v>0</v>
      </c>
      <c r="P80" s="195">
        <f t="shared" si="33"/>
        <v>0</v>
      </c>
      <c r="Q80" s="195">
        <f t="shared" si="34"/>
        <v>0</v>
      </c>
      <c r="R80" s="195">
        <f t="shared" si="35"/>
        <v>0</v>
      </c>
      <c r="S80" s="195">
        <f t="shared" si="36"/>
        <v>0</v>
      </c>
      <c r="T80" s="195">
        <f t="shared" si="37"/>
        <v>0</v>
      </c>
      <c r="V80" s="195">
        <f t="shared" si="32"/>
        <v>0</v>
      </c>
      <c r="W80" s="195" t="str">
        <f t="shared" si="38"/>
        <v/>
      </c>
      <c r="X80" s="195" t="str">
        <f t="shared" si="31"/>
        <v/>
      </c>
    </row>
    <row r="81" spans="2:24">
      <c r="B81" s="124"/>
      <c r="C81" s="125"/>
      <c r="D81" s="114"/>
      <c r="E81" s="366"/>
      <c r="F81" s="366"/>
      <c r="G81" s="366"/>
      <c r="H81" s="366"/>
      <c r="I81" s="366"/>
      <c r="J81" s="212"/>
      <c r="K81" s="195">
        <f t="shared" si="39"/>
        <v>0</v>
      </c>
      <c r="L81" s="195">
        <f t="shared" si="40"/>
        <v>0</v>
      </c>
      <c r="M81" s="195">
        <f t="shared" si="41"/>
        <v>0</v>
      </c>
      <c r="N81" s="195">
        <f t="shared" si="42"/>
        <v>0</v>
      </c>
      <c r="O81" s="195">
        <f t="shared" si="43"/>
        <v>0</v>
      </c>
      <c r="P81" s="195">
        <f t="shared" si="33"/>
        <v>0</v>
      </c>
      <c r="Q81" s="195">
        <f t="shared" si="34"/>
        <v>0</v>
      </c>
      <c r="R81" s="195">
        <f t="shared" si="35"/>
        <v>0</v>
      </c>
      <c r="S81" s="195">
        <f t="shared" si="36"/>
        <v>0</v>
      </c>
      <c r="T81" s="195">
        <f t="shared" si="37"/>
        <v>0</v>
      </c>
      <c r="V81" s="195">
        <f t="shared" si="32"/>
        <v>0</v>
      </c>
      <c r="W81" s="195" t="str">
        <f t="shared" si="38"/>
        <v/>
      </c>
      <c r="X81" s="195" t="str">
        <f t="shared" si="31"/>
        <v/>
      </c>
    </row>
    <row r="82" spans="2:24">
      <c r="B82" s="124"/>
      <c r="C82" s="125"/>
      <c r="D82" s="114"/>
      <c r="E82" s="366"/>
      <c r="F82" s="366"/>
      <c r="G82" s="366"/>
      <c r="H82" s="366"/>
      <c r="I82" s="366"/>
      <c r="J82" s="212"/>
      <c r="K82" s="195">
        <f t="shared" si="39"/>
        <v>0</v>
      </c>
      <c r="L82" s="195">
        <f t="shared" si="40"/>
        <v>0</v>
      </c>
      <c r="M82" s="195">
        <f t="shared" si="41"/>
        <v>0</v>
      </c>
      <c r="N82" s="195">
        <f t="shared" si="42"/>
        <v>0</v>
      </c>
      <c r="O82" s="195">
        <f t="shared" si="43"/>
        <v>0</v>
      </c>
      <c r="P82" s="195">
        <f t="shared" si="33"/>
        <v>0</v>
      </c>
      <c r="Q82" s="195">
        <f t="shared" si="34"/>
        <v>0</v>
      </c>
      <c r="R82" s="195">
        <f t="shared" si="35"/>
        <v>0</v>
      </c>
      <c r="S82" s="195">
        <f t="shared" si="36"/>
        <v>0</v>
      </c>
      <c r="T82" s="195">
        <f t="shared" si="37"/>
        <v>0</v>
      </c>
      <c r="V82" s="195">
        <f t="shared" si="32"/>
        <v>0</v>
      </c>
      <c r="W82" s="195" t="str">
        <f t="shared" si="38"/>
        <v/>
      </c>
      <c r="X82" s="195" t="str">
        <f t="shared" si="31"/>
        <v/>
      </c>
    </row>
    <row r="83" spans="2:24">
      <c r="B83" s="124"/>
      <c r="C83" s="125"/>
      <c r="D83" s="114"/>
      <c r="E83" s="366"/>
      <c r="F83" s="366"/>
      <c r="G83" s="366"/>
      <c r="H83" s="366"/>
      <c r="I83" s="366"/>
      <c r="J83" s="212"/>
      <c r="K83" s="195">
        <f t="shared" si="39"/>
        <v>0</v>
      </c>
      <c r="L83" s="195">
        <f t="shared" si="40"/>
        <v>0</v>
      </c>
      <c r="M83" s="195">
        <f t="shared" si="41"/>
        <v>0</v>
      </c>
      <c r="N83" s="195">
        <f t="shared" si="42"/>
        <v>0</v>
      </c>
      <c r="O83" s="195">
        <f t="shared" si="43"/>
        <v>0</v>
      </c>
      <c r="P83" s="195">
        <f t="shared" si="33"/>
        <v>0</v>
      </c>
      <c r="Q83" s="195">
        <f t="shared" si="34"/>
        <v>0</v>
      </c>
      <c r="R83" s="195">
        <f t="shared" si="35"/>
        <v>0</v>
      </c>
      <c r="S83" s="195">
        <f t="shared" si="36"/>
        <v>0</v>
      </c>
      <c r="T83" s="195">
        <f t="shared" si="37"/>
        <v>0</v>
      </c>
      <c r="V83" s="195">
        <f t="shared" si="32"/>
        <v>0</v>
      </c>
      <c r="W83" s="195" t="str">
        <f t="shared" si="38"/>
        <v/>
      </c>
      <c r="X83" s="195" t="str">
        <f t="shared" si="31"/>
        <v/>
      </c>
    </row>
    <row r="84" spans="2:24">
      <c r="B84" s="124"/>
      <c r="C84" s="125"/>
      <c r="D84" s="114"/>
      <c r="E84" s="366"/>
      <c r="F84" s="366"/>
      <c r="G84" s="366"/>
      <c r="H84" s="366"/>
      <c r="I84" s="366"/>
      <c r="J84" s="212"/>
      <c r="K84" s="195">
        <f t="shared" si="39"/>
        <v>0</v>
      </c>
      <c r="L84" s="195">
        <f t="shared" si="40"/>
        <v>0</v>
      </c>
      <c r="M84" s="195">
        <f t="shared" si="41"/>
        <v>0</v>
      </c>
      <c r="N84" s="195">
        <f t="shared" si="42"/>
        <v>0</v>
      </c>
      <c r="O84" s="195">
        <f t="shared" si="43"/>
        <v>0</v>
      </c>
      <c r="P84" s="195">
        <f t="shared" si="33"/>
        <v>0</v>
      </c>
      <c r="Q84" s="195">
        <f t="shared" si="34"/>
        <v>0</v>
      </c>
      <c r="R84" s="195">
        <f t="shared" si="35"/>
        <v>0</v>
      </c>
      <c r="S84" s="195">
        <f t="shared" si="36"/>
        <v>0</v>
      </c>
      <c r="T84" s="195">
        <f t="shared" si="37"/>
        <v>0</v>
      </c>
      <c r="V84" s="195">
        <f t="shared" si="32"/>
        <v>0</v>
      </c>
      <c r="W84" s="195" t="str">
        <f t="shared" si="38"/>
        <v/>
      </c>
      <c r="X84" s="195" t="str">
        <f t="shared" si="31"/>
        <v/>
      </c>
    </row>
    <row r="85" spans="2:24">
      <c r="B85" s="124"/>
      <c r="C85" s="125"/>
      <c r="D85" s="114"/>
      <c r="E85" s="366"/>
      <c r="F85" s="366"/>
      <c r="G85" s="366"/>
      <c r="H85" s="366"/>
      <c r="I85" s="366"/>
      <c r="J85" s="212"/>
      <c r="K85" s="195">
        <f t="shared" si="39"/>
        <v>0</v>
      </c>
      <c r="L85" s="195">
        <f t="shared" si="40"/>
        <v>0</v>
      </c>
      <c r="M85" s="195">
        <f t="shared" si="41"/>
        <v>0</v>
      </c>
      <c r="N85" s="195">
        <f t="shared" si="42"/>
        <v>0</v>
      </c>
      <c r="O85" s="195">
        <f t="shared" si="43"/>
        <v>0</v>
      </c>
      <c r="P85" s="195">
        <f t="shared" si="33"/>
        <v>0</v>
      </c>
      <c r="Q85" s="195">
        <f t="shared" si="34"/>
        <v>0</v>
      </c>
      <c r="R85" s="195">
        <f t="shared" si="35"/>
        <v>0</v>
      </c>
      <c r="S85" s="195">
        <f t="shared" si="36"/>
        <v>0</v>
      </c>
      <c r="T85" s="195">
        <f t="shared" si="37"/>
        <v>0</v>
      </c>
      <c r="V85" s="195">
        <f t="shared" si="32"/>
        <v>0</v>
      </c>
      <c r="W85" s="195" t="str">
        <f t="shared" si="38"/>
        <v/>
      </c>
      <c r="X85" s="195" t="str">
        <f t="shared" si="31"/>
        <v/>
      </c>
    </row>
    <row r="86" spans="2:24">
      <c r="B86" s="124"/>
      <c r="C86" s="125"/>
      <c r="D86" s="114"/>
      <c r="E86" s="366"/>
      <c r="F86" s="366"/>
      <c r="G86" s="366"/>
      <c r="H86" s="366"/>
      <c r="I86" s="366"/>
      <c r="J86" s="212"/>
      <c r="K86" s="195">
        <f t="shared" si="39"/>
        <v>0</v>
      </c>
      <c r="L86" s="195">
        <f t="shared" si="40"/>
        <v>0</v>
      </c>
      <c r="M86" s="195">
        <f t="shared" si="41"/>
        <v>0</v>
      </c>
      <c r="N86" s="195">
        <f t="shared" si="42"/>
        <v>0</v>
      </c>
      <c r="O86" s="195">
        <f t="shared" si="43"/>
        <v>0</v>
      </c>
      <c r="P86" s="195">
        <f t="shared" si="33"/>
        <v>0</v>
      </c>
      <c r="Q86" s="195">
        <f t="shared" si="34"/>
        <v>0</v>
      </c>
      <c r="R86" s="195">
        <f t="shared" si="35"/>
        <v>0</v>
      </c>
      <c r="S86" s="195">
        <f t="shared" si="36"/>
        <v>0</v>
      </c>
      <c r="T86" s="195">
        <f t="shared" si="37"/>
        <v>0</v>
      </c>
      <c r="V86" s="195">
        <f t="shared" si="32"/>
        <v>0</v>
      </c>
      <c r="W86" s="195" t="str">
        <f t="shared" si="38"/>
        <v/>
      </c>
      <c r="X86" s="195" t="str">
        <f t="shared" si="31"/>
        <v/>
      </c>
    </row>
    <row r="87" spans="2:24">
      <c r="B87" s="126"/>
      <c r="C87" s="127"/>
      <c r="D87" s="114"/>
      <c r="E87" s="366"/>
      <c r="F87" s="366"/>
      <c r="G87" s="366"/>
      <c r="H87" s="366"/>
      <c r="I87" s="366"/>
      <c r="J87" s="212"/>
      <c r="K87" s="195">
        <f t="shared" si="39"/>
        <v>0</v>
      </c>
      <c r="L87" s="195">
        <f t="shared" si="40"/>
        <v>0</v>
      </c>
      <c r="M87" s="195">
        <f t="shared" si="41"/>
        <v>0</v>
      </c>
      <c r="N87" s="195">
        <f t="shared" si="42"/>
        <v>0</v>
      </c>
      <c r="O87" s="195">
        <f t="shared" si="43"/>
        <v>0</v>
      </c>
      <c r="P87" s="195">
        <f t="shared" si="33"/>
        <v>0</v>
      </c>
      <c r="Q87" s="195">
        <f t="shared" si="34"/>
        <v>0</v>
      </c>
      <c r="R87" s="195">
        <f t="shared" si="35"/>
        <v>0</v>
      </c>
      <c r="S87" s="195">
        <f t="shared" si="36"/>
        <v>0</v>
      </c>
      <c r="T87" s="195">
        <f t="shared" si="37"/>
        <v>0</v>
      </c>
      <c r="V87" s="195">
        <f t="shared" si="32"/>
        <v>0</v>
      </c>
      <c r="W87" s="195" t="str">
        <f t="shared" si="38"/>
        <v/>
      </c>
      <c r="X87" s="195" t="str">
        <f t="shared" si="31"/>
        <v/>
      </c>
    </row>
    <row r="88" spans="2:24">
      <c r="B88" s="126"/>
      <c r="C88" s="128"/>
      <c r="D88" s="114"/>
      <c r="E88" s="366"/>
      <c r="F88" s="366"/>
      <c r="G88" s="366"/>
      <c r="H88" s="366"/>
      <c r="I88" s="366"/>
      <c r="J88" s="212"/>
      <c r="K88" s="195">
        <f t="shared" si="39"/>
        <v>0</v>
      </c>
      <c r="L88" s="195">
        <f t="shared" si="40"/>
        <v>0</v>
      </c>
      <c r="M88" s="195">
        <f t="shared" si="41"/>
        <v>0</v>
      </c>
      <c r="N88" s="195">
        <f t="shared" si="42"/>
        <v>0</v>
      </c>
      <c r="O88" s="195">
        <f t="shared" si="43"/>
        <v>0</v>
      </c>
      <c r="P88" s="195">
        <f t="shared" si="33"/>
        <v>0</v>
      </c>
      <c r="Q88" s="195">
        <f t="shared" si="34"/>
        <v>0</v>
      </c>
      <c r="R88" s="195">
        <f t="shared" si="35"/>
        <v>0</v>
      </c>
      <c r="S88" s="195">
        <f t="shared" si="36"/>
        <v>0</v>
      </c>
      <c r="T88" s="195">
        <f t="shared" si="37"/>
        <v>0</v>
      </c>
      <c r="V88" s="195">
        <f t="shared" si="32"/>
        <v>0</v>
      </c>
      <c r="W88" s="195" t="str">
        <f t="shared" si="38"/>
        <v/>
      </c>
      <c r="X88" s="195" t="str">
        <f t="shared" si="31"/>
        <v/>
      </c>
    </row>
    <row r="89" spans="2:24">
      <c r="B89" s="126"/>
      <c r="C89" s="128"/>
      <c r="D89" s="114"/>
      <c r="E89" s="366"/>
      <c r="F89" s="366"/>
      <c r="G89" s="366"/>
      <c r="H89" s="366"/>
      <c r="I89" s="366"/>
      <c r="J89" s="212"/>
      <c r="K89" s="195">
        <f t="shared" si="39"/>
        <v>0</v>
      </c>
      <c r="L89" s="195">
        <f t="shared" si="40"/>
        <v>0</v>
      </c>
      <c r="M89" s="195">
        <f t="shared" si="41"/>
        <v>0</v>
      </c>
      <c r="N89" s="195">
        <f t="shared" si="42"/>
        <v>0</v>
      </c>
      <c r="O89" s="195">
        <f t="shared" si="43"/>
        <v>0</v>
      </c>
      <c r="P89" s="195">
        <f t="shared" si="33"/>
        <v>0</v>
      </c>
      <c r="Q89" s="195">
        <f t="shared" si="34"/>
        <v>0</v>
      </c>
      <c r="R89" s="195">
        <f t="shared" si="35"/>
        <v>0</v>
      </c>
      <c r="S89" s="195">
        <f t="shared" si="36"/>
        <v>0</v>
      </c>
      <c r="T89" s="195">
        <f t="shared" si="37"/>
        <v>0</v>
      </c>
      <c r="V89" s="195">
        <f t="shared" si="32"/>
        <v>0</v>
      </c>
      <c r="W89" s="195" t="str">
        <f t="shared" si="38"/>
        <v/>
      </c>
      <c r="X89" s="195" t="str">
        <f t="shared" si="31"/>
        <v/>
      </c>
    </row>
    <row r="90" spans="2:24">
      <c r="B90" s="126"/>
      <c r="C90" s="129"/>
      <c r="D90" s="114"/>
      <c r="E90" s="366"/>
      <c r="F90" s="366"/>
      <c r="G90" s="366"/>
      <c r="H90" s="366"/>
      <c r="I90" s="366"/>
      <c r="J90" s="212"/>
      <c r="K90" s="195">
        <f t="shared" si="39"/>
        <v>0</v>
      </c>
      <c r="L90" s="195">
        <f t="shared" si="40"/>
        <v>0</v>
      </c>
      <c r="M90" s="195">
        <f t="shared" si="41"/>
        <v>0</v>
      </c>
      <c r="N90" s="195">
        <f t="shared" si="42"/>
        <v>0</v>
      </c>
      <c r="O90" s="195">
        <f t="shared" si="43"/>
        <v>0</v>
      </c>
      <c r="P90" s="195">
        <f t="shared" si="33"/>
        <v>0</v>
      </c>
      <c r="Q90" s="195">
        <f t="shared" si="34"/>
        <v>0</v>
      </c>
      <c r="R90" s="195">
        <f t="shared" si="35"/>
        <v>0</v>
      </c>
      <c r="S90" s="195">
        <f t="shared" si="36"/>
        <v>0</v>
      </c>
      <c r="T90" s="195">
        <f t="shared" si="37"/>
        <v>0</v>
      </c>
      <c r="V90" s="195">
        <f t="shared" si="32"/>
        <v>0</v>
      </c>
      <c r="W90" s="195" t="str">
        <f t="shared" si="38"/>
        <v/>
      </c>
      <c r="X90" s="195" t="str">
        <f t="shared" si="31"/>
        <v/>
      </c>
    </row>
    <row r="91" spans="2:24">
      <c r="B91" s="126"/>
      <c r="C91" s="127"/>
      <c r="D91" s="114"/>
      <c r="E91" s="366"/>
      <c r="F91" s="366"/>
      <c r="G91" s="366"/>
      <c r="H91" s="366"/>
      <c r="I91" s="366"/>
      <c r="J91" s="212"/>
      <c r="K91" s="195">
        <f t="shared" si="39"/>
        <v>0</v>
      </c>
      <c r="L91" s="195">
        <f t="shared" si="40"/>
        <v>0</v>
      </c>
      <c r="M91" s="195">
        <f t="shared" si="41"/>
        <v>0</v>
      </c>
      <c r="N91" s="195">
        <f t="shared" si="42"/>
        <v>0</v>
      </c>
      <c r="O91" s="195">
        <f t="shared" si="43"/>
        <v>0</v>
      </c>
      <c r="P91" s="195">
        <f t="shared" si="33"/>
        <v>0</v>
      </c>
      <c r="Q91" s="195">
        <f t="shared" si="34"/>
        <v>0</v>
      </c>
      <c r="R91" s="195">
        <f t="shared" si="35"/>
        <v>0</v>
      </c>
      <c r="S91" s="195">
        <f t="shared" si="36"/>
        <v>0</v>
      </c>
      <c r="T91" s="195">
        <f t="shared" si="37"/>
        <v>0</v>
      </c>
      <c r="V91" s="195">
        <f t="shared" si="32"/>
        <v>0</v>
      </c>
      <c r="W91" s="195" t="str">
        <f t="shared" si="38"/>
        <v/>
      </c>
      <c r="X91" s="195" t="str">
        <f t="shared" si="31"/>
        <v/>
      </c>
    </row>
    <row r="92" spans="2:24">
      <c r="B92" s="126"/>
      <c r="C92" s="127"/>
      <c r="D92" s="114"/>
      <c r="E92" s="366"/>
      <c r="F92" s="366"/>
      <c r="G92" s="366"/>
      <c r="H92" s="366"/>
      <c r="I92" s="366"/>
      <c r="J92" s="212"/>
      <c r="K92" s="195">
        <f t="shared" si="39"/>
        <v>0</v>
      </c>
      <c r="L92" s="195">
        <f t="shared" si="40"/>
        <v>0</v>
      </c>
      <c r="M92" s="195">
        <f t="shared" si="41"/>
        <v>0</v>
      </c>
      <c r="N92" s="195">
        <f t="shared" si="42"/>
        <v>0</v>
      </c>
      <c r="O92" s="195">
        <f t="shared" si="43"/>
        <v>0</v>
      </c>
      <c r="P92" s="195">
        <f t="shared" si="33"/>
        <v>0</v>
      </c>
      <c r="Q92" s="195">
        <f t="shared" si="34"/>
        <v>0</v>
      </c>
      <c r="R92" s="195">
        <f t="shared" si="35"/>
        <v>0</v>
      </c>
      <c r="S92" s="195">
        <f t="shared" si="36"/>
        <v>0</v>
      </c>
      <c r="T92" s="195">
        <f t="shared" si="37"/>
        <v>0</v>
      </c>
      <c r="V92" s="195">
        <f t="shared" si="32"/>
        <v>0</v>
      </c>
      <c r="W92" s="195" t="str">
        <f t="shared" si="38"/>
        <v/>
      </c>
      <c r="X92" s="195" t="str">
        <f t="shared" si="31"/>
        <v/>
      </c>
    </row>
    <row r="93" spans="2:24">
      <c r="B93" s="126"/>
      <c r="C93" s="127"/>
      <c r="D93" s="114"/>
      <c r="E93" s="366"/>
      <c r="F93" s="366"/>
      <c r="G93" s="366"/>
      <c r="H93" s="366"/>
      <c r="I93" s="366"/>
      <c r="J93" s="212"/>
      <c r="K93" s="195">
        <f t="shared" si="39"/>
        <v>0</v>
      </c>
      <c r="L93" s="195">
        <f t="shared" si="40"/>
        <v>0</v>
      </c>
      <c r="M93" s="195">
        <f t="shared" si="41"/>
        <v>0</v>
      </c>
      <c r="N93" s="195">
        <f t="shared" si="42"/>
        <v>0</v>
      </c>
      <c r="O93" s="195">
        <f t="shared" si="43"/>
        <v>0</v>
      </c>
      <c r="P93" s="195">
        <f t="shared" si="33"/>
        <v>0</v>
      </c>
      <c r="Q93" s="195">
        <f t="shared" si="34"/>
        <v>0</v>
      </c>
      <c r="R93" s="195">
        <f t="shared" si="35"/>
        <v>0</v>
      </c>
      <c r="S93" s="195">
        <f t="shared" si="36"/>
        <v>0</v>
      </c>
      <c r="T93" s="195">
        <f t="shared" si="37"/>
        <v>0</v>
      </c>
      <c r="V93" s="195">
        <f t="shared" si="32"/>
        <v>0</v>
      </c>
      <c r="W93" s="195" t="str">
        <f t="shared" si="38"/>
        <v/>
      </c>
      <c r="X93" s="195" t="str">
        <f t="shared" si="31"/>
        <v/>
      </c>
    </row>
    <row r="94" spans="2:24">
      <c r="B94" s="126"/>
      <c r="C94" s="127"/>
      <c r="D94" s="114"/>
      <c r="E94" s="366"/>
      <c r="F94" s="366"/>
      <c r="G94" s="366"/>
      <c r="H94" s="366"/>
      <c r="I94" s="366"/>
      <c r="J94" s="212"/>
      <c r="K94" s="195">
        <f t="shared" si="39"/>
        <v>0</v>
      </c>
      <c r="L94" s="195">
        <f t="shared" si="40"/>
        <v>0</v>
      </c>
      <c r="M94" s="195">
        <f t="shared" si="41"/>
        <v>0</v>
      </c>
      <c r="N94" s="195">
        <f t="shared" si="42"/>
        <v>0</v>
      </c>
      <c r="O94" s="195">
        <f t="shared" si="43"/>
        <v>0</v>
      </c>
      <c r="P94" s="195">
        <f t="shared" si="33"/>
        <v>0</v>
      </c>
      <c r="Q94" s="195">
        <f t="shared" si="34"/>
        <v>0</v>
      </c>
      <c r="R94" s="195">
        <f t="shared" si="35"/>
        <v>0</v>
      </c>
      <c r="S94" s="195">
        <f t="shared" si="36"/>
        <v>0</v>
      </c>
      <c r="T94" s="195">
        <f t="shared" si="37"/>
        <v>0</v>
      </c>
      <c r="V94" s="195">
        <f t="shared" si="32"/>
        <v>0</v>
      </c>
      <c r="W94" s="195" t="str">
        <f t="shared" si="38"/>
        <v/>
      </c>
      <c r="X94" s="195" t="str">
        <f t="shared" si="31"/>
        <v/>
      </c>
    </row>
    <row r="95" spans="2:24">
      <c r="B95" s="126"/>
      <c r="C95" s="127"/>
      <c r="D95" s="114"/>
      <c r="E95" s="366"/>
      <c r="F95" s="366"/>
      <c r="G95" s="366"/>
      <c r="H95" s="366"/>
      <c r="I95" s="366"/>
      <c r="J95" s="212"/>
      <c r="K95" s="195">
        <f t="shared" si="39"/>
        <v>0</v>
      </c>
      <c r="L95" s="195">
        <f t="shared" si="40"/>
        <v>0</v>
      </c>
      <c r="M95" s="195">
        <f t="shared" si="41"/>
        <v>0</v>
      </c>
      <c r="N95" s="195">
        <f t="shared" si="42"/>
        <v>0</v>
      </c>
      <c r="O95" s="195">
        <f t="shared" si="43"/>
        <v>0</v>
      </c>
      <c r="P95" s="195">
        <f t="shared" si="33"/>
        <v>0</v>
      </c>
      <c r="Q95" s="195">
        <f t="shared" si="34"/>
        <v>0</v>
      </c>
      <c r="R95" s="195">
        <f t="shared" si="35"/>
        <v>0</v>
      </c>
      <c r="S95" s="195">
        <f t="shared" si="36"/>
        <v>0</v>
      </c>
      <c r="T95" s="195">
        <f t="shared" si="37"/>
        <v>0</v>
      </c>
      <c r="V95" s="195">
        <f t="shared" si="32"/>
        <v>0</v>
      </c>
      <c r="W95" s="195" t="str">
        <f t="shared" si="38"/>
        <v/>
      </c>
      <c r="X95" s="195" t="str">
        <f t="shared" si="31"/>
        <v/>
      </c>
    </row>
    <row r="96" spans="2:24">
      <c r="B96" s="126"/>
      <c r="C96" s="127"/>
      <c r="D96" s="114"/>
      <c r="E96" s="366"/>
      <c r="F96" s="366"/>
      <c r="G96" s="366"/>
      <c r="H96" s="366"/>
      <c r="I96" s="366"/>
      <c r="J96" s="212"/>
      <c r="K96" s="195">
        <f t="shared" si="39"/>
        <v>0</v>
      </c>
      <c r="L96" s="195">
        <f t="shared" si="40"/>
        <v>0</v>
      </c>
      <c r="M96" s="195">
        <f t="shared" si="41"/>
        <v>0</v>
      </c>
      <c r="N96" s="195">
        <f t="shared" si="42"/>
        <v>0</v>
      </c>
      <c r="O96" s="195">
        <f t="shared" si="43"/>
        <v>0</v>
      </c>
      <c r="P96" s="195">
        <f t="shared" si="33"/>
        <v>0</v>
      </c>
      <c r="Q96" s="195">
        <f t="shared" si="34"/>
        <v>0</v>
      </c>
      <c r="R96" s="195">
        <f t="shared" si="35"/>
        <v>0</v>
      </c>
      <c r="S96" s="195">
        <f t="shared" si="36"/>
        <v>0</v>
      </c>
      <c r="T96" s="195">
        <f t="shared" si="37"/>
        <v>0</v>
      </c>
      <c r="V96" s="195">
        <f t="shared" si="32"/>
        <v>0</v>
      </c>
      <c r="W96" s="195" t="str">
        <f t="shared" si="38"/>
        <v/>
      </c>
      <c r="X96" s="195" t="str">
        <f t="shared" si="31"/>
        <v/>
      </c>
    </row>
    <row r="97" spans="2:24">
      <c r="B97" s="126"/>
      <c r="C97" s="127"/>
      <c r="D97" s="114"/>
      <c r="E97" s="366"/>
      <c r="F97" s="366"/>
      <c r="G97" s="366"/>
      <c r="H97" s="366"/>
      <c r="I97" s="366"/>
      <c r="J97" s="212"/>
      <c r="K97" s="195">
        <f t="shared" si="39"/>
        <v>0</v>
      </c>
      <c r="L97" s="195">
        <f t="shared" si="40"/>
        <v>0</v>
      </c>
      <c r="M97" s="195">
        <f t="shared" si="41"/>
        <v>0</v>
      </c>
      <c r="N97" s="195">
        <f t="shared" si="42"/>
        <v>0</v>
      </c>
      <c r="O97" s="195">
        <f t="shared" si="43"/>
        <v>0</v>
      </c>
      <c r="P97" s="195">
        <f t="shared" si="33"/>
        <v>0</v>
      </c>
      <c r="Q97" s="195">
        <f t="shared" si="34"/>
        <v>0</v>
      </c>
      <c r="R97" s="195">
        <f t="shared" si="35"/>
        <v>0</v>
      </c>
      <c r="S97" s="195">
        <f t="shared" si="36"/>
        <v>0</v>
      </c>
      <c r="T97" s="195">
        <f t="shared" si="37"/>
        <v>0</v>
      </c>
      <c r="V97" s="195">
        <f t="shared" si="32"/>
        <v>0</v>
      </c>
      <c r="W97" s="195" t="str">
        <f t="shared" si="38"/>
        <v/>
      </c>
      <c r="X97" s="195" t="str">
        <f t="shared" si="31"/>
        <v/>
      </c>
    </row>
    <row r="98" spans="2:24">
      <c r="B98" s="126"/>
      <c r="C98" s="127"/>
      <c r="D98" s="114"/>
      <c r="E98" s="366"/>
      <c r="F98" s="366"/>
      <c r="G98" s="366"/>
      <c r="H98" s="366"/>
      <c r="I98" s="366"/>
      <c r="J98" s="212"/>
      <c r="K98" s="195">
        <f t="shared" si="39"/>
        <v>0</v>
      </c>
      <c r="L98" s="195">
        <f t="shared" si="40"/>
        <v>0</v>
      </c>
      <c r="M98" s="195">
        <f t="shared" si="41"/>
        <v>0</v>
      </c>
      <c r="N98" s="195">
        <f t="shared" si="42"/>
        <v>0</v>
      </c>
      <c r="O98" s="195">
        <f t="shared" si="43"/>
        <v>0</v>
      </c>
      <c r="P98" s="195">
        <f t="shared" si="33"/>
        <v>0</v>
      </c>
      <c r="Q98" s="195">
        <f t="shared" si="34"/>
        <v>0</v>
      </c>
      <c r="R98" s="195">
        <f t="shared" si="35"/>
        <v>0</v>
      </c>
      <c r="S98" s="195">
        <f t="shared" si="36"/>
        <v>0</v>
      </c>
      <c r="T98" s="195">
        <f t="shared" si="37"/>
        <v>0</v>
      </c>
      <c r="V98" s="195">
        <f t="shared" si="32"/>
        <v>0</v>
      </c>
      <c r="W98" s="195" t="str">
        <f t="shared" si="38"/>
        <v/>
      </c>
      <c r="X98" s="195" t="str">
        <f t="shared" si="31"/>
        <v/>
      </c>
    </row>
    <row r="99" spans="2:24">
      <c r="B99" s="126"/>
      <c r="C99" s="127"/>
      <c r="D99" s="114"/>
      <c r="E99" s="366"/>
      <c r="F99" s="366"/>
      <c r="G99" s="366"/>
      <c r="H99" s="366"/>
      <c r="I99" s="366"/>
      <c r="J99" s="212"/>
      <c r="K99" s="195">
        <f t="shared" si="39"/>
        <v>0</v>
      </c>
      <c r="L99" s="195">
        <f t="shared" si="40"/>
        <v>0</v>
      </c>
      <c r="M99" s="195">
        <f t="shared" si="41"/>
        <v>0</v>
      </c>
      <c r="N99" s="195">
        <f t="shared" si="42"/>
        <v>0</v>
      </c>
      <c r="O99" s="195">
        <f t="shared" si="43"/>
        <v>0</v>
      </c>
      <c r="P99" s="195">
        <f t="shared" si="33"/>
        <v>0</v>
      </c>
      <c r="Q99" s="195">
        <f t="shared" si="34"/>
        <v>0</v>
      </c>
      <c r="R99" s="195">
        <f t="shared" si="35"/>
        <v>0</v>
      </c>
      <c r="S99" s="195">
        <f t="shared" si="36"/>
        <v>0</v>
      </c>
      <c r="T99" s="195">
        <f t="shared" si="37"/>
        <v>0</v>
      </c>
      <c r="V99" s="195">
        <f t="shared" si="32"/>
        <v>0</v>
      </c>
      <c r="W99" s="195" t="str">
        <f t="shared" si="38"/>
        <v/>
      </c>
      <c r="X99" s="195" t="str">
        <f t="shared" si="31"/>
        <v/>
      </c>
    </row>
    <row r="100" spans="2:24">
      <c r="B100" s="126"/>
      <c r="C100" s="127"/>
      <c r="D100" s="114"/>
      <c r="E100" s="366"/>
      <c r="F100" s="366"/>
      <c r="G100" s="366"/>
      <c r="H100" s="366"/>
      <c r="I100" s="366"/>
      <c r="J100" s="212"/>
      <c r="K100" s="195">
        <f t="shared" si="39"/>
        <v>0</v>
      </c>
      <c r="L100" s="195">
        <f t="shared" si="40"/>
        <v>0</v>
      </c>
      <c r="M100" s="195">
        <f t="shared" si="41"/>
        <v>0</v>
      </c>
      <c r="N100" s="195">
        <f t="shared" si="42"/>
        <v>0</v>
      </c>
      <c r="O100" s="195">
        <f t="shared" si="43"/>
        <v>0</v>
      </c>
      <c r="P100" s="195">
        <f t="shared" si="33"/>
        <v>0</v>
      </c>
      <c r="Q100" s="195">
        <f t="shared" si="34"/>
        <v>0</v>
      </c>
      <c r="R100" s="195">
        <f t="shared" si="35"/>
        <v>0</v>
      </c>
      <c r="S100" s="195">
        <f t="shared" si="36"/>
        <v>0</v>
      </c>
      <c r="T100" s="195">
        <f t="shared" si="37"/>
        <v>0</v>
      </c>
      <c r="V100" s="195">
        <f t="shared" si="32"/>
        <v>0</v>
      </c>
      <c r="W100" s="195" t="str">
        <f t="shared" si="38"/>
        <v/>
      </c>
      <c r="X100" s="195" t="str">
        <f t="shared" si="31"/>
        <v/>
      </c>
    </row>
    <row r="101" spans="2:24">
      <c r="B101" s="126"/>
      <c r="C101" s="127"/>
      <c r="D101" s="114"/>
      <c r="E101" s="366"/>
      <c r="F101" s="366"/>
      <c r="G101" s="366"/>
      <c r="H101" s="366"/>
      <c r="I101" s="366"/>
      <c r="J101" s="212"/>
      <c r="K101" s="195">
        <f t="shared" si="39"/>
        <v>0</v>
      </c>
      <c r="L101" s="195">
        <f t="shared" si="40"/>
        <v>0</v>
      </c>
      <c r="M101" s="195">
        <f t="shared" si="41"/>
        <v>0</v>
      </c>
      <c r="N101" s="195">
        <f t="shared" si="42"/>
        <v>0</v>
      </c>
      <c r="O101" s="195">
        <f t="shared" si="43"/>
        <v>0</v>
      </c>
      <c r="P101" s="195">
        <f t="shared" si="33"/>
        <v>0</v>
      </c>
      <c r="Q101" s="195">
        <f t="shared" si="34"/>
        <v>0</v>
      </c>
      <c r="R101" s="195">
        <f t="shared" si="35"/>
        <v>0</v>
      </c>
      <c r="S101" s="195">
        <f t="shared" si="36"/>
        <v>0</v>
      </c>
      <c r="T101" s="195">
        <f t="shared" si="37"/>
        <v>0</v>
      </c>
      <c r="V101" s="195">
        <f t="shared" si="32"/>
        <v>0</v>
      </c>
      <c r="W101" s="195" t="str">
        <f t="shared" si="38"/>
        <v/>
      </c>
      <c r="X101" s="195" t="str">
        <f t="shared" si="31"/>
        <v/>
      </c>
    </row>
    <row r="102" spans="2:24">
      <c r="B102" s="126"/>
      <c r="C102" s="127"/>
      <c r="D102" s="114"/>
      <c r="E102" s="366"/>
      <c r="F102" s="366"/>
      <c r="G102" s="366"/>
      <c r="H102" s="366"/>
      <c r="I102" s="366"/>
      <c r="J102" s="212"/>
      <c r="K102" s="195">
        <f t="shared" si="39"/>
        <v>0</v>
      </c>
      <c r="L102" s="195">
        <f t="shared" si="40"/>
        <v>0</v>
      </c>
      <c r="M102" s="195">
        <f t="shared" si="41"/>
        <v>0</v>
      </c>
      <c r="N102" s="195">
        <f t="shared" si="42"/>
        <v>0</v>
      </c>
      <c r="O102" s="195">
        <f t="shared" si="43"/>
        <v>0</v>
      </c>
      <c r="P102" s="195">
        <f t="shared" si="33"/>
        <v>0</v>
      </c>
      <c r="Q102" s="195">
        <f t="shared" si="34"/>
        <v>0</v>
      </c>
      <c r="R102" s="195">
        <f t="shared" si="35"/>
        <v>0</v>
      </c>
      <c r="S102" s="195">
        <f t="shared" si="36"/>
        <v>0</v>
      </c>
      <c r="T102" s="195">
        <f t="shared" si="37"/>
        <v>0</v>
      </c>
      <c r="V102" s="195">
        <f t="shared" si="32"/>
        <v>0</v>
      </c>
      <c r="W102" s="195" t="str">
        <f t="shared" si="38"/>
        <v/>
      </c>
      <c r="X102" s="195" t="str">
        <f t="shared" si="31"/>
        <v/>
      </c>
    </row>
    <row r="103" spans="2:24">
      <c r="B103" s="126"/>
      <c r="C103" s="127"/>
      <c r="D103" s="114"/>
      <c r="E103" s="366"/>
      <c r="F103" s="366"/>
      <c r="G103" s="366"/>
      <c r="H103" s="366"/>
      <c r="I103" s="366"/>
      <c r="J103" s="212"/>
      <c r="K103" s="195">
        <f t="shared" si="39"/>
        <v>0</v>
      </c>
      <c r="L103" s="195">
        <f t="shared" si="40"/>
        <v>0</v>
      </c>
      <c r="M103" s="195">
        <f t="shared" si="41"/>
        <v>0</v>
      </c>
      <c r="N103" s="195">
        <f t="shared" si="42"/>
        <v>0</v>
      </c>
      <c r="O103" s="195">
        <f t="shared" si="43"/>
        <v>0</v>
      </c>
      <c r="P103" s="195">
        <f t="shared" si="33"/>
        <v>0</v>
      </c>
      <c r="Q103" s="195">
        <f t="shared" si="34"/>
        <v>0</v>
      </c>
      <c r="R103" s="195">
        <f t="shared" si="35"/>
        <v>0</v>
      </c>
      <c r="S103" s="195">
        <f t="shared" si="36"/>
        <v>0</v>
      </c>
      <c r="T103" s="195">
        <f t="shared" si="37"/>
        <v>0</v>
      </c>
      <c r="V103" s="195">
        <f t="shared" si="32"/>
        <v>0</v>
      </c>
      <c r="W103" s="195" t="str">
        <f t="shared" si="38"/>
        <v/>
      </c>
      <c r="X103" s="195" t="str">
        <f t="shared" si="31"/>
        <v/>
      </c>
    </row>
    <row r="104" spans="2:24">
      <c r="K104" s="22"/>
      <c r="L104" s="22"/>
      <c r="M104" s="22"/>
      <c r="N104" s="22"/>
      <c r="O104" s="22"/>
    </row>
    <row r="105" spans="2:24">
      <c r="K105" s="22"/>
      <c r="L105" s="22"/>
      <c r="M105" s="22"/>
      <c r="N105" s="22"/>
      <c r="O105" s="22"/>
    </row>
    <row r="106" spans="2:24">
      <c r="K106" s="22"/>
      <c r="L106" s="22"/>
      <c r="M106" s="22"/>
      <c r="N106" s="22"/>
      <c r="O106" s="22"/>
    </row>
    <row r="107" spans="2:24">
      <c r="K107" s="22"/>
      <c r="L107" s="22"/>
      <c r="M107" s="22"/>
      <c r="N107" s="22"/>
      <c r="O107" s="22"/>
    </row>
    <row r="108" spans="2:24">
      <c r="K108" s="22"/>
      <c r="L108" s="22"/>
      <c r="M108" s="22"/>
      <c r="N108" s="22"/>
      <c r="O108" s="22"/>
    </row>
    <row r="109" spans="2:24">
      <c r="K109" s="22"/>
      <c r="L109" s="22"/>
      <c r="M109" s="22"/>
      <c r="N109" s="22"/>
      <c r="O109" s="22"/>
    </row>
    <row r="110" spans="2:24">
      <c r="K110" s="22"/>
      <c r="L110" s="22"/>
      <c r="M110" s="22"/>
      <c r="N110" s="22"/>
      <c r="O110" s="22"/>
    </row>
    <row r="111" spans="2:24">
      <c r="K111" s="22"/>
      <c r="L111" s="22"/>
      <c r="M111" s="22"/>
      <c r="N111" s="22"/>
      <c r="O111" s="22"/>
    </row>
    <row r="112" spans="2:24">
      <c r="K112" s="22"/>
      <c r="L112" s="22"/>
      <c r="M112" s="22"/>
      <c r="N112" s="22"/>
      <c r="O112" s="22"/>
    </row>
    <row r="113" spans="11:15">
      <c r="K113" s="22"/>
      <c r="L113" s="22"/>
      <c r="M113" s="22"/>
      <c r="N113" s="22"/>
      <c r="O113" s="22"/>
    </row>
    <row r="114" spans="11:15">
      <c r="K114" s="22"/>
      <c r="L114" s="22"/>
      <c r="M114" s="22"/>
      <c r="N114" s="22"/>
      <c r="O114" s="22"/>
    </row>
    <row r="115" spans="11:15">
      <c r="K115" s="22"/>
      <c r="L115" s="22"/>
      <c r="M115" s="22"/>
      <c r="N115" s="22"/>
      <c r="O115" s="22"/>
    </row>
    <row r="116" spans="11:15">
      <c r="K116" s="22"/>
      <c r="L116" s="22"/>
      <c r="M116" s="22"/>
      <c r="N116" s="22"/>
      <c r="O116" s="22"/>
    </row>
    <row r="117" spans="11:15">
      <c r="K117" s="22"/>
      <c r="L117" s="22"/>
      <c r="M117" s="22"/>
      <c r="N117" s="22"/>
      <c r="O117" s="22"/>
    </row>
    <row r="118" spans="11:15">
      <c r="K118" s="22"/>
      <c r="L118" s="22"/>
      <c r="M118" s="22"/>
      <c r="N118" s="22"/>
      <c r="O118" s="22"/>
    </row>
    <row r="119" spans="11:15">
      <c r="K119" s="22"/>
      <c r="L119" s="22"/>
      <c r="M119" s="22"/>
      <c r="N119" s="22"/>
      <c r="O119" s="22"/>
    </row>
    <row r="120" spans="11:15">
      <c r="K120" s="22"/>
      <c r="L120" s="22"/>
      <c r="M120" s="22"/>
      <c r="N120" s="22"/>
      <c r="O120" s="22"/>
    </row>
    <row r="121" spans="11:15">
      <c r="K121" s="22"/>
      <c r="L121" s="22"/>
      <c r="M121" s="22"/>
      <c r="N121" s="22"/>
      <c r="O121" s="22"/>
    </row>
    <row r="122" spans="11:15">
      <c r="K122" s="22"/>
      <c r="L122" s="22"/>
      <c r="M122" s="22"/>
      <c r="N122" s="22"/>
      <c r="O122" s="22"/>
    </row>
    <row r="123" spans="11:15">
      <c r="K123" s="22"/>
      <c r="L123" s="22"/>
      <c r="M123" s="22"/>
      <c r="N123" s="22"/>
      <c r="O123" s="22"/>
    </row>
  </sheetData>
  <dataConsolidate function="varp"/>
  <mergeCells count="21">
    <mergeCell ref="F6:G6"/>
    <mergeCell ref="F7:G7"/>
    <mergeCell ref="C4:D4"/>
    <mergeCell ref="C5:D5"/>
    <mergeCell ref="F3:G3"/>
    <mergeCell ref="F4:G4"/>
    <mergeCell ref="F5:G5"/>
    <mergeCell ref="K2:L2"/>
    <mergeCell ref="E1:O1"/>
    <mergeCell ref="C1:D1"/>
    <mergeCell ref="E2:F2"/>
    <mergeCell ref="M3:N3"/>
    <mergeCell ref="C2:D2"/>
    <mergeCell ref="C3:D3"/>
    <mergeCell ref="P8:T9"/>
    <mergeCell ref="K8:O9"/>
    <mergeCell ref="E8:I8"/>
    <mergeCell ref="B8:B10"/>
    <mergeCell ref="C8:C10"/>
    <mergeCell ref="D8:D10"/>
    <mergeCell ref="E9:I9"/>
  </mergeCells>
  <phoneticPr fontId="0" type="noConversion"/>
  <conditionalFormatting sqref="D79:J103 F49:J103 D49:D103 F11:G33 I11:J33 F34:F38 H34:J38 F39:G45 I39:J45 F46:F48 H46:J48">
    <cfRule type="cellIs" dxfId="28" priority="16" stopIfTrue="1" operator="equal">
      <formula>0</formula>
    </cfRule>
  </conditionalFormatting>
  <conditionalFormatting sqref="G18:G33">
    <cfRule type="cellIs" dxfId="27" priority="14" stopIfTrue="1" operator="equal">
      <formula>0</formula>
    </cfRule>
  </conditionalFormatting>
  <conditionalFormatting sqref="F30:F35">
    <cfRule type="cellIs" dxfId="26" priority="13" stopIfTrue="1" operator="equal">
      <formula>0</formula>
    </cfRule>
  </conditionalFormatting>
  <conditionalFormatting sqref="E12:E103">
    <cfRule type="cellIs" dxfId="25" priority="11" stopIfTrue="1" operator="equal">
      <formula>0</formula>
    </cfRule>
  </conditionalFormatting>
  <conditionalFormatting sqref="F29">
    <cfRule type="cellIs" dxfId="24" priority="10" stopIfTrue="1" operator="equal">
      <formula>0</formula>
    </cfRule>
  </conditionalFormatting>
  <conditionalFormatting sqref="G16:G17">
    <cfRule type="cellIs" dxfId="23" priority="9" stopIfTrue="1" operator="equal">
      <formula>0</formula>
    </cfRule>
  </conditionalFormatting>
  <conditionalFormatting sqref="E49:I103 E11:G33 I11:I33 E34:F38 H34:I38 E39:G45 I39:I45 E46:F48 H46:I48">
    <cfRule type="cellIs" dxfId="22" priority="7" stopIfTrue="1" operator="equal">
      <formula>0</formula>
    </cfRule>
  </conditionalFormatting>
  <conditionalFormatting sqref="D11:D48">
    <cfRule type="cellIs" dxfId="21" priority="6" stopIfTrue="1" operator="equal">
      <formula>0</formula>
    </cfRule>
  </conditionalFormatting>
  <conditionalFormatting sqref="H11:H15 H18:H33">
    <cfRule type="cellIs" dxfId="20" priority="5" stopIfTrue="1" operator="equal">
      <formula>0</formula>
    </cfRule>
  </conditionalFormatting>
  <conditionalFormatting sqref="H16:H17">
    <cfRule type="cellIs" dxfId="19" priority="4" stopIfTrue="1" operator="equal">
      <formula>0</formula>
    </cfRule>
  </conditionalFormatting>
  <conditionalFormatting sqref="G34:G38">
    <cfRule type="cellIs" dxfId="18" priority="3" stopIfTrue="1" operator="equal">
      <formula>0</formula>
    </cfRule>
  </conditionalFormatting>
  <conditionalFormatting sqref="E11:I103">
    <cfRule type="cellIs" dxfId="17" priority="2" stopIfTrue="1" operator="equal">
      <formula>0</formula>
    </cfRule>
  </conditionalFormatting>
  <conditionalFormatting sqref="G46:G48">
    <cfRule type="cellIs" dxfId="16" priority="1" stopIfTrue="1" operator="equal">
      <formula>0</formula>
    </cfRule>
  </conditionalFormatting>
  <dataValidations count="2">
    <dataValidation showInputMessage="1" showErrorMessage="1" sqref="D11:D103"/>
    <dataValidation type="list" allowBlank="1" showInputMessage="1" showErrorMessage="1" sqref="J11:J103">
      <formula1>MarginPct</formula1>
    </dataValidation>
  </dataValidations>
  <printOptions gridLines="1"/>
  <pageMargins left="0.75" right="0.5" top="0.5" bottom="0.75" header="0.5" footer="0.5"/>
  <pageSetup scale="73" fitToHeight="0" orientation="landscape" r:id="rId1"/>
  <headerFooter alignWithMargins="0">
    <oddFooter>&amp;L&amp;D&amp;C&amp;P of &amp;N&amp;R&amp;F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B1:J43"/>
  <sheetViews>
    <sheetView topLeftCell="A23" workbookViewId="0">
      <selection activeCell="H14" sqref="H14"/>
    </sheetView>
  </sheetViews>
  <sheetFormatPr defaultRowHeight="12.75"/>
  <cols>
    <col min="1" max="1" width="2" customWidth="1"/>
    <col min="2" max="2" width="15.85546875" customWidth="1"/>
    <col min="3" max="3" width="18.28515625" bestFit="1" customWidth="1"/>
    <col min="4" max="4" width="18.140625" customWidth="1"/>
    <col min="5" max="5" width="19.5703125" customWidth="1"/>
    <col min="6" max="6" width="13.140625" customWidth="1"/>
    <col min="7" max="7" width="16.85546875" customWidth="1"/>
    <col min="8" max="8" width="17.28515625" customWidth="1"/>
    <col min="9" max="9" width="18.5703125" customWidth="1"/>
    <col min="10" max="10" width="17.42578125" customWidth="1"/>
  </cols>
  <sheetData>
    <row r="1" spans="2:10" ht="23.25" customHeight="1">
      <c r="B1" s="310" t="s">
        <v>55</v>
      </c>
      <c r="C1" s="311"/>
      <c r="D1" s="311"/>
      <c r="E1" s="311"/>
      <c r="F1" s="311"/>
      <c r="G1" s="311"/>
      <c r="H1" s="312"/>
    </row>
    <row r="2" spans="2:10" ht="17.25" customHeight="1">
      <c r="B2" s="111" t="s">
        <v>30</v>
      </c>
      <c r="C2" s="85" t="s">
        <v>31</v>
      </c>
      <c r="D2" s="85" t="s">
        <v>32</v>
      </c>
      <c r="E2" s="85" t="s">
        <v>33</v>
      </c>
      <c r="F2" s="85" t="s">
        <v>35</v>
      </c>
      <c r="G2" s="322" t="s">
        <v>56</v>
      </c>
      <c r="H2" s="323"/>
    </row>
    <row r="3" spans="2:10" ht="17.25" customHeight="1">
      <c r="B3" s="148" t="str">
        <f>IF('TASK LIST SC'!D2="","",'TASK LIST SC'!D2)</f>
        <v/>
      </c>
      <c r="C3" s="149" t="str">
        <f>'TASK LIST SC'!D3</f>
        <v/>
      </c>
      <c r="D3" s="149" t="str">
        <f>'TASK LIST SC'!F2</f>
        <v/>
      </c>
      <c r="E3" s="149" t="str">
        <f>'TASK LIST SC'!F3</f>
        <v/>
      </c>
      <c r="F3" s="150" t="str">
        <f>'TASK LIST SC'!I3</f>
        <v/>
      </c>
      <c r="G3" s="320" t="str">
        <f>'TASK LIST SC'!J2</f>
        <v/>
      </c>
      <c r="H3" s="321"/>
    </row>
    <row r="4" spans="2:10" ht="33" customHeight="1">
      <c r="B4" s="226" t="s">
        <v>58</v>
      </c>
      <c r="C4" s="226"/>
      <c r="D4" s="226"/>
      <c r="E4" s="226"/>
      <c r="G4" s="226" t="s">
        <v>79</v>
      </c>
      <c r="H4" s="226"/>
    </row>
    <row r="5" spans="2:10" ht="17.25" customHeight="1">
      <c r="C5" s="8" t="s">
        <v>22</v>
      </c>
      <c r="D5" s="8" t="s">
        <v>77</v>
      </c>
      <c r="E5" s="133" t="s">
        <v>97</v>
      </c>
      <c r="G5" s="85" t="s">
        <v>59</v>
      </c>
      <c r="H5" s="85" t="s">
        <v>77</v>
      </c>
    </row>
    <row r="6" spans="2:10" ht="17.25" customHeight="1">
      <c r="B6" s="62" t="s">
        <v>74</v>
      </c>
      <c r="C6" s="151">
        <f>'HRS DIST #1 SC'!C85</f>
        <v>0</v>
      </c>
      <c r="D6" s="156">
        <f>'HRS DIST #1 SC'!D85</f>
        <v>0</v>
      </c>
      <c r="E6" s="157" t="str">
        <f>IFERROR(D6/C6,"")</f>
        <v/>
      </c>
      <c r="G6" s="86" t="str">
        <f>'PARTS LIST SC'!E10</f>
        <v>CAT</v>
      </c>
      <c r="H6" s="155">
        <f>'PARTS LIST SC'!L3</f>
        <v>845.05178571428587</v>
      </c>
    </row>
    <row r="7" spans="2:10" ht="17.25" customHeight="1">
      <c r="B7" s="62" t="s">
        <v>19</v>
      </c>
      <c r="C7" s="85"/>
      <c r="D7" s="155">
        <f>'HRS DIST #1 SC'!D86</f>
        <v>0</v>
      </c>
      <c r="G7" s="62" t="str">
        <f>'PARTS LIST SC'!K4</f>
        <v>IPD</v>
      </c>
      <c r="H7" s="155">
        <f>'PARTS LIST SC'!L4</f>
        <v>0</v>
      </c>
    </row>
    <row r="8" spans="2:10" ht="17.25" customHeight="1">
      <c r="B8" s="62" t="s">
        <v>75</v>
      </c>
      <c r="C8" s="149">
        <f>'HRS DIST #1 SC'!C87</f>
        <v>0</v>
      </c>
      <c r="D8" s="155">
        <f>'HRS DIST #1 SC'!D87</f>
        <v>0</v>
      </c>
      <c r="G8" s="62" t="str">
        <f>'PARTS LIST SC'!K5</f>
        <v>MATA</v>
      </c>
      <c r="H8" s="155">
        <f>'PARTS LIST SC'!L5</f>
        <v>4230.243928571429</v>
      </c>
    </row>
    <row r="9" spans="2:10" ht="17.25" customHeight="1">
      <c r="B9" s="62" t="s">
        <v>23</v>
      </c>
      <c r="C9" s="85"/>
      <c r="D9" s="155">
        <f>'HRS DIST #1 SC'!D88</f>
        <v>0</v>
      </c>
      <c r="G9" s="62" t="str">
        <f>'PARTS LIST SC'!K6</f>
        <v>Mcclung</v>
      </c>
      <c r="H9" s="155">
        <f>'PARTS LIST SC'!L6</f>
        <v>15394.771603641457</v>
      </c>
    </row>
    <row r="10" spans="2:10" ht="17.25" customHeight="1" thickBot="1">
      <c r="B10" s="131" t="s">
        <v>57</v>
      </c>
      <c r="C10" s="132"/>
      <c r="D10" s="154">
        <f>'HRS DIST #1 SC'!D89</f>
        <v>0</v>
      </c>
      <c r="G10" s="131" t="str">
        <f>'PARTS LIST SC'!K7</f>
        <v>ISC</v>
      </c>
      <c r="H10" s="154">
        <f>'PARTS LIST SC'!L7</f>
        <v>0</v>
      </c>
    </row>
    <row r="11" spans="2:10" ht="17.25" customHeight="1" thickTop="1">
      <c r="B11" s="130" t="s">
        <v>61</v>
      </c>
      <c r="C11" s="152">
        <f>SUM(C6:C10)</f>
        <v>0</v>
      </c>
      <c r="D11" s="153">
        <f>SUM(D6:D10)</f>
        <v>0</v>
      </c>
      <c r="G11" s="134" t="s">
        <v>62</v>
      </c>
      <c r="H11" s="158">
        <f>SUM(H6:H10)</f>
        <v>20470.067317927173</v>
      </c>
      <c r="J11" s="25"/>
    </row>
    <row r="12" spans="2:10" ht="17.25" customHeight="1">
      <c r="B12" s="17"/>
      <c r="C12" s="18"/>
      <c r="D12" s="19"/>
      <c r="F12" s="325" t="s">
        <v>90</v>
      </c>
      <c r="G12" s="325"/>
      <c r="H12" s="159">
        <v>3</v>
      </c>
      <c r="I12" t="s">
        <v>87</v>
      </c>
    </row>
    <row r="13" spans="2:10" ht="17.25" customHeight="1">
      <c r="B13" s="324" t="str">
        <f>'HRS DIST #1 SC'!E86</f>
        <v>Field/Shop Misc. Supplies (%)</v>
      </c>
      <c r="C13" s="324"/>
      <c r="D13" s="160">
        <f>'HRS DIST #1 SC'!H86</f>
        <v>3</v>
      </c>
      <c r="F13" s="325" t="s">
        <v>69</v>
      </c>
      <c r="G13" s="325"/>
      <c r="H13" s="160">
        <v>0.5</v>
      </c>
      <c r="I13" t="s">
        <v>87</v>
      </c>
    </row>
    <row r="14" spans="2:10" ht="17.25" customHeight="1" thickBot="1">
      <c r="B14" s="324" t="str">
        <f>'HRS DIST #1 SC'!E87</f>
        <v>Environmental Fee (%)</v>
      </c>
      <c r="C14" s="324"/>
      <c r="D14" s="160">
        <f>'HRS DIST #1 SC'!H87</f>
        <v>0.5</v>
      </c>
      <c r="F14" s="326" t="s">
        <v>60</v>
      </c>
      <c r="G14" s="326"/>
      <c r="H14" s="161">
        <v>2</v>
      </c>
      <c r="I14" t="s">
        <v>88</v>
      </c>
    </row>
    <row r="15" spans="2:10" ht="17.25" customHeight="1" thickTop="1" thickBot="1">
      <c r="B15" s="318" t="str">
        <f>'HRS DIST #1 SC'!E88</f>
        <v>Labor Contingency (%)</v>
      </c>
      <c r="C15" s="318"/>
      <c r="D15" s="163">
        <f>'HRS DIST #1 SC'!H88</f>
        <v>2</v>
      </c>
      <c r="E15" t="s">
        <v>86</v>
      </c>
      <c r="F15" s="327" t="s">
        <v>89</v>
      </c>
      <c r="G15" s="327"/>
      <c r="H15" s="162">
        <f>SUM(H12:H14)</f>
        <v>5.5</v>
      </c>
    </row>
    <row r="16" spans="2:10" ht="17.25" customHeight="1" thickTop="1">
      <c r="B16" s="329" t="str">
        <f>'HRS DIST #1 SC'!E89</f>
        <v>Total Labor Contingency &amp; Fees</v>
      </c>
      <c r="C16" s="330"/>
      <c r="D16" s="164">
        <f>'HRS DIST #1 SC'!H89</f>
        <v>0</v>
      </c>
      <c r="F16" s="328" t="s">
        <v>93</v>
      </c>
      <c r="G16" s="328"/>
      <c r="H16" s="164">
        <f>H11*(H15/100)</f>
        <v>1125.8537024859945</v>
      </c>
      <c r="I16" t="s">
        <v>86</v>
      </c>
    </row>
    <row r="17" spans="2:10" ht="17.25" customHeight="1"/>
    <row r="18" spans="2:10" ht="35.25" customHeight="1">
      <c r="B18" s="316" t="s">
        <v>71</v>
      </c>
      <c r="C18" s="317"/>
      <c r="D18" s="165">
        <f>D11+D16</f>
        <v>0</v>
      </c>
      <c r="E18" s="16"/>
      <c r="F18" s="316" t="s">
        <v>63</v>
      </c>
      <c r="G18" s="317"/>
      <c r="H18" s="166">
        <f>H11+H16</f>
        <v>21595.921020413167</v>
      </c>
    </row>
    <row r="19" spans="2:10" ht="17.25" customHeight="1"/>
    <row r="20" spans="2:10" ht="24" customHeight="1">
      <c r="B20" s="313" t="s">
        <v>78</v>
      </c>
      <c r="C20" s="314"/>
      <c r="D20" s="314"/>
      <c r="E20" s="165">
        <f>D18+H18</f>
        <v>21595.921020413167</v>
      </c>
      <c r="F20" s="319" t="s">
        <v>84</v>
      </c>
      <c r="G20" s="227"/>
      <c r="H20" s="227"/>
    </row>
    <row r="21" spans="2:10" ht="17.25" customHeight="1">
      <c r="C21" s="62" t="s">
        <v>95</v>
      </c>
      <c r="D21" s="135">
        <v>0</v>
      </c>
      <c r="E21" s="157">
        <f>E20*D21</f>
        <v>0</v>
      </c>
      <c r="F21" s="137" t="s">
        <v>83</v>
      </c>
      <c r="G21" s="315" t="s">
        <v>85</v>
      </c>
      <c r="H21" s="315"/>
    </row>
    <row r="22" spans="2:10" ht="17.25" customHeight="1" thickBot="1">
      <c r="C22" s="21"/>
      <c r="D22" s="21"/>
      <c r="E22" s="136"/>
      <c r="F22" s="138">
        <v>0</v>
      </c>
      <c r="G22" s="334">
        <f>(E20*F22)+E20</f>
        <v>21595.921020413167</v>
      </c>
      <c r="H22" s="334"/>
    </row>
    <row r="23" spans="2:10" ht="17.25" customHeight="1" thickTop="1">
      <c r="D23" s="31" t="s">
        <v>96</v>
      </c>
      <c r="E23" s="153">
        <f>SUM(E20:E22)</f>
        <v>21595.921020413167</v>
      </c>
      <c r="F23" s="20"/>
      <c r="G23" s="296"/>
      <c r="H23" s="296"/>
    </row>
    <row r="24" spans="2:10" ht="17.25" customHeight="1">
      <c r="B24" s="139" t="s">
        <v>65</v>
      </c>
      <c r="F24" s="20"/>
      <c r="G24" s="296"/>
      <c r="H24" s="296"/>
    </row>
    <row r="25" spans="2:10" ht="17.25" customHeight="1">
      <c r="B25" s="295"/>
      <c r="C25" s="295"/>
      <c r="D25" s="295"/>
      <c r="E25" s="295"/>
      <c r="F25" s="23"/>
      <c r="G25" s="296"/>
      <c r="H25" s="296"/>
    </row>
    <row r="26" spans="2:10" ht="17.25" customHeight="1">
      <c r="B26" s="295"/>
      <c r="C26" s="295"/>
      <c r="D26" s="295"/>
      <c r="E26" s="295"/>
      <c r="F26" s="23"/>
      <c r="G26" s="297"/>
      <c r="H26" s="297"/>
      <c r="I26" s="38"/>
      <c r="J26" s="38"/>
    </row>
    <row r="27" spans="2:10" ht="17.25" customHeight="1">
      <c r="C27" s="294" t="s">
        <v>113</v>
      </c>
      <c r="D27" s="294"/>
      <c r="E27" s="294"/>
      <c r="G27" s="335"/>
      <c r="H27" s="335"/>
      <c r="I27" s="335"/>
      <c r="J27" s="335"/>
    </row>
    <row r="28" spans="2:10" ht="17.25" customHeight="1">
      <c r="C28" s="333" t="s">
        <v>180</v>
      </c>
      <c r="D28" s="333"/>
      <c r="E28" s="167">
        <f>SUM(C11*60)</f>
        <v>0</v>
      </c>
      <c r="F28" s="1"/>
      <c r="G28" s="39"/>
      <c r="H28" s="39"/>
      <c r="I28" s="39"/>
      <c r="J28" s="39"/>
    </row>
    <row r="29" spans="2:10" ht="17.25" customHeight="1" thickBot="1">
      <c r="C29" s="326" t="s">
        <v>100</v>
      </c>
      <c r="D29" s="326"/>
      <c r="E29" s="168">
        <f>D6</f>
        <v>0</v>
      </c>
      <c r="F29" s="38"/>
      <c r="G29" s="39"/>
      <c r="H29" s="39"/>
      <c r="I29" s="40"/>
      <c r="J29" s="40"/>
    </row>
    <row r="30" spans="2:10" ht="15.75" thickTop="1">
      <c r="C30" s="331" t="s">
        <v>101</v>
      </c>
      <c r="D30" s="331"/>
      <c r="E30" s="145">
        <f>SUM(E29-E28)</f>
        <v>0</v>
      </c>
      <c r="F30" s="38"/>
      <c r="G30" s="41"/>
      <c r="H30" s="41"/>
      <c r="I30" s="42"/>
      <c r="J30" s="42"/>
    </row>
    <row r="31" spans="2:10" ht="15">
      <c r="C31" s="332" t="s">
        <v>111</v>
      </c>
      <c r="D31" s="332"/>
      <c r="E31" s="146" t="str">
        <f>IFERROR((E29-E28)/E29,"")</f>
        <v/>
      </c>
      <c r="F31" s="38"/>
      <c r="G31" s="38"/>
      <c r="H31" s="41"/>
      <c r="I31" s="43"/>
      <c r="J31" s="42"/>
    </row>
    <row r="32" spans="2:10">
      <c r="C32" s="298" t="s">
        <v>102</v>
      </c>
      <c r="D32" s="299"/>
      <c r="E32" s="167">
        <f>'PARTS LIST SC'!G2</f>
        <v>16409.93</v>
      </c>
      <c r="F32" s="38"/>
      <c r="G32" s="38"/>
      <c r="H32" s="38"/>
      <c r="I32" s="43"/>
      <c r="J32" s="43"/>
    </row>
    <row r="33" spans="3:10" ht="21" thickBot="1">
      <c r="C33" s="300" t="s">
        <v>120</v>
      </c>
      <c r="D33" s="301"/>
      <c r="E33" s="168">
        <f>'PARTS LIST SC'!M2</f>
        <v>20470.067317927173</v>
      </c>
      <c r="F33" s="38"/>
      <c r="G33" s="44"/>
      <c r="H33" s="45"/>
      <c r="I33" s="46"/>
      <c r="J33" s="47"/>
    </row>
    <row r="34" spans="3:10" ht="15.75" thickTop="1">
      <c r="C34" s="302" t="s">
        <v>103</v>
      </c>
      <c r="D34" s="303"/>
      <c r="E34" s="142">
        <f>SUM(E33-E32)</f>
        <v>4060.1373179271723</v>
      </c>
      <c r="F34" s="1"/>
      <c r="G34" s="38"/>
      <c r="H34" s="38"/>
      <c r="I34" s="38"/>
      <c r="J34" s="38"/>
    </row>
    <row r="35" spans="3:10" ht="15.75" thickBot="1">
      <c r="C35" s="304" t="s">
        <v>112</v>
      </c>
      <c r="D35" s="305"/>
      <c r="E35" s="144">
        <f>IFERROR((E33-E32)/E33,"")</f>
        <v>0.1983450887028303</v>
      </c>
      <c r="F35" s="1"/>
      <c r="G35" s="38"/>
      <c r="H35" s="39"/>
      <c r="I35" s="39"/>
      <c r="J35" s="38"/>
    </row>
    <row r="36" spans="3:10" ht="15.75" thickTop="1">
      <c r="C36" s="302" t="s">
        <v>105</v>
      </c>
      <c r="D36" s="303"/>
      <c r="E36" s="143">
        <f>SUM(E30,E34)</f>
        <v>4060.1373179271723</v>
      </c>
      <c r="G36" s="38"/>
      <c r="H36" s="40"/>
      <c r="I36" s="40"/>
      <c r="J36" s="38"/>
    </row>
    <row r="37" spans="3:10">
      <c r="C37" s="306" t="s">
        <v>106</v>
      </c>
      <c r="D37" s="307"/>
      <c r="E37" s="157">
        <f>D18</f>
        <v>0</v>
      </c>
      <c r="G37" s="38"/>
      <c r="H37" s="42"/>
      <c r="I37" s="42"/>
      <c r="J37" s="38"/>
    </row>
    <row r="38" spans="3:10">
      <c r="C38" s="306" t="s">
        <v>107</v>
      </c>
      <c r="D38" s="307"/>
      <c r="E38" s="157">
        <f>H18</f>
        <v>21595.921020413167</v>
      </c>
      <c r="G38" s="38"/>
      <c r="H38" s="43"/>
      <c r="I38" s="42"/>
      <c r="J38" s="38"/>
    </row>
    <row r="39" spans="3:10">
      <c r="C39" s="306" t="s">
        <v>108</v>
      </c>
      <c r="D39" s="307"/>
      <c r="E39" s="157">
        <f>SUM(E37:E38)</f>
        <v>21595.921020413167</v>
      </c>
      <c r="G39" s="38"/>
      <c r="H39" s="43"/>
      <c r="I39" s="43"/>
      <c r="J39" s="38"/>
    </row>
    <row r="40" spans="3:10" ht="20.25">
      <c r="C40" s="306" t="s">
        <v>114</v>
      </c>
      <c r="D40" s="307"/>
      <c r="E40" s="157">
        <f>SUM(E28,E32,D7,D8)</f>
        <v>16409.93</v>
      </c>
      <c r="G40" s="38"/>
      <c r="I40" s="47"/>
      <c r="J40" s="38"/>
    </row>
    <row r="41" spans="3:10">
      <c r="C41" s="306" t="s">
        <v>109</v>
      </c>
      <c r="D41" s="307"/>
      <c r="E41" s="157">
        <f>E23</f>
        <v>21595.921020413167</v>
      </c>
      <c r="G41" s="38"/>
      <c r="H41" s="38"/>
      <c r="I41" s="38"/>
      <c r="J41" s="38"/>
    </row>
    <row r="42" spans="3:10" ht="18">
      <c r="C42" s="308" t="s">
        <v>110</v>
      </c>
      <c r="D42" s="309"/>
      <c r="E42" s="140">
        <f>IFERROR((E39-E40)/E39,"")</f>
        <v>0.24013752483680595</v>
      </c>
      <c r="G42" s="38"/>
      <c r="H42" s="38"/>
      <c r="I42" s="38"/>
      <c r="J42" s="38"/>
    </row>
    <row r="43" spans="3:10" ht="20.25">
      <c r="C43" s="292" t="s">
        <v>186</v>
      </c>
      <c r="D43" s="293"/>
      <c r="E43" s="141">
        <f>IFERROR(E42+F22,"")</f>
        <v>0.24013752483680595</v>
      </c>
      <c r="G43" s="38"/>
      <c r="H43" s="38"/>
      <c r="I43" s="38"/>
      <c r="J43" s="38"/>
    </row>
  </sheetData>
  <mergeCells count="43">
    <mergeCell ref="F15:G15"/>
    <mergeCell ref="F16:G16"/>
    <mergeCell ref="B16:C16"/>
    <mergeCell ref="C30:D30"/>
    <mergeCell ref="C31:D31"/>
    <mergeCell ref="C28:D28"/>
    <mergeCell ref="C29:D29"/>
    <mergeCell ref="G22:H22"/>
    <mergeCell ref="G23:H23"/>
    <mergeCell ref="G24:H24"/>
    <mergeCell ref="G27:J27"/>
    <mergeCell ref="B1:H1"/>
    <mergeCell ref="B20:D20"/>
    <mergeCell ref="G21:H21"/>
    <mergeCell ref="B18:C18"/>
    <mergeCell ref="G4:H4"/>
    <mergeCell ref="B15:C15"/>
    <mergeCell ref="F18:G18"/>
    <mergeCell ref="F20:H20"/>
    <mergeCell ref="G3:H3"/>
    <mergeCell ref="G2:H2"/>
    <mergeCell ref="B4:E4"/>
    <mergeCell ref="B14:C14"/>
    <mergeCell ref="B13:C13"/>
    <mergeCell ref="F12:G12"/>
    <mergeCell ref="F13:G13"/>
    <mergeCell ref="F14:G14"/>
    <mergeCell ref="C43:D43"/>
    <mergeCell ref="C27:E27"/>
    <mergeCell ref="B25:E26"/>
    <mergeCell ref="G25:H25"/>
    <mergeCell ref="G26:H26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</mergeCells>
  <phoneticPr fontId="0" type="noConversion"/>
  <conditionalFormatting sqref="J11 H12 H14:H15">
    <cfRule type="cellIs" dxfId="15" priority="1" stopIfTrue="1" operator="equal">
      <formula>0</formula>
    </cfRule>
  </conditionalFormatting>
  <conditionalFormatting sqref="H6:H10">
    <cfRule type="cellIs" dxfId="14" priority="2" stopIfTrue="1" operator="notEqual">
      <formula>0</formula>
    </cfRule>
  </conditionalFormatting>
  <dataValidations count="1">
    <dataValidation type="decimal" allowBlank="1" showInputMessage="1" showErrorMessage="1" errorTitle="WRONG ENTRY!" error="ONLY NUMBERS BETWEEN 1 AND 25!_x000a_          OR JUST LEAVE IT BLANK" sqref="J11 H12 H14:H15">
      <formula1>1</formula1>
      <formula2>25</formula2>
    </dataValidation>
  </dataValidations>
  <pageMargins left="0.75" right="0.5" top="0.5" bottom="0.5" header="0.5" footer="0.5"/>
  <pageSetup orientation="landscape" r:id="rId1"/>
  <headerFooter alignWithMargins="0">
    <oddFooter>&amp;L&amp;D&amp;C&amp;P of &amp;N&amp;R&amp;F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M109"/>
  <sheetViews>
    <sheetView workbookViewId="0">
      <selection activeCell="R19" sqref="R19"/>
    </sheetView>
  </sheetViews>
  <sheetFormatPr defaultRowHeight="12.75"/>
  <cols>
    <col min="1" max="1" width="2.85546875" customWidth="1"/>
    <col min="2" max="2" width="10.5703125" customWidth="1"/>
    <col min="3" max="13" width="9.140625" style="49"/>
  </cols>
  <sheetData>
    <row r="1" spans="2:13">
      <c r="B1" s="337" t="s">
        <v>123</v>
      </c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</row>
    <row r="2" spans="2:13"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</row>
    <row r="3" spans="2:13"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</row>
    <row r="4" spans="2:13">
      <c r="B4" s="147" t="s">
        <v>124</v>
      </c>
      <c r="C4" s="336"/>
      <c r="D4" s="336"/>
      <c r="E4" s="336"/>
      <c r="F4" s="336"/>
      <c r="G4" s="336"/>
      <c r="H4" s="336"/>
      <c r="I4" s="336"/>
      <c r="J4" s="336"/>
      <c r="K4" s="336"/>
      <c r="L4" s="336"/>
      <c r="M4" s="336"/>
    </row>
    <row r="5" spans="2:13">
      <c r="B5" s="62">
        <v>1</v>
      </c>
      <c r="C5" s="228" t="s">
        <v>353</v>
      </c>
      <c r="D5" s="336"/>
      <c r="E5" s="336"/>
      <c r="F5" s="336"/>
      <c r="G5" s="336"/>
      <c r="H5" s="336"/>
      <c r="I5" s="336"/>
      <c r="J5" s="336"/>
      <c r="K5" s="336"/>
      <c r="L5" s="336"/>
      <c r="M5" s="336"/>
    </row>
    <row r="6" spans="2:13">
      <c r="B6" s="62">
        <v>2</v>
      </c>
      <c r="C6" s="228" t="s">
        <v>354</v>
      </c>
      <c r="D6" s="336"/>
      <c r="E6" s="336"/>
      <c r="F6" s="336"/>
      <c r="G6" s="336"/>
      <c r="H6" s="336"/>
      <c r="I6" s="336"/>
      <c r="J6" s="336"/>
      <c r="K6" s="336"/>
      <c r="L6" s="336"/>
      <c r="M6" s="336"/>
    </row>
    <row r="7" spans="2:13">
      <c r="B7" s="62">
        <v>3</v>
      </c>
      <c r="C7" s="228" t="s">
        <v>355</v>
      </c>
      <c r="D7" s="336"/>
      <c r="E7" s="336"/>
      <c r="F7" s="336"/>
      <c r="G7" s="336"/>
      <c r="H7" s="336"/>
      <c r="I7" s="336"/>
      <c r="J7" s="336"/>
      <c r="K7" s="336"/>
      <c r="L7" s="336"/>
      <c r="M7" s="336"/>
    </row>
    <row r="8" spans="2:13">
      <c r="B8" s="62">
        <v>4</v>
      </c>
      <c r="C8" s="228" t="s">
        <v>356</v>
      </c>
      <c r="D8" s="336"/>
      <c r="E8" s="336"/>
      <c r="F8" s="336"/>
      <c r="G8" s="336"/>
      <c r="H8" s="336"/>
      <c r="I8" s="336"/>
      <c r="J8" s="336"/>
      <c r="K8" s="336"/>
      <c r="L8" s="336"/>
      <c r="M8" s="336"/>
    </row>
    <row r="9" spans="2:13">
      <c r="B9" s="62">
        <v>5</v>
      </c>
      <c r="C9" s="228" t="s">
        <v>357</v>
      </c>
      <c r="D9" s="336"/>
      <c r="E9" s="336"/>
      <c r="F9" s="336"/>
      <c r="G9" s="336"/>
      <c r="H9" s="336"/>
      <c r="I9" s="336"/>
      <c r="J9" s="336"/>
      <c r="K9" s="336"/>
      <c r="L9" s="336"/>
      <c r="M9" s="336"/>
    </row>
    <row r="10" spans="2:13">
      <c r="B10" s="62"/>
      <c r="C10" s="336"/>
      <c r="D10" s="336"/>
      <c r="E10" s="336"/>
      <c r="F10" s="336"/>
      <c r="G10" s="336"/>
      <c r="H10" s="336"/>
      <c r="I10" s="336"/>
      <c r="J10" s="336"/>
      <c r="K10" s="336"/>
      <c r="L10" s="336"/>
      <c r="M10" s="336"/>
    </row>
    <row r="11" spans="2:13">
      <c r="B11" s="62"/>
      <c r="C11" s="336"/>
      <c r="D11" s="336"/>
      <c r="E11" s="336"/>
      <c r="F11" s="336"/>
      <c r="G11" s="336"/>
      <c r="H11" s="336"/>
      <c r="I11" s="336"/>
      <c r="J11" s="336"/>
      <c r="K11" s="336"/>
      <c r="L11" s="336"/>
      <c r="M11" s="336"/>
    </row>
    <row r="12" spans="2:13">
      <c r="B12" s="62"/>
      <c r="C12" s="336"/>
      <c r="D12" s="336"/>
      <c r="E12" s="336"/>
      <c r="F12" s="336"/>
      <c r="G12" s="336"/>
      <c r="H12" s="336"/>
      <c r="I12" s="336"/>
      <c r="J12" s="336"/>
      <c r="K12" s="336"/>
      <c r="L12" s="336"/>
      <c r="M12" s="336"/>
    </row>
    <row r="13" spans="2:13">
      <c r="B13" s="62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</row>
    <row r="14" spans="2:13">
      <c r="B14" s="62"/>
      <c r="C14" s="336"/>
      <c r="D14" s="336"/>
      <c r="E14" s="336"/>
      <c r="F14" s="336"/>
      <c r="G14" s="336"/>
      <c r="H14" s="336"/>
      <c r="I14" s="336"/>
      <c r="J14" s="336"/>
      <c r="K14" s="336"/>
      <c r="L14" s="336"/>
      <c r="M14" s="336"/>
    </row>
    <row r="15" spans="2:13">
      <c r="B15" s="62"/>
      <c r="C15" s="336"/>
      <c r="D15" s="336"/>
      <c r="E15" s="336"/>
      <c r="F15" s="336"/>
      <c r="G15" s="336"/>
      <c r="H15" s="336"/>
      <c r="I15" s="336"/>
      <c r="J15" s="336"/>
      <c r="K15" s="336"/>
      <c r="L15" s="336"/>
      <c r="M15" s="336"/>
    </row>
    <row r="16" spans="2:13">
      <c r="B16" s="62"/>
      <c r="C16" s="336"/>
      <c r="D16" s="336"/>
      <c r="E16" s="336"/>
      <c r="F16" s="336"/>
      <c r="G16" s="336"/>
      <c r="H16" s="336"/>
      <c r="I16" s="336"/>
      <c r="J16" s="336"/>
      <c r="K16" s="336"/>
      <c r="L16" s="336"/>
      <c r="M16" s="336"/>
    </row>
    <row r="17" spans="2:13">
      <c r="B17" s="62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6"/>
    </row>
    <row r="18" spans="2:13">
      <c r="B18" s="62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6"/>
    </row>
    <row r="19" spans="2:13">
      <c r="B19" s="62"/>
      <c r="C19" s="336"/>
      <c r="D19" s="336"/>
      <c r="E19" s="336"/>
      <c r="F19" s="336"/>
      <c r="G19" s="336"/>
      <c r="H19" s="336"/>
      <c r="I19" s="336"/>
      <c r="J19" s="336"/>
      <c r="K19" s="336"/>
      <c r="L19" s="336"/>
      <c r="M19" s="336"/>
    </row>
    <row r="20" spans="2:13">
      <c r="B20" s="62"/>
      <c r="C20" s="336"/>
      <c r="D20" s="336"/>
      <c r="E20" s="336"/>
      <c r="F20" s="336"/>
      <c r="G20" s="336"/>
      <c r="H20" s="336"/>
      <c r="I20" s="336"/>
      <c r="J20" s="336"/>
      <c r="K20" s="336"/>
      <c r="L20" s="336"/>
      <c r="M20" s="336"/>
    </row>
    <row r="21" spans="2:13">
      <c r="B21" s="62"/>
      <c r="C21" s="336"/>
      <c r="D21" s="336"/>
      <c r="E21" s="336"/>
      <c r="F21" s="336"/>
      <c r="G21" s="336"/>
      <c r="H21" s="336"/>
      <c r="I21" s="336"/>
      <c r="J21" s="336"/>
      <c r="K21" s="336"/>
      <c r="L21" s="336"/>
      <c r="M21" s="336"/>
    </row>
    <row r="22" spans="2:13">
      <c r="B22" s="62"/>
      <c r="C22" s="336"/>
      <c r="D22" s="336"/>
      <c r="E22" s="336"/>
      <c r="F22" s="336"/>
      <c r="G22" s="336"/>
      <c r="H22" s="336"/>
      <c r="I22" s="336"/>
      <c r="J22" s="336"/>
      <c r="K22" s="336"/>
      <c r="L22" s="336"/>
      <c r="M22" s="336"/>
    </row>
    <row r="23" spans="2:13">
      <c r="B23" s="62"/>
      <c r="C23" s="336"/>
      <c r="D23" s="336"/>
      <c r="E23" s="336"/>
      <c r="F23" s="336"/>
      <c r="G23" s="336"/>
      <c r="H23" s="336"/>
      <c r="I23" s="336"/>
      <c r="J23" s="336"/>
      <c r="K23" s="336"/>
      <c r="L23" s="336"/>
      <c r="M23" s="336"/>
    </row>
    <row r="24" spans="2:13">
      <c r="B24" s="62"/>
      <c r="C24" s="336"/>
      <c r="D24" s="336"/>
      <c r="E24" s="336"/>
      <c r="F24" s="336"/>
      <c r="G24" s="336"/>
      <c r="H24" s="336"/>
      <c r="I24" s="336"/>
      <c r="J24" s="336"/>
      <c r="K24" s="336"/>
      <c r="L24" s="336"/>
      <c r="M24" s="336"/>
    </row>
    <row r="25" spans="2:13">
      <c r="B25" s="62"/>
      <c r="C25" s="336"/>
      <c r="D25" s="336"/>
      <c r="E25" s="336"/>
      <c r="F25" s="336"/>
      <c r="G25" s="336"/>
      <c r="H25" s="336"/>
      <c r="I25" s="336"/>
      <c r="J25" s="336"/>
      <c r="K25" s="336"/>
      <c r="L25" s="336"/>
      <c r="M25" s="336"/>
    </row>
    <row r="26" spans="2:13">
      <c r="B26" s="62"/>
      <c r="C26" s="336"/>
      <c r="D26" s="336"/>
      <c r="E26" s="336"/>
      <c r="F26" s="336"/>
      <c r="G26" s="336"/>
      <c r="H26" s="336"/>
      <c r="I26" s="336"/>
      <c r="J26" s="336"/>
      <c r="K26" s="336"/>
      <c r="L26" s="336"/>
      <c r="M26" s="336"/>
    </row>
    <row r="27" spans="2:13">
      <c r="B27" s="62"/>
      <c r="C27" s="336"/>
      <c r="D27" s="336"/>
      <c r="E27" s="336"/>
      <c r="F27" s="336"/>
      <c r="G27" s="336"/>
      <c r="H27" s="336"/>
      <c r="I27" s="336"/>
      <c r="J27" s="336"/>
      <c r="K27" s="336"/>
      <c r="L27" s="336"/>
      <c r="M27" s="336"/>
    </row>
    <row r="28" spans="2:13">
      <c r="B28" s="62"/>
      <c r="C28" s="336"/>
      <c r="D28" s="336"/>
      <c r="E28" s="336"/>
      <c r="F28" s="336"/>
      <c r="G28" s="336"/>
      <c r="H28" s="336"/>
      <c r="I28" s="336"/>
      <c r="J28" s="336"/>
      <c r="K28" s="336"/>
      <c r="L28" s="336"/>
      <c r="M28" s="336"/>
    </row>
    <row r="29" spans="2:13">
      <c r="B29" s="62"/>
      <c r="C29" s="336"/>
      <c r="D29" s="336"/>
      <c r="E29" s="336"/>
      <c r="F29" s="336"/>
      <c r="G29" s="336"/>
      <c r="H29" s="336"/>
      <c r="I29" s="336"/>
      <c r="J29" s="336"/>
      <c r="K29" s="336"/>
      <c r="L29" s="336"/>
      <c r="M29" s="336"/>
    </row>
    <row r="30" spans="2:13">
      <c r="B30" s="62"/>
      <c r="C30" s="336"/>
      <c r="D30" s="336"/>
      <c r="E30" s="336"/>
      <c r="F30" s="336"/>
      <c r="G30" s="336"/>
      <c r="H30" s="336"/>
      <c r="I30" s="336"/>
      <c r="J30" s="336"/>
      <c r="K30" s="336"/>
      <c r="L30" s="336"/>
      <c r="M30" s="336"/>
    </row>
    <row r="31" spans="2:13">
      <c r="B31" s="62"/>
      <c r="C31" s="336"/>
      <c r="D31" s="336"/>
      <c r="E31" s="336"/>
      <c r="F31" s="336"/>
      <c r="G31" s="336"/>
      <c r="H31" s="336"/>
      <c r="I31" s="336"/>
      <c r="J31" s="336"/>
      <c r="K31" s="336"/>
      <c r="L31" s="336"/>
      <c r="M31" s="336"/>
    </row>
    <row r="32" spans="2:13">
      <c r="B32" s="62"/>
      <c r="C32" s="336"/>
      <c r="D32" s="336"/>
      <c r="E32" s="336"/>
      <c r="F32" s="336"/>
      <c r="G32" s="336"/>
      <c r="H32" s="336"/>
      <c r="I32" s="336"/>
      <c r="J32" s="336"/>
      <c r="K32" s="336"/>
      <c r="L32" s="336"/>
      <c r="M32" s="336"/>
    </row>
    <row r="33" spans="2:13">
      <c r="B33" s="62"/>
      <c r="C33" s="336"/>
      <c r="D33" s="336"/>
      <c r="E33" s="336"/>
      <c r="F33" s="336"/>
      <c r="G33" s="336"/>
      <c r="H33" s="336"/>
      <c r="I33" s="336"/>
      <c r="J33" s="336"/>
      <c r="K33" s="336"/>
      <c r="L33" s="336"/>
      <c r="M33" s="336"/>
    </row>
    <row r="34" spans="2:13">
      <c r="B34" s="62"/>
      <c r="C34" s="336"/>
      <c r="D34" s="336"/>
      <c r="E34" s="336"/>
      <c r="F34" s="336"/>
      <c r="G34" s="336"/>
      <c r="H34" s="336"/>
      <c r="I34" s="336"/>
      <c r="J34" s="336"/>
      <c r="K34" s="336"/>
      <c r="L34" s="336"/>
      <c r="M34" s="336"/>
    </row>
    <row r="35" spans="2:13">
      <c r="B35" s="62"/>
      <c r="C35" s="336"/>
      <c r="D35" s="336"/>
      <c r="E35" s="336"/>
      <c r="F35" s="336"/>
      <c r="G35" s="336"/>
      <c r="H35" s="336"/>
      <c r="I35" s="336"/>
      <c r="J35" s="336"/>
      <c r="K35" s="336"/>
      <c r="L35" s="336"/>
      <c r="M35" s="336"/>
    </row>
    <row r="36" spans="2:13">
      <c r="B36" s="62"/>
      <c r="C36" s="336"/>
      <c r="D36" s="336"/>
      <c r="E36" s="336"/>
      <c r="F36" s="336"/>
      <c r="G36" s="336"/>
      <c r="H36" s="336"/>
      <c r="I36" s="336"/>
      <c r="J36" s="336"/>
      <c r="K36" s="336"/>
      <c r="L36" s="336"/>
      <c r="M36" s="336"/>
    </row>
    <row r="37" spans="2:13">
      <c r="B37" s="62"/>
      <c r="C37" s="336"/>
      <c r="D37" s="336"/>
      <c r="E37" s="336"/>
      <c r="F37" s="336"/>
      <c r="G37" s="336"/>
      <c r="H37" s="336"/>
      <c r="I37" s="336"/>
      <c r="J37" s="336"/>
      <c r="K37" s="336"/>
      <c r="L37" s="336"/>
      <c r="M37" s="336"/>
    </row>
    <row r="38" spans="2:13">
      <c r="B38" s="62"/>
      <c r="C38" s="336"/>
      <c r="D38" s="336"/>
      <c r="E38" s="336"/>
      <c r="F38" s="336"/>
      <c r="G38" s="336"/>
      <c r="H38" s="336"/>
      <c r="I38" s="336"/>
      <c r="J38" s="336"/>
      <c r="K38" s="336"/>
      <c r="L38" s="336"/>
      <c r="M38" s="336"/>
    </row>
    <row r="39" spans="2:13">
      <c r="B39" s="62"/>
      <c r="C39" s="228" t="s">
        <v>187</v>
      </c>
      <c r="D39" s="336"/>
      <c r="E39" s="336"/>
      <c r="F39" s="336"/>
      <c r="G39" s="336"/>
      <c r="H39" s="336"/>
      <c r="I39" s="336"/>
      <c r="J39" s="336"/>
      <c r="K39" s="336"/>
      <c r="L39" s="336"/>
      <c r="M39" s="336"/>
    </row>
    <row r="40" spans="2:13">
      <c r="B40" s="62"/>
      <c r="C40" s="228" t="s">
        <v>188</v>
      </c>
      <c r="D40" s="336"/>
      <c r="E40" s="336"/>
      <c r="F40" s="336"/>
      <c r="G40" s="336"/>
      <c r="H40" s="336"/>
      <c r="I40" s="336"/>
      <c r="J40" s="336"/>
      <c r="K40" s="336"/>
      <c r="L40" s="336"/>
      <c r="M40" s="336"/>
    </row>
    <row r="41" spans="2:13">
      <c r="B41" s="62"/>
      <c r="C41" s="228" t="s">
        <v>189</v>
      </c>
      <c r="D41" s="336"/>
      <c r="E41" s="336"/>
      <c r="F41" s="336"/>
      <c r="G41" s="336"/>
      <c r="H41" s="336"/>
      <c r="I41" s="336"/>
      <c r="J41" s="336"/>
      <c r="K41" s="336"/>
      <c r="L41" s="336"/>
      <c r="M41" s="336"/>
    </row>
    <row r="42" spans="2:13">
      <c r="B42" s="62"/>
      <c r="C42" s="228" t="s">
        <v>190</v>
      </c>
      <c r="D42" s="336"/>
      <c r="E42" s="336"/>
      <c r="F42" s="336"/>
      <c r="G42" s="336"/>
      <c r="H42" s="336"/>
      <c r="I42" s="336"/>
      <c r="J42" s="336"/>
      <c r="K42" s="336"/>
      <c r="L42" s="336"/>
      <c r="M42" s="336"/>
    </row>
    <row r="43" spans="2:13">
      <c r="B43" s="133" t="s">
        <v>194</v>
      </c>
      <c r="C43" s="228" t="s">
        <v>191</v>
      </c>
      <c r="D43" s="336"/>
      <c r="E43" s="336"/>
      <c r="F43" s="336"/>
      <c r="G43" s="336"/>
      <c r="H43" s="336"/>
      <c r="I43" s="336"/>
      <c r="J43" s="336"/>
      <c r="K43" s="336"/>
      <c r="L43" s="336"/>
      <c r="M43" s="336"/>
    </row>
    <row r="44" spans="2:13">
      <c r="B44" s="133" t="s">
        <v>195</v>
      </c>
      <c r="C44" s="228" t="s">
        <v>192</v>
      </c>
      <c r="D44" s="336"/>
      <c r="E44" s="336"/>
      <c r="F44" s="336"/>
      <c r="G44" s="336"/>
      <c r="H44" s="336"/>
      <c r="I44" s="336"/>
      <c r="J44" s="336"/>
      <c r="K44" s="336"/>
      <c r="L44" s="336"/>
      <c r="M44" s="336"/>
    </row>
    <row r="45" spans="2:13">
      <c r="B45" s="133" t="s">
        <v>196</v>
      </c>
      <c r="C45" s="228" t="s">
        <v>193</v>
      </c>
      <c r="D45" s="336"/>
      <c r="E45" s="336"/>
      <c r="F45" s="336"/>
      <c r="G45" s="336"/>
      <c r="H45" s="336"/>
      <c r="I45" s="336"/>
      <c r="J45" s="336"/>
      <c r="K45" s="336"/>
      <c r="L45" s="336"/>
      <c r="M45" s="336"/>
    </row>
    <row r="46" spans="2:13">
      <c r="B46" s="133"/>
      <c r="C46" s="336"/>
      <c r="D46" s="336"/>
      <c r="E46" s="336"/>
      <c r="F46" s="336"/>
      <c r="G46" s="336"/>
      <c r="H46" s="336"/>
      <c r="I46" s="336"/>
      <c r="J46" s="336"/>
      <c r="K46" s="336"/>
      <c r="L46" s="336"/>
      <c r="M46" s="336"/>
    </row>
    <row r="47" spans="2:13">
      <c r="B47" s="62"/>
      <c r="C47" s="336"/>
      <c r="D47" s="336"/>
      <c r="E47" s="336"/>
      <c r="F47" s="336"/>
      <c r="G47" s="336"/>
      <c r="H47" s="336"/>
      <c r="I47" s="336"/>
      <c r="J47" s="336"/>
      <c r="K47" s="336"/>
      <c r="L47" s="336"/>
      <c r="M47" s="336"/>
    </row>
    <row r="48" spans="2:13">
      <c r="B48" s="133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</row>
    <row r="49" spans="2:13">
      <c r="B49" s="62"/>
      <c r="C49" s="336"/>
      <c r="D49" s="336"/>
      <c r="E49" s="336"/>
      <c r="F49" s="336"/>
      <c r="G49" s="336"/>
      <c r="H49" s="336"/>
      <c r="I49" s="336"/>
      <c r="J49" s="336"/>
      <c r="K49" s="336"/>
      <c r="L49" s="336"/>
      <c r="M49" s="336"/>
    </row>
    <row r="50" spans="2:13">
      <c r="B50" s="62"/>
      <c r="C50" s="336"/>
      <c r="D50" s="336"/>
      <c r="E50" s="336"/>
      <c r="F50" s="336"/>
      <c r="G50" s="336"/>
      <c r="H50" s="336"/>
      <c r="I50" s="336"/>
      <c r="J50" s="336"/>
      <c r="K50" s="336"/>
      <c r="L50" s="336"/>
      <c r="M50" s="336"/>
    </row>
    <row r="51" spans="2:13">
      <c r="B51" s="62"/>
      <c r="C51" s="336"/>
      <c r="D51" s="336"/>
      <c r="E51" s="336"/>
      <c r="F51" s="336"/>
      <c r="G51" s="336"/>
      <c r="H51" s="336"/>
      <c r="I51" s="336"/>
      <c r="J51" s="336"/>
      <c r="K51" s="336"/>
      <c r="L51" s="336"/>
      <c r="M51" s="336"/>
    </row>
    <row r="52" spans="2:13">
      <c r="B52" s="62"/>
      <c r="C52" s="336"/>
      <c r="D52" s="336"/>
      <c r="E52" s="336"/>
      <c r="F52" s="336"/>
      <c r="G52" s="336"/>
      <c r="H52" s="336"/>
      <c r="I52" s="336"/>
      <c r="J52" s="336"/>
      <c r="K52" s="336"/>
      <c r="L52" s="336"/>
      <c r="M52" s="336"/>
    </row>
    <row r="53" spans="2:13">
      <c r="B53" s="62"/>
      <c r="C53" s="336"/>
      <c r="D53" s="336"/>
      <c r="E53" s="336"/>
      <c r="F53" s="336"/>
      <c r="G53" s="336"/>
      <c r="H53" s="336"/>
      <c r="I53" s="336"/>
      <c r="J53" s="336"/>
      <c r="K53" s="336"/>
      <c r="L53" s="336"/>
      <c r="M53" s="336"/>
    </row>
    <row r="54" spans="2:13">
      <c r="B54" s="62"/>
      <c r="C54" s="336"/>
      <c r="D54" s="336"/>
      <c r="E54" s="336"/>
      <c r="F54" s="336"/>
      <c r="G54" s="336"/>
      <c r="H54" s="336"/>
      <c r="I54" s="336"/>
      <c r="J54" s="336"/>
      <c r="K54" s="336"/>
      <c r="L54" s="336"/>
      <c r="M54" s="336"/>
    </row>
    <row r="55" spans="2:13">
      <c r="B55" s="62"/>
      <c r="C55" s="336"/>
      <c r="D55" s="336"/>
      <c r="E55" s="336"/>
      <c r="F55" s="336"/>
      <c r="G55" s="336"/>
      <c r="H55" s="336"/>
      <c r="I55" s="336"/>
      <c r="J55" s="336"/>
      <c r="K55" s="336"/>
      <c r="L55" s="336"/>
      <c r="M55" s="336"/>
    </row>
    <row r="56" spans="2:13">
      <c r="B56" s="62"/>
      <c r="C56" s="336"/>
      <c r="D56" s="336"/>
      <c r="E56" s="336"/>
      <c r="F56" s="336"/>
      <c r="G56" s="336"/>
      <c r="H56" s="336"/>
      <c r="I56" s="336"/>
      <c r="J56" s="336"/>
      <c r="K56" s="336"/>
      <c r="L56" s="336"/>
      <c r="M56" s="336"/>
    </row>
    <row r="57" spans="2:13">
      <c r="B57" s="62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</row>
    <row r="58" spans="2:13">
      <c r="B58" s="62"/>
      <c r="C58" s="336"/>
      <c r="D58" s="336"/>
      <c r="E58" s="336"/>
      <c r="F58" s="336"/>
      <c r="G58" s="336"/>
      <c r="H58" s="336"/>
      <c r="I58" s="336"/>
      <c r="J58" s="336"/>
      <c r="K58" s="336"/>
      <c r="L58" s="336"/>
      <c r="M58" s="336"/>
    </row>
    <row r="59" spans="2:13">
      <c r="B59" s="62"/>
      <c r="C59" s="336"/>
      <c r="D59" s="336"/>
      <c r="E59" s="336"/>
      <c r="F59" s="336"/>
      <c r="G59" s="336"/>
      <c r="H59" s="336"/>
      <c r="I59" s="336"/>
      <c r="J59" s="336"/>
      <c r="K59" s="336"/>
      <c r="L59" s="336"/>
      <c r="M59" s="336"/>
    </row>
    <row r="60" spans="2:13">
      <c r="B60" s="62"/>
      <c r="C60" s="336"/>
      <c r="D60" s="336"/>
      <c r="E60" s="336"/>
      <c r="F60" s="336"/>
      <c r="G60" s="336"/>
      <c r="H60" s="336"/>
      <c r="I60" s="336"/>
      <c r="J60" s="336"/>
      <c r="K60" s="336"/>
      <c r="L60" s="336"/>
      <c r="M60" s="336"/>
    </row>
    <row r="61" spans="2:13">
      <c r="B61" s="62"/>
      <c r="C61" s="336"/>
      <c r="D61" s="336"/>
      <c r="E61" s="336"/>
      <c r="F61" s="336"/>
      <c r="G61" s="336"/>
      <c r="H61" s="336"/>
      <c r="I61" s="336"/>
      <c r="J61" s="336"/>
      <c r="K61" s="336"/>
      <c r="L61" s="336"/>
      <c r="M61" s="336"/>
    </row>
    <row r="62" spans="2:13">
      <c r="B62" s="62"/>
      <c r="C62" s="336"/>
      <c r="D62" s="336"/>
      <c r="E62" s="336"/>
      <c r="F62" s="336"/>
      <c r="G62" s="336"/>
      <c r="H62" s="336"/>
      <c r="I62" s="336"/>
      <c r="J62" s="336"/>
      <c r="K62" s="336"/>
      <c r="L62" s="336"/>
      <c r="M62" s="336"/>
    </row>
    <row r="63" spans="2:13">
      <c r="B63" s="62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6"/>
    </row>
    <row r="64" spans="2:13">
      <c r="B64" s="62"/>
      <c r="C64" s="336"/>
      <c r="D64" s="336"/>
      <c r="E64" s="336"/>
      <c r="F64" s="336"/>
      <c r="G64" s="336"/>
      <c r="H64" s="336"/>
      <c r="I64" s="336"/>
      <c r="J64" s="336"/>
      <c r="K64" s="336"/>
      <c r="L64" s="336"/>
      <c r="M64" s="336"/>
    </row>
    <row r="65" spans="2:13">
      <c r="B65" s="62"/>
      <c r="C65" s="336"/>
      <c r="D65" s="336"/>
      <c r="E65" s="336"/>
      <c r="F65" s="336"/>
      <c r="G65" s="336"/>
      <c r="H65" s="336"/>
      <c r="I65" s="336"/>
      <c r="J65" s="336"/>
      <c r="K65" s="336"/>
      <c r="L65" s="336"/>
      <c r="M65" s="336"/>
    </row>
    <row r="66" spans="2:13">
      <c r="B66" s="62"/>
      <c r="C66" s="336"/>
      <c r="D66" s="336"/>
      <c r="E66" s="336"/>
      <c r="F66" s="336"/>
      <c r="G66" s="336"/>
      <c r="H66" s="336"/>
      <c r="I66" s="336"/>
      <c r="J66" s="336"/>
      <c r="K66" s="336"/>
      <c r="L66" s="336"/>
      <c r="M66" s="336"/>
    </row>
    <row r="67" spans="2:13">
      <c r="B67" s="62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</row>
    <row r="68" spans="2:13">
      <c r="B68" s="62"/>
      <c r="C68" s="336"/>
      <c r="D68" s="336"/>
      <c r="E68" s="336"/>
      <c r="F68" s="336"/>
      <c r="G68" s="336"/>
      <c r="H68" s="336"/>
      <c r="I68" s="336"/>
      <c r="J68" s="336"/>
      <c r="K68" s="336"/>
      <c r="L68" s="336"/>
      <c r="M68" s="336"/>
    </row>
    <row r="69" spans="2:13">
      <c r="B69" s="62"/>
      <c r="C69" s="336"/>
      <c r="D69" s="336"/>
      <c r="E69" s="336"/>
      <c r="F69" s="336"/>
      <c r="G69" s="336"/>
      <c r="H69" s="336"/>
      <c r="I69" s="336"/>
      <c r="J69" s="336"/>
      <c r="K69" s="336"/>
      <c r="L69" s="336"/>
      <c r="M69" s="336"/>
    </row>
    <row r="70" spans="2:13">
      <c r="B70" s="62"/>
      <c r="C70" s="336"/>
      <c r="D70" s="336"/>
      <c r="E70" s="336"/>
      <c r="F70" s="336"/>
      <c r="G70" s="336"/>
      <c r="H70" s="336"/>
      <c r="I70" s="336"/>
      <c r="J70" s="336"/>
      <c r="K70" s="336"/>
      <c r="L70" s="336"/>
      <c r="M70" s="336"/>
    </row>
    <row r="71" spans="2:13">
      <c r="B71" s="62"/>
      <c r="C71" s="336"/>
      <c r="D71" s="336"/>
      <c r="E71" s="336"/>
      <c r="F71" s="336"/>
      <c r="G71" s="336"/>
      <c r="H71" s="336"/>
      <c r="I71" s="336"/>
      <c r="J71" s="336"/>
      <c r="K71" s="336"/>
      <c r="L71" s="336"/>
      <c r="M71" s="336"/>
    </row>
    <row r="72" spans="2:13">
      <c r="B72" s="62"/>
      <c r="C72" s="336"/>
      <c r="D72" s="336"/>
      <c r="E72" s="336"/>
      <c r="F72" s="336"/>
      <c r="G72" s="336"/>
      <c r="H72" s="336"/>
      <c r="I72" s="336"/>
      <c r="J72" s="336"/>
      <c r="K72" s="336"/>
      <c r="L72" s="336"/>
      <c r="M72" s="336"/>
    </row>
    <row r="73" spans="2:13">
      <c r="B73" s="62"/>
      <c r="C73" s="336"/>
      <c r="D73" s="336"/>
      <c r="E73" s="336"/>
      <c r="F73" s="336"/>
      <c r="G73" s="336"/>
      <c r="H73" s="336"/>
      <c r="I73" s="336"/>
      <c r="J73" s="336"/>
      <c r="K73" s="336"/>
      <c r="L73" s="336"/>
      <c r="M73" s="336"/>
    </row>
    <row r="74" spans="2:13">
      <c r="B74" s="62"/>
      <c r="C74" s="336"/>
      <c r="D74" s="336"/>
      <c r="E74" s="336"/>
      <c r="F74" s="336"/>
      <c r="G74" s="336"/>
      <c r="H74" s="336"/>
      <c r="I74" s="336"/>
      <c r="J74" s="336"/>
      <c r="K74" s="336"/>
      <c r="L74" s="336"/>
      <c r="M74" s="336"/>
    </row>
    <row r="75" spans="2:13">
      <c r="B75" s="62"/>
      <c r="C75" s="336"/>
      <c r="D75" s="336"/>
      <c r="E75" s="336"/>
      <c r="F75" s="336"/>
      <c r="G75" s="336"/>
      <c r="H75" s="336"/>
      <c r="I75" s="336"/>
      <c r="J75" s="336"/>
      <c r="K75" s="336"/>
      <c r="L75" s="336"/>
      <c r="M75" s="336"/>
    </row>
    <row r="76" spans="2:13">
      <c r="B76" s="62"/>
      <c r="C76" s="336"/>
      <c r="D76" s="336"/>
      <c r="E76" s="336"/>
      <c r="F76" s="336"/>
      <c r="G76" s="336"/>
      <c r="H76" s="336"/>
      <c r="I76" s="336"/>
      <c r="J76" s="336"/>
      <c r="K76" s="336"/>
      <c r="L76" s="336"/>
      <c r="M76" s="336"/>
    </row>
    <row r="77" spans="2:13">
      <c r="B77" s="62"/>
      <c r="C77" s="336"/>
      <c r="D77" s="336"/>
      <c r="E77" s="336"/>
      <c r="F77" s="336"/>
      <c r="G77" s="336"/>
      <c r="H77" s="336"/>
      <c r="I77" s="336"/>
      <c r="J77" s="336"/>
      <c r="K77" s="336"/>
      <c r="L77" s="336"/>
      <c r="M77" s="336"/>
    </row>
    <row r="78" spans="2:13">
      <c r="B78" s="62"/>
      <c r="C78" s="336"/>
      <c r="D78" s="336"/>
      <c r="E78" s="336"/>
      <c r="F78" s="336"/>
      <c r="G78" s="336"/>
      <c r="H78" s="336"/>
      <c r="I78" s="336"/>
      <c r="J78" s="336"/>
      <c r="K78" s="336"/>
      <c r="L78" s="336"/>
      <c r="M78" s="336"/>
    </row>
    <row r="79" spans="2:13">
      <c r="B79" s="62"/>
      <c r="C79" s="336"/>
      <c r="D79" s="336"/>
      <c r="E79" s="336"/>
      <c r="F79" s="336"/>
      <c r="G79" s="336"/>
      <c r="H79" s="336"/>
      <c r="I79" s="336"/>
      <c r="J79" s="336"/>
      <c r="K79" s="336"/>
      <c r="L79" s="336"/>
      <c r="M79" s="336"/>
    </row>
    <row r="80" spans="2:13">
      <c r="B80" s="62"/>
      <c r="C80" s="336"/>
      <c r="D80" s="336"/>
      <c r="E80" s="336"/>
      <c r="F80" s="336"/>
      <c r="G80" s="336"/>
      <c r="H80" s="336"/>
      <c r="I80" s="336"/>
      <c r="J80" s="336"/>
      <c r="K80" s="336"/>
      <c r="L80" s="336"/>
      <c r="M80" s="336"/>
    </row>
    <row r="81" spans="2:13">
      <c r="B81" s="62"/>
      <c r="C81" s="336"/>
      <c r="D81" s="336"/>
      <c r="E81" s="336"/>
      <c r="F81" s="336"/>
      <c r="G81" s="336"/>
      <c r="H81" s="336"/>
      <c r="I81" s="336"/>
      <c r="J81" s="336"/>
      <c r="K81" s="336"/>
      <c r="L81" s="336"/>
      <c r="M81" s="336"/>
    </row>
    <row r="82" spans="2:13">
      <c r="B82" s="62"/>
      <c r="C82" s="336"/>
      <c r="D82" s="336"/>
      <c r="E82" s="336"/>
      <c r="F82" s="336"/>
      <c r="G82" s="336"/>
      <c r="H82" s="336"/>
      <c r="I82" s="336"/>
      <c r="J82" s="336"/>
      <c r="K82" s="336"/>
      <c r="L82" s="336"/>
      <c r="M82" s="336"/>
    </row>
    <row r="83" spans="2:13">
      <c r="B83" s="62"/>
      <c r="C83" s="336"/>
      <c r="D83" s="336"/>
      <c r="E83" s="336"/>
      <c r="F83" s="336"/>
      <c r="G83" s="336"/>
      <c r="H83" s="336"/>
      <c r="I83" s="336"/>
      <c r="J83" s="336"/>
      <c r="K83" s="336"/>
      <c r="L83" s="336"/>
      <c r="M83" s="336"/>
    </row>
    <row r="84" spans="2:13">
      <c r="B84" s="62"/>
      <c r="C84" s="336"/>
      <c r="D84" s="336"/>
      <c r="E84" s="336"/>
      <c r="F84" s="336"/>
      <c r="G84" s="336"/>
      <c r="H84" s="336"/>
      <c r="I84" s="336"/>
      <c r="J84" s="336"/>
      <c r="K84" s="336"/>
      <c r="L84" s="336"/>
      <c r="M84" s="336"/>
    </row>
    <row r="85" spans="2:13">
      <c r="B85" s="62"/>
      <c r="C85" s="336"/>
      <c r="D85" s="336"/>
      <c r="E85" s="336"/>
      <c r="F85" s="336"/>
      <c r="G85" s="336"/>
      <c r="H85" s="336"/>
      <c r="I85" s="336"/>
      <c r="J85" s="336"/>
      <c r="K85" s="336"/>
      <c r="L85" s="336"/>
      <c r="M85" s="336"/>
    </row>
    <row r="86" spans="2:13">
      <c r="B86" s="62"/>
      <c r="C86" s="336"/>
      <c r="D86" s="336"/>
      <c r="E86" s="336"/>
      <c r="F86" s="336"/>
      <c r="G86" s="336"/>
      <c r="H86" s="336"/>
      <c r="I86" s="336"/>
      <c r="J86" s="336"/>
      <c r="K86" s="336"/>
      <c r="L86" s="336"/>
      <c r="M86" s="336"/>
    </row>
    <row r="87" spans="2:13">
      <c r="B87" s="62"/>
      <c r="C87" s="336"/>
      <c r="D87" s="336"/>
      <c r="E87" s="336"/>
      <c r="F87" s="336"/>
      <c r="G87" s="336"/>
      <c r="H87" s="336"/>
      <c r="I87" s="336"/>
      <c r="J87" s="336"/>
      <c r="K87" s="336"/>
      <c r="L87" s="336"/>
      <c r="M87" s="336"/>
    </row>
    <row r="88" spans="2:13">
      <c r="B88" s="62"/>
      <c r="C88" s="336"/>
      <c r="D88" s="336"/>
      <c r="E88" s="336"/>
      <c r="F88" s="336"/>
      <c r="G88" s="336"/>
      <c r="H88" s="336"/>
      <c r="I88" s="336"/>
      <c r="J88" s="336"/>
      <c r="K88" s="336"/>
      <c r="L88" s="336"/>
      <c r="M88" s="336"/>
    </row>
    <row r="89" spans="2:13">
      <c r="B89" s="62"/>
      <c r="C89" s="336"/>
      <c r="D89" s="336"/>
      <c r="E89" s="336"/>
      <c r="F89" s="336"/>
      <c r="G89" s="336"/>
      <c r="H89" s="336"/>
      <c r="I89" s="336"/>
      <c r="J89" s="336"/>
      <c r="K89" s="336"/>
      <c r="L89" s="336"/>
      <c r="M89" s="336"/>
    </row>
    <row r="90" spans="2:13">
      <c r="B90" s="62"/>
      <c r="C90" s="336"/>
      <c r="D90" s="336"/>
      <c r="E90" s="336"/>
      <c r="F90" s="336"/>
      <c r="G90" s="336"/>
      <c r="H90" s="336"/>
      <c r="I90" s="336"/>
      <c r="J90" s="336"/>
      <c r="K90" s="336"/>
      <c r="L90" s="336"/>
      <c r="M90" s="336"/>
    </row>
    <row r="91" spans="2:13">
      <c r="B91" s="62"/>
      <c r="C91" s="336"/>
      <c r="D91" s="336"/>
      <c r="E91" s="336"/>
      <c r="F91" s="336"/>
      <c r="G91" s="336"/>
      <c r="H91" s="336"/>
      <c r="I91" s="336"/>
      <c r="J91" s="336"/>
      <c r="K91" s="336"/>
      <c r="L91" s="336"/>
      <c r="M91" s="336"/>
    </row>
    <row r="92" spans="2:13">
      <c r="B92" s="62"/>
      <c r="C92" s="336"/>
      <c r="D92" s="336"/>
      <c r="E92" s="336"/>
      <c r="F92" s="336"/>
      <c r="G92" s="336"/>
      <c r="H92" s="336"/>
      <c r="I92" s="336"/>
      <c r="J92" s="336"/>
      <c r="K92" s="336"/>
      <c r="L92" s="336"/>
      <c r="M92" s="336"/>
    </row>
    <row r="93" spans="2:13">
      <c r="B93" s="62"/>
      <c r="C93" s="336"/>
      <c r="D93" s="336"/>
      <c r="E93" s="336"/>
      <c r="F93" s="336"/>
      <c r="G93" s="336"/>
      <c r="H93" s="336"/>
      <c r="I93" s="336"/>
      <c r="J93" s="336"/>
      <c r="K93" s="336"/>
      <c r="L93" s="336"/>
      <c r="M93" s="336"/>
    </row>
    <row r="94" spans="2:13">
      <c r="B94" s="62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</row>
    <row r="95" spans="2:13">
      <c r="B95" s="62"/>
      <c r="C95" s="336"/>
      <c r="D95" s="336"/>
      <c r="E95" s="336"/>
      <c r="F95" s="336"/>
      <c r="G95" s="336"/>
      <c r="H95" s="336"/>
      <c r="I95" s="336"/>
      <c r="J95" s="336"/>
      <c r="K95" s="336"/>
      <c r="L95" s="336"/>
      <c r="M95" s="336"/>
    </row>
    <row r="96" spans="2:13">
      <c r="B96" s="62"/>
      <c r="C96" s="336"/>
      <c r="D96" s="336"/>
      <c r="E96" s="336"/>
      <c r="F96" s="336"/>
      <c r="G96" s="336"/>
      <c r="H96" s="336"/>
      <c r="I96" s="336"/>
      <c r="J96" s="336"/>
      <c r="K96" s="336"/>
      <c r="L96" s="336"/>
      <c r="M96" s="336"/>
    </row>
    <row r="97" spans="2:13">
      <c r="B97" s="62"/>
      <c r="C97" s="336"/>
      <c r="D97" s="336"/>
      <c r="E97" s="336"/>
      <c r="F97" s="336"/>
      <c r="G97" s="336"/>
      <c r="H97" s="336"/>
      <c r="I97" s="336"/>
      <c r="J97" s="336"/>
      <c r="K97" s="336"/>
      <c r="L97" s="336"/>
      <c r="M97" s="336"/>
    </row>
    <row r="98" spans="2:13">
      <c r="B98" s="62"/>
      <c r="C98" s="336"/>
      <c r="D98" s="336"/>
      <c r="E98" s="336"/>
      <c r="F98" s="336"/>
      <c r="G98" s="336"/>
      <c r="H98" s="336"/>
      <c r="I98" s="336"/>
      <c r="J98" s="336"/>
      <c r="K98" s="336"/>
      <c r="L98" s="336"/>
      <c r="M98" s="336"/>
    </row>
    <row r="99" spans="2:13">
      <c r="B99" s="62"/>
      <c r="C99" s="336"/>
      <c r="D99" s="336"/>
      <c r="E99" s="336"/>
      <c r="F99" s="336"/>
      <c r="G99" s="336"/>
      <c r="H99" s="336"/>
      <c r="I99" s="336"/>
      <c r="J99" s="336"/>
      <c r="K99" s="336"/>
      <c r="L99" s="336"/>
      <c r="M99" s="336"/>
    </row>
    <row r="100" spans="2:13">
      <c r="B100" s="62"/>
      <c r="C100" s="336"/>
      <c r="D100" s="336"/>
      <c r="E100" s="336"/>
      <c r="F100" s="336"/>
      <c r="G100" s="336"/>
      <c r="H100" s="336"/>
      <c r="I100" s="336"/>
      <c r="J100" s="336"/>
      <c r="K100" s="336"/>
      <c r="L100" s="336"/>
      <c r="M100" s="336"/>
    </row>
    <row r="101" spans="2:13">
      <c r="B101" s="62"/>
      <c r="C101" s="336"/>
      <c r="D101" s="336"/>
      <c r="E101" s="336"/>
      <c r="F101" s="336"/>
      <c r="G101" s="336"/>
      <c r="H101" s="336"/>
      <c r="I101" s="336"/>
      <c r="J101" s="336"/>
      <c r="K101" s="336"/>
      <c r="L101" s="336"/>
      <c r="M101" s="336"/>
    </row>
    <row r="102" spans="2:13">
      <c r="B102" s="62"/>
      <c r="C102" s="336"/>
      <c r="D102" s="336"/>
      <c r="E102" s="336"/>
      <c r="F102" s="336"/>
      <c r="G102" s="336"/>
      <c r="H102" s="336"/>
      <c r="I102" s="336"/>
      <c r="J102" s="336"/>
      <c r="K102" s="336"/>
      <c r="L102" s="336"/>
      <c r="M102" s="336"/>
    </row>
    <row r="103" spans="2:13">
      <c r="B103" s="62"/>
      <c r="C103" s="336"/>
      <c r="D103" s="336"/>
      <c r="E103" s="336"/>
      <c r="F103" s="336"/>
      <c r="G103" s="336"/>
      <c r="H103" s="336"/>
      <c r="I103" s="336"/>
      <c r="J103" s="336"/>
      <c r="K103" s="336"/>
      <c r="L103" s="336"/>
      <c r="M103" s="336"/>
    </row>
    <row r="104" spans="2:13">
      <c r="B104" s="62"/>
      <c r="C104" s="336"/>
      <c r="D104" s="336"/>
      <c r="E104" s="336"/>
      <c r="F104" s="336"/>
      <c r="G104" s="336"/>
      <c r="H104" s="336"/>
      <c r="I104" s="336"/>
      <c r="J104" s="336"/>
      <c r="K104" s="336"/>
      <c r="L104" s="336"/>
      <c r="M104" s="336"/>
    </row>
    <row r="105" spans="2:13">
      <c r="B105" s="62"/>
      <c r="C105" s="336"/>
      <c r="D105" s="336"/>
      <c r="E105" s="336"/>
      <c r="F105" s="336"/>
      <c r="G105" s="336"/>
      <c r="H105" s="336"/>
      <c r="I105" s="336"/>
      <c r="J105" s="336"/>
      <c r="K105" s="336"/>
      <c r="L105" s="336"/>
      <c r="M105" s="336"/>
    </row>
    <row r="106" spans="2:13">
      <c r="B106" s="62"/>
      <c r="C106" s="336"/>
      <c r="D106" s="336"/>
      <c r="E106" s="336"/>
      <c r="F106" s="336"/>
      <c r="G106" s="336"/>
      <c r="H106" s="336"/>
      <c r="I106" s="336"/>
      <c r="J106" s="336"/>
      <c r="K106" s="336"/>
      <c r="L106" s="336"/>
      <c r="M106" s="336"/>
    </row>
    <row r="107" spans="2:13">
      <c r="B107" s="62"/>
      <c r="C107" s="336"/>
      <c r="D107" s="336"/>
      <c r="E107" s="336"/>
      <c r="F107" s="336"/>
      <c r="G107" s="336"/>
      <c r="H107" s="336"/>
      <c r="I107" s="336"/>
      <c r="J107" s="336"/>
      <c r="K107" s="336"/>
      <c r="L107" s="336"/>
      <c r="M107" s="336"/>
    </row>
    <row r="108" spans="2:13">
      <c r="B108" s="62"/>
      <c r="C108" s="336"/>
      <c r="D108" s="336"/>
      <c r="E108" s="336"/>
      <c r="F108" s="336"/>
      <c r="G108" s="336"/>
      <c r="H108" s="336"/>
      <c r="I108" s="336"/>
      <c r="J108" s="336"/>
      <c r="K108" s="336"/>
      <c r="L108" s="336"/>
      <c r="M108" s="336"/>
    </row>
    <row r="109" spans="2:13">
      <c r="B109" s="62"/>
      <c r="C109" s="336"/>
      <c r="D109" s="336"/>
      <c r="E109" s="336"/>
      <c r="F109" s="336"/>
      <c r="G109" s="336"/>
      <c r="H109" s="336"/>
      <c r="I109" s="336"/>
      <c r="J109" s="336"/>
      <c r="K109" s="336"/>
      <c r="L109" s="336"/>
      <c r="M109" s="336"/>
    </row>
  </sheetData>
  <mergeCells count="107">
    <mergeCell ref="B1:M3"/>
    <mergeCell ref="C4:M4"/>
    <mergeCell ref="C5:M5"/>
    <mergeCell ref="C6:M6"/>
    <mergeCell ref="C7:M7"/>
    <mergeCell ref="C20:M20"/>
    <mergeCell ref="C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35:M35"/>
    <mergeCell ref="C36:M36"/>
    <mergeCell ref="C37:M37"/>
    <mergeCell ref="C38:M38"/>
    <mergeCell ref="C39:M39"/>
    <mergeCell ref="C8:M8"/>
    <mergeCell ref="C31:M31"/>
    <mergeCell ref="C32:M32"/>
    <mergeCell ref="C33:M33"/>
    <mergeCell ref="C34:M34"/>
    <mergeCell ref="C27:M27"/>
    <mergeCell ref="C28:M28"/>
    <mergeCell ref="C29:M29"/>
    <mergeCell ref="C30:M30"/>
    <mergeCell ref="C21:M21"/>
    <mergeCell ref="C22:M22"/>
    <mergeCell ref="C23:M23"/>
    <mergeCell ref="C24:M24"/>
    <mergeCell ref="C25:M25"/>
    <mergeCell ref="C26:M26"/>
    <mergeCell ref="C45:M45"/>
    <mergeCell ref="C46:M46"/>
    <mergeCell ref="C47:M47"/>
    <mergeCell ref="C48:M48"/>
    <mergeCell ref="C49:M49"/>
    <mergeCell ref="C40:M40"/>
    <mergeCell ref="C41:M41"/>
    <mergeCell ref="C42:M42"/>
    <mergeCell ref="C43:M43"/>
    <mergeCell ref="C44:M44"/>
    <mergeCell ref="C55:M55"/>
    <mergeCell ref="C56:M56"/>
    <mergeCell ref="C57:M57"/>
    <mergeCell ref="C58:M58"/>
    <mergeCell ref="C59:M59"/>
    <mergeCell ref="C50:M50"/>
    <mergeCell ref="C51:M51"/>
    <mergeCell ref="C52:M52"/>
    <mergeCell ref="C53:M53"/>
    <mergeCell ref="C54:M54"/>
    <mergeCell ref="C65:M65"/>
    <mergeCell ref="C66:M66"/>
    <mergeCell ref="C67:M67"/>
    <mergeCell ref="C68:M68"/>
    <mergeCell ref="C69:M69"/>
    <mergeCell ref="C60:M60"/>
    <mergeCell ref="C61:M61"/>
    <mergeCell ref="C62:M62"/>
    <mergeCell ref="C63:M63"/>
    <mergeCell ref="C64:M64"/>
    <mergeCell ref="C75:M75"/>
    <mergeCell ref="C76:M76"/>
    <mergeCell ref="C77:M77"/>
    <mergeCell ref="C78:M78"/>
    <mergeCell ref="C79:M79"/>
    <mergeCell ref="C70:M70"/>
    <mergeCell ref="C71:M71"/>
    <mergeCell ref="C72:M72"/>
    <mergeCell ref="C73:M73"/>
    <mergeCell ref="C74:M74"/>
    <mergeCell ref="C85:M85"/>
    <mergeCell ref="C86:M86"/>
    <mergeCell ref="C87:M87"/>
    <mergeCell ref="C88:M88"/>
    <mergeCell ref="C89:M89"/>
    <mergeCell ref="C80:M80"/>
    <mergeCell ref="C81:M81"/>
    <mergeCell ref="C82:M82"/>
    <mergeCell ref="C83:M83"/>
    <mergeCell ref="C84:M84"/>
    <mergeCell ref="C95:M95"/>
    <mergeCell ref="C96:M96"/>
    <mergeCell ref="C97:M97"/>
    <mergeCell ref="C98:M98"/>
    <mergeCell ref="C99:M99"/>
    <mergeCell ref="C90:M90"/>
    <mergeCell ref="C91:M91"/>
    <mergeCell ref="C92:M92"/>
    <mergeCell ref="C93:M93"/>
    <mergeCell ref="C94:M94"/>
    <mergeCell ref="C105:M105"/>
    <mergeCell ref="C106:M106"/>
    <mergeCell ref="C107:M107"/>
    <mergeCell ref="C108:M108"/>
    <mergeCell ref="C109:M109"/>
    <mergeCell ref="C100:M100"/>
    <mergeCell ref="C101:M101"/>
    <mergeCell ref="C102:M102"/>
    <mergeCell ref="C103:M103"/>
    <mergeCell ref="C104:M104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1:O109"/>
  <sheetViews>
    <sheetView tabSelected="1" zoomScale="85" zoomScaleNormal="85" workbookViewId="0"/>
  </sheetViews>
  <sheetFormatPr defaultRowHeight="12.75"/>
  <cols>
    <col min="1" max="1" width="1.5703125" customWidth="1"/>
    <col min="2" max="2" width="9.28515625" customWidth="1"/>
    <col min="3" max="3" width="14" customWidth="1"/>
    <col min="5" max="5" width="16.7109375" customWidth="1"/>
    <col min="8" max="8" width="30.7109375" customWidth="1"/>
    <col min="13" max="13" width="14.28515625" customWidth="1"/>
    <col min="14" max="14" width="11.28515625" customWidth="1"/>
    <col min="15" max="15" width="10.140625" bestFit="1" customWidth="1"/>
  </cols>
  <sheetData>
    <row r="1" spans="2:15" ht="7.5" customHeight="1"/>
    <row r="2" spans="2:15">
      <c r="I2" s="344" t="s">
        <v>161</v>
      </c>
      <c r="J2" s="344"/>
      <c r="K2" s="344"/>
      <c r="L2" s="344"/>
      <c r="M2" s="52" t="s">
        <v>162</v>
      </c>
      <c r="N2" s="341"/>
      <c r="O2" s="341"/>
    </row>
    <row r="3" spans="2:15">
      <c r="I3" s="344"/>
      <c r="J3" s="344"/>
      <c r="K3" s="344"/>
      <c r="L3" s="344"/>
      <c r="M3" s="52" t="s">
        <v>163</v>
      </c>
      <c r="N3" s="342"/>
      <c r="O3" s="341"/>
    </row>
    <row r="4" spans="2:15">
      <c r="I4" s="226" t="s">
        <v>6</v>
      </c>
      <c r="J4" s="226"/>
      <c r="K4" s="345"/>
      <c r="L4" s="345"/>
      <c r="M4" s="52" t="s">
        <v>164</v>
      </c>
      <c r="N4" s="341"/>
      <c r="O4" s="341"/>
    </row>
    <row r="5" spans="2:15">
      <c r="I5" s="226" t="s">
        <v>31</v>
      </c>
      <c r="J5" s="226"/>
      <c r="K5" s="226"/>
      <c r="L5" s="226" t="s">
        <v>166</v>
      </c>
      <c r="M5" s="226"/>
      <c r="N5" s="226"/>
      <c r="O5" s="226"/>
    </row>
    <row r="6" spans="2:15">
      <c r="I6" s="343" t="str">
        <f>IF('Information Sales'!C3="","",'Information Sales'!C3)</f>
        <v/>
      </c>
      <c r="J6" s="343"/>
      <c r="K6" s="343"/>
      <c r="L6" s="343" t="str">
        <f>IF('Information Sales'!K10="","",'Information Sales'!K10)</f>
        <v/>
      </c>
      <c r="M6" s="343"/>
      <c r="N6" s="343"/>
      <c r="O6" s="343"/>
    </row>
    <row r="7" spans="2:15">
      <c r="B7" s="347" t="s">
        <v>421</v>
      </c>
      <c r="C7" s="347"/>
      <c r="D7" s="347"/>
      <c r="E7" s="196"/>
      <c r="I7" s="226" t="s">
        <v>167</v>
      </c>
      <c r="J7" s="226"/>
      <c r="K7" s="338" t="str">
        <f>IF('Information Sales'!C14="","",'Information Sales'!C14)</f>
        <v/>
      </c>
      <c r="L7" s="338"/>
      <c r="M7" s="226" t="s">
        <v>172</v>
      </c>
      <c r="N7" s="226"/>
      <c r="O7" s="226"/>
    </row>
    <row r="8" spans="2:15">
      <c r="B8" s="347" t="s">
        <v>422</v>
      </c>
      <c r="C8" s="347"/>
      <c r="D8" s="347"/>
      <c r="E8" s="196"/>
      <c r="I8" s="226" t="s">
        <v>418</v>
      </c>
      <c r="J8" s="226"/>
      <c r="K8" s="338" t="str">
        <f>IF('Information Sales'!C15="","",'Information Sales'!C15)</f>
        <v/>
      </c>
      <c r="L8" s="338"/>
      <c r="M8" s="53" t="s">
        <v>173</v>
      </c>
      <c r="N8" s="226" t="s">
        <v>174</v>
      </c>
      <c r="O8" s="226"/>
    </row>
    <row r="9" spans="2:15">
      <c r="B9" s="347" t="s">
        <v>423</v>
      </c>
      <c r="C9" s="347"/>
      <c r="D9" s="347"/>
      <c r="E9" s="196"/>
      <c r="I9" s="226" t="s">
        <v>168</v>
      </c>
      <c r="J9" s="226"/>
      <c r="K9" s="338" t="str">
        <f>IF('Information Sales'!C16="","",'Information Sales'!C16)</f>
        <v/>
      </c>
      <c r="L9" s="338"/>
      <c r="M9" s="341"/>
      <c r="N9" s="341"/>
      <c r="O9" s="341"/>
    </row>
    <row r="10" spans="2:15">
      <c r="B10" s="347" t="s">
        <v>424</v>
      </c>
      <c r="C10" s="347"/>
      <c r="D10" s="347"/>
      <c r="E10" s="196"/>
      <c r="I10" s="226" t="s">
        <v>170</v>
      </c>
      <c r="J10" s="226"/>
      <c r="K10" s="338" t="str">
        <f>IF('Information Sales'!C18="","",'Information Sales'!C18)</f>
        <v/>
      </c>
      <c r="L10" s="338"/>
      <c r="M10" s="341"/>
      <c r="N10" s="341"/>
      <c r="O10" s="341"/>
    </row>
    <row r="11" spans="2:15">
      <c r="B11" s="347" t="s">
        <v>425</v>
      </c>
      <c r="C11" s="347"/>
      <c r="D11" s="347"/>
      <c r="E11" s="196"/>
      <c r="I11" s="226" t="s">
        <v>419</v>
      </c>
      <c r="J11" s="226"/>
      <c r="K11" s="338" t="str">
        <f>IF('Information Sales'!C19="","",'Information Sales'!C19)</f>
        <v/>
      </c>
      <c r="L11" s="338"/>
      <c r="M11" s="341"/>
      <c r="N11" s="341"/>
      <c r="O11" s="341"/>
    </row>
    <row r="12" spans="2:15">
      <c r="I12" s="226" t="s">
        <v>169</v>
      </c>
      <c r="J12" s="226"/>
      <c r="K12" s="338" t="str">
        <f>IF('Information Sales'!C20="","",'Information Sales'!C20)</f>
        <v/>
      </c>
      <c r="L12" s="338"/>
      <c r="M12" s="341"/>
      <c r="N12" s="341"/>
      <c r="O12" s="341"/>
    </row>
    <row r="13" spans="2:15">
      <c r="I13" s="226" t="s">
        <v>171</v>
      </c>
      <c r="J13" s="226"/>
      <c r="K13" s="226"/>
      <c r="L13" s="226"/>
      <c r="M13" s="226"/>
      <c r="N13" s="226"/>
      <c r="O13" s="226"/>
    </row>
    <row r="14" spans="2:15">
      <c r="I14" s="147" t="s">
        <v>134</v>
      </c>
      <c r="J14" s="147" t="s">
        <v>135</v>
      </c>
      <c r="K14" s="147" t="s">
        <v>136</v>
      </c>
      <c r="L14" s="147" t="s">
        <v>137</v>
      </c>
      <c r="M14" s="147" t="s">
        <v>138</v>
      </c>
      <c r="N14" s="339" t="s">
        <v>139</v>
      </c>
      <c r="O14" s="339"/>
    </row>
    <row r="15" spans="2:15">
      <c r="I15" s="198" t="str">
        <f>IF('Information Sales'!D21="","",'Information Sales'!D21)</f>
        <v/>
      </c>
      <c r="J15" s="198" t="str">
        <f>IF('Information Sales'!F21="","",'Information Sales'!F21)</f>
        <v/>
      </c>
      <c r="K15" s="198" t="str">
        <f>IF('Information Sales'!H21="","",'Information Sales'!H21)</f>
        <v/>
      </c>
      <c r="L15" s="198" t="str">
        <f>IF('Information Sales'!J21="","",'Information Sales'!J21)</f>
        <v/>
      </c>
      <c r="M15" s="198" t="str">
        <f>IF('Information Sales'!L21="","",'Information Sales'!L21)</f>
        <v/>
      </c>
      <c r="N15" s="340" t="str">
        <f>IF('Information Sales'!N21="","",'Information Sales'!N21)</f>
        <v/>
      </c>
      <c r="O15" s="340"/>
    </row>
    <row r="16" spans="2:15" ht="44.25" customHeight="1">
      <c r="B16" s="215" t="str">
        <f>'MRF Calculator'!B16</f>
        <v>Line Item</v>
      </c>
      <c r="C16" s="215" t="str">
        <f>'MRF Calculator'!C16</f>
        <v>Work Order</v>
      </c>
      <c r="D16" s="215" t="str">
        <f>'MRF Calculator'!D16</f>
        <v>Charge</v>
      </c>
      <c r="E16" s="215" t="str">
        <f>'MRF Calculator'!E16</f>
        <v>Vendor</v>
      </c>
      <c r="F16" s="313" t="str">
        <f>'MRF Calculator'!F16</f>
        <v>Part Number</v>
      </c>
      <c r="G16" s="351"/>
      <c r="H16" s="313" t="str">
        <f>'MRF Calculator'!H16</f>
        <v>Description</v>
      </c>
      <c r="I16" s="314"/>
      <c r="J16" s="314"/>
      <c r="K16" s="351"/>
      <c r="L16" s="215" t="str">
        <f>'MRF Calculator'!L16</f>
        <v>QTY</v>
      </c>
      <c r="M16" s="215" t="str">
        <f>'MRF Calculator'!M16</f>
        <v>Product Price</v>
      </c>
      <c r="N16" s="199" t="str">
        <f>'MRF Calculator'!N16</f>
        <v>Quote Need By Date</v>
      </c>
      <c r="O16" s="200" t="str">
        <f>'MRF Calculator'!O16</f>
        <v>Purchase Need by Date</v>
      </c>
    </row>
    <row r="17" spans="2:15">
      <c r="B17" s="197">
        <f>'MRF Calculator'!B17</f>
        <v>1</v>
      </c>
      <c r="C17" s="201"/>
      <c r="D17" s="202" t="s">
        <v>198</v>
      </c>
      <c r="E17" s="214" t="str">
        <f>'MRF Calculator'!E17</f>
        <v>Mcclung</v>
      </c>
      <c r="F17" s="348" t="str">
        <f>'MRF Calculator'!F17</f>
        <v>B-0776</v>
      </c>
      <c r="G17" s="350"/>
      <c r="H17" s="348" t="str">
        <f>'MRF Calculator'!H17</f>
        <v>thrust plate</v>
      </c>
      <c r="I17" s="349"/>
      <c r="J17" s="349"/>
      <c r="K17" s="350"/>
      <c r="L17" s="203">
        <f>'MRF Calculator'!L17</f>
        <v>2</v>
      </c>
      <c r="M17" s="352">
        <f>'MRF Calculator'!M17</f>
        <v>1176.5749999999998</v>
      </c>
      <c r="N17" s="204" t="str">
        <f>'MRF Calculator'!N17</f>
        <v/>
      </c>
      <c r="O17" s="205"/>
    </row>
    <row r="18" spans="2:15">
      <c r="B18" s="197">
        <f>'MRF Calculator'!B18</f>
        <v>2</v>
      </c>
      <c r="C18" s="197" t="str">
        <f>'MRF Calculator'!C18</f>
        <v/>
      </c>
      <c r="D18" s="197" t="str">
        <f>'MRF Calculator'!D18</f>
        <v>Invoice</v>
      </c>
      <c r="E18" s="214" t="str">
        <f>'MRF Calculator'!E18</f>
        <v>Mcclung</v>
      </c>
      <c r="F18" s="348" t="str">
        <f>'MRF Calculator'!F18</f>
        <v>B-0772</v>
      </c>
      <c r="G18" s="350"/>
      <c r="H18" s="348" t="str">
        <f>'MRF Calculator'!H18</f>
        <v>rod bushings</v>
      </c>
      <c r="I18" s="349"/>
      <c r="J18" s="349"/>
      <c r="K18" s="350"/>
      <c r="L18" s="203">
        <f>'MRF Calculator'!L18</f>
        <v>4</v>
      </c>
      <c r="M18" s="352">
        <f>'MRF Calculator'!M18</f>
        <v>1702.2999999999997</v>
      </c>
      <c r="N18" s="204" t="str">
        <f>'MRF Calculator'!N18</f>
        <v/>
      </c>
      <c r="O18" s="206" t="str">
        <f>'MRF Calculator'!O18</f>
        <v/>
      </c>
    </row>
    <row r="19" spans="2:15">
      <c r="B19" s="197">
        <f>'MRF Calculator'!B19</f>
        <v>3</v>
      </c>
      <c r="C19" s="197" t="str">
        <f>'MRF Calculator'!C19</f>
        <v/>
      </c>
      <c r="D19" s="197" t="str">
        <f>'MRF Calculator'!D19</f>
        <v>Invoice</v>
      </c>
      <c r="E19" s="214" t="str">
        <f>'MRF Calculator'!E19</f>
        <v>Mcclung</v>
      </c>
      <c r="F19" s="348" t="str">
        <f>'MRF Calculator'!F19</f>
        <v>B-5290</v>
      </c>
      <c r="G19" s="350"/>
      <c r="H19" s="348" t="str">
        <f>'MRF Calculator'!H19</f>
        <v>cross head bushingd</v>
      </c>
      <c r="I19" s="349"/>
      <c r="J19" s="349"/>
      <c r="K19" s="350"/>
      <c r="L19" s="203">
        <f>'MRF Calculator'!L19</f>
        <v>8</v>
      </c>
      <c r="M19" s="352">
        <f>'MRF Calculator'!M19</f>
        <v>1729.1</v>
      </c>
      <c r="N19" s="204" t="str">
        <f>'MRF Calculator'!N19</f>
        <v/>
      </c>
      <c r="O19" s="206" t="str">
        <f>'MRF Calculator'!O19</f>
        <v/>
      </c>
    </row>
    <row r="20" spans="2:15">
      <c r="B20" s="197">
        <f>'MRF Calculator'!B20</f>
        <v>4</v>
      </c>
      <c r="C20" s="197" t="str">
        <f>'MRF Calculator'!C20</f>
        <v/>
      </c>
      <c r="D20" s="197" t="str">
        <f>'MRF Calculator'!D20</f>
        <v>Invoice</v>
      </c>
      <c r="E20" s="214" t="str">
        <f>'MRF Calculator'!E20</f>
        <v>Mcclung</v>
      </c>
      <c r="F20" s="348" t="str">
        <f>'MRF Calculator'!F20</f>
        <v>B-0770</v>
      </c>
      <c r="G20" s="350"/>
      <c r="H20" s="348" t="str">
        <f>'MRF Calculator'!H20</f>
        <v>main bearings</v>
      </c>
      <c r="I20" s="349"/>
      <c r="J20" s="349"/>
      <c r="K20" s="350"/>
      <c r="L20" s="203">
        <f>'MRF Calculator'!L20</f>
        <v>8</v>
      </c>
      <c r="M20" s="352">
        <f>'MRF Calculator'!M20</f>
        <v>1252.1999999999998</v>
      </c>
      <c r="N20" s="204" t="str">
        <f>'MRF Calculator'!N20</f>
        <v/>
      </c>
      <c r="O20" s="206" t="str">
        <f>'MRF Calculator'!O20</f>
        <v/>
      </c>
    </row>
    <row r="21" spans="2:15">
      <c r="B21" s="197">
        <f>'MRF Calculator'!B21</f>
        <v>5</v>
      </c>
      <c r="C21" s="197" t="str">
        <f>'MRF Calculator'!C21</f>
        <v/>
      </c>
      <c r="D21" s="197" t="str">
        <f>'MRF Calculator'!D21</f>
        <v>Invoice</v>
      </c>
      <c r="E21" s="214" t="str">
        <f>'MRF Calculator'!E21</f>
        <v>Mcclung</v>
      </c>
      <c r="F21" s="348" t="str">
        <f>'MRF Calculator'!F21</f>
        <v>B-2082</v>
      </c>
      <c r="G21" s="350"/>
      <c r="H21" s="348" t="str">
        <f>'MRF Calculator'!H21</f>
        <v>Rod bearings</v>
      </c>
      <c r="I21" s="349"/>
      <c r="J21" s="349"/>
      <c r="K21" s="350"/>
      <c r="L21" s="203">
        <f>'MRF Calculator'!L21</f>
        <v>8</v>
      </c>
      <c r="M21" s="352">
        <f>'MRF Calculator'!M21</f>
        <v>1509.1</v>
      </c>
      <c r="N21" s="204" t="str">
        <f>'MRF Calculator'!N21</f>
        <v/>
      </c>
      <c r="O21" s="206" t="str">
        <f>'MRF Calculator'!O21</f>
        <v/>
      </c>
    </row>
    <row r="22" spans="2:15">
      <c r="B22" s="197">
        <f>'MRF Calculator'!B22</f>
        <v>6</v>
      </c>
      <c r="C22" s="197" t="str">
        <f>'MRF Calculator'!C22</f>
        <v/>
      </c>
      <c r="D22" s="197" t="str">
        <f>'MRF Calculator'!D22</f>
        <v>Invoice</v>
      </c>
      <c r="E22" s="214" t="str">
        <f>'MRF Calculator'!E22</f>
        <v>Mcclung</v>
      </c>
      <c r="F22" s="348" t="str">
        <f>'MRF Calculator'!F22</f>
        <v>A-3884</v>
      </c>
      <c r="G22" s="350"/>
      <c r="H22" s="348" t="str">
        <f>'MRF Calculator'!H22</f>
        <v>chain</v>
      </c>
      <c r="I22" s="349"/>
      <c r="J22" s="349"/>
      <c r="K22" s="350"/>
      <c r="L22" s="203">
        <f>'MRF Calculator'!L22</f>
        <v>1</v>
      </c>
      <c r="M22" s="352">
        <f>'MRF Calculator'!M22</f>
        <v>40</v>
      </c>
      <c r="N22" s="204" t="str">
        <f>'MRF Calculator'!N22</f>
        <v/>
      </c>
      <c r="O22" s="206" t="str">
        <f>'MRF Calculator'!O22</f>
        <v/>
      </c>
    </row>
    <row r="23" spans="2:15">
      <c r="B23" s="197">
        <f>'MRF Calculator'!B23</f>
        <v>7</v>
      </c>
      <c r="C23" s="197" t="str">
        <f>'MRF Calculator'!C23</f>
        <v/>
      </c>
      <c r="D23" s="197" t="str">
        <f>'MRF Calculator'!D23</f>
        <v>Invoice</v>
      </c>
      <c r="E23" s="214" t="str">
        <f>'MRF Calculator'!E23</f>
        <v>Mcclung</v>
      </c>
      <c r="F23" s="348" t="str">
        <f>'MRF Calculator'!F23</f>
        <v>A-0661</v>
      </c>
      <c r="G23" s="350"/>
      <c r="H23" s="348" t="str">
        <f>'MRF Calculator'!H23</f>
        <v>oil filter</v>
      </c>
      <c r="I23" s="349"/>
      <c r="J23" s="349"/>
      <c r="K23" s="350"/>
      <c r="L23" s="203">
        <f>'MRF Calculator'!L23</f>
        <v>3</v>
      </c>
      <c r="M23" s="352">
        <f>'MRF Calculator'!M23</f>
        <v>37.971428571428568</v>
      </c>
      <c r="N23" s="204" t="str">
        <f>'MRF Calculator'!N23</f>
        <v/>
      </c>
      <c r="O23" s="206" t="str">
        <f>'MRF Calculator'!O23</f>
        <v/>
      </c>
    </row>
    <row r="24" spans="2:15">
      <c r="B24" s="197">
        <f>'MRF Calculator'!B24</f>
        <v>8</v>
      </c>
      <c r="C24" s="197" t="str">
        <f>'MRF Calculator'!C24</f>
        <v/>
      </c>
      <c r="D24" s="197" t="str">
        <f>'MRF Calculator'!D24</f>
        <v>Invoice</v>
      </c>
      <c r="E24" s="214" t="str">
        <f>'MRF Calculator'!E24</f>
        <v>Mcclung</v>
      </c>
      <c r="F24" s="348" t="str">
        <f>'MRF Calculator'!F24</f>
        <v>A-3875</v>
      </c>
      <c r="G24" s="350"/>
      <c r="H24" s="348" t="str">
        <f>'MRF Calculator'!H24</f>
        <v>gasket</v>
      </c>
      <c r="I24" s="349"/>
      <c r="J24" s="349"/>
      <c r="K24" s="350"/>
      <c r="L24" s="203">
        <f>'MRF Calculator'!L24</f>
        <v>1</v>
      </c>
      <c r="M24" s="352">
        <f>'MRF Calculator'!M24</f>
        <v>24.200000000000003</v>
      </c>
      <c r="N24" s="204" t="str">
        <f>'MRF Calculator'!N24</f>
        <v/>
      </c>
      <c r="O24" s="206" t="str">
        <f>'MRF Calculator'!O24</f>
        <v/>
      </c>
    </row>
    <row r="25" spans="2:15">
      <c r="B25" s="197">
        <f>'MRF Calculator'!B25</f>
        <v>9</v>
      </c>
      <c r="C25" s="197" t="str">
        <f>'MRF Calculator'!C25</f>
        <v/>
      </c>
      <c r="D25" s="197" t="str">
        <f>'MRF Calculator'!D25</f>
        <v>Invoice</v>
      </c>
      <c r="E25" s="214" t="str">
        <f>'MRF Calculator'!E25</f>
        <v>Mcclung</v>
      </c>
      <c r="F25" s="348" t="str">
        <f>'MRF Calculator'!F25</f>
        <v>B-0779</v>
      </c>
      <c r="G25" s="350"/>
      <c r="H25" s="348" t="str">
        <f>'MRF Calculator'!H25</f>
        <v>Gasket</v>
      </c>
      <c r="I25" s="349"/>
      <c r="J25" s="349"/>
      <c r="K25" s="350"/>
      <c r="L25" s="203">
        <f>'MRF Calculator'!L25</f>
        <v>2</v>
      </c>
      <c r="M25" s="352">
        <f>'MRF Calculator'!M25</f>
        <v>16.2</v>
      </c>
      <c r="N25" s="204" t="str">
        <f>'MRF Calculator'!N25</f>
        <v/>
      </c>
      <c r="O25" s="206" t="str">
        <f>'MRF Calculator'!O25</f>
        <v/>
      </c>
    </row>
    <row r="26" spans="2:15">
      <c r="B26" s="197">
        <f>'MRF Calculator'!B26</f>
        <v>10</v>
      </c>
      <c r="C26" s="197" t="str">
        <f>'MRF Calculator'!C26</f>
        <v/>
      </c>
      <c r="D26" s="197" t="str">
        <f>'MRF Calculator'!D26</f>
        <v>Invoice</v>
      </c>
      <c r="E26" s="214" t="str">
        <f>'MRF Calculator'!E26</f>
        <v>Mcclung</v>
      </c>
      <c r="F26" s="348" t="str">
        <f>'MRF Calculator'!F26</f>
        <v>B-0832</v>
      </c>
      <c r="G26" s="350"/>
      <c r="H26" s="348" t="str">
        <f>'MRF Calculator'!H26</f>
        <v>gasket</v>
      </c>
      <c r="I26" s="349"/>
      <c r="J26" s="349"/>
      <c r="K26" s="350"/>
      <c r="L26" s="203">
        <f>'MRF Calculator'!L26</f>
        <v>8</v>
      </c>
      <c r="M26" s="352">
        <f>'MRF Calculator'!M26</f>
        <v>233.48571428571429</v>
      </c>
      <c r="N26" s="204" t="str">
        <f>'MRF Calculator'!N26</f>
        <v/>
      </c>
      <c r="O26" s="206" t="str">
        <f>'MRF Calculator'!O26</f>
        <v/>
      </c>
    </row>
    <row r="27" spans="2:15">
      <c r="B27" s="197">
        <f>'MRF Calculator'!B27</f>
        <v>11</v>
      </c>
      <c r="C27" s="197" t="str">
        <f>'MRF Calculator'!C27</f>
        <v/>
      </c>
      <c r="D27" s="197" t="str">
        <f>'MRF Calculator'!D27</f>
        <v>Invoice</v>
      </c>
      <c r="E27" s="214" t="str">
        <f>'MRF Calculator'!E27</f>
        <v>Mcclung</v>
      </c>
      <c r="F27" s="348" t="str">
        <f>'MRF Calculator'!F27</f>
        <v>C-6200</v>
      </c>
      <c r="G27" s="350"/>
      <c r="H27" s="348" t="str">
        <f>'MRF Calculator'!H27</f>
        <v>gasket</v>
      </c>
      <c r="I27" s="349"/>
      <c r="J27" s="349"/>
      <c r="K27" s="350"/>
      <c r="L27" s="203">
        <f>'MRF Calculator'!L27</f>
        <v>1</v>
      </c>
      <c r="M27" s="352">
        <f>'MRF Calculator'!M27</f>
        <v>173.39999999999998</v>
      </c>
      <c r="N27" s="204" t="str">
        <f>'MRF Calculator'!N27</f>
        <v/>
      </c>
      <c r="O27" s="206" t="str">
        <f>'MRF Calculator'!O27</f>
        <v/>
      </c>
    </row>
    <row r="28" spans="2:15">
      <c r="B28" s="197">
        <f>'MRF Calculator'!B28</f>
        <v>12</v>
      </c>
      <c r="C28" s="197" t="str">
        <f>'MRF Calculator'!C28</f>
        <v/>
      </c>
      <c r="D28" s="197" t="str">
        <f>'MRF Calculator'!D28</f>
        <v>Invoice</v>
      </c>
      <c r="E28" s="214" t="str">
        <f>'MRF Calculator'!E28</f>
        <v>Mcclung</v>
      </c>
      <c r="F28" s="348" t="str">
        <f>'MRF Calculator'!F28</f>
        <v>B-0844</v>
      </c>
      <c r="G28" s="350"/>
      <c r="H28" s="348" t="str">
        <f>'MRF Calculator'!H28</f>
        <v>gasket</v>
      </c>
      <c r="I28" s="349"/>
      <c r="J28" s="349"/>
      <c r="K28" s="350"/>
      <c r="L28" s="203">
        <f>'MRF Calculator'!L28</f>
        <v>2</v>
      </c>
      <c r="M28" s="352">
        <f>'MRF Calculator'!M28</f>
        <v>95.5</v>
      </c>
      <c r="N28" s="204" t="str">
        <f>'MRF Calculator'!N28</f>
        <v/>
      </c>
      <c r="O28" s="206" t="str">
        <f>'MRF Calculator'!O28</f>
        <v/>
      </c>
    </row>
    <row r="29" spans="2:15">
      <c r="B29" s="197">
        <f>'MRF Calculator'!B29</f>
        <v>13</v>
      </c>
      <c r="C29" s="197" t="str">
        <f>'MRF Calculator'!C29</f>
        <v/>
      </c>
      <c r="D29" s="197" t="str">
        <f>'MRF Calculator'!D29</f>
        <v>Invoice</v>
      </c>
      <c r="E29" s="214" t="str">
        <f>'MRF Calculator'!E29</f>
        <v>Mcclung</v>
      </c>
      <c r="F29" s="348" t="str">
        <f>'MRF Calculator'!F29</f>
        <v>A-3873</v>
      </c>
      <c r="G29" s="350"/>
      <c r="H29" s="348" t="str">
        <f>'MRF Calculator'!H29</f>
        <v>spkt</v>
      </c>
      <c r="I29" s="349"/>
      <c r="J29" s="349"/>
      <c r="K29" s="350"/>
      <c r="L29" s="203">
        <f>'MRF Calculator'!L29</f>
        <v>1</v>
      </c>
      <c r="M29" s="352">
        <f>'MRF Calculator'!M29</f>
        <v>75.387500000000003</v>
      </c>
      <c r="N29" s="204" t="str">
        <f>'MRF Calculator'!N29</f>
        <v/>
      </c>
      <c r="O29" s="206" t="str">
        <f>'MRF Calculator'!O29</f>
        <v/>
      </c>
    </row>
    <row r="30" spans="2:15">
      <c r="B30" s="197">
        <f>'MRF Calculator'!B30</f>
        <v>14</v>
      </c>
      <c r="C30" s="197" t="str">
        <f>'MRF Calculator'!C30</f>
        <v/>
      </c>
      <c r="D30" s="197" t="str">
        <f>'MRF Calculator'!D30</f>
        <v>Invoice</v>
      </c>
      <c r="E30" s="214" t="str">
        <f>'MRF Calculator'!E30</f>
        <v>Mcclung</v>
      </c>
      <c r="F30" s="348" t="str">
        <f>'MRF Calculator'!F30</f>
        <v>A-3918</v>
      </c>
      <c r="G30" s="350"/>
      <c r="H30" s="348" t="str">
        <f>'MRF Calculator'!H30</f>
        <v>spkt</v>
      </c>
      <c r="I30" s="349"/>
      <c r="J30" s="349"/>
      <c r="K30" s="350"/>
      <c r="L30" s="203">
        <f>'MRF Calculator'!L30</f>
        <v>1</v>
      </c>
      <c r="M30" s="352">
        <f>'MRF Calculator'!M30</f>
        <v>62.15</v>
      </c>
      <c r="N30" s="204" t="str">
        <f>'MRF Calculator'!N30</f>
        <v/>
      </c>
      <c r="O30" s="206" t="str">
        <f>'MRF Calculator'!O30</f>
        <v/>
      </c>
    </row>
    <row r="31" spans="2:15">
      <c r="B31" s="197">
        <f>'MRF Calculator'!B31</f>
        <v>15</v>
      </c>
      <c r="C31" s="197" t="str">
        <f>'MRF Calculator'!C31</f>
        <v/>
      </c>
      <c r="D31" s="197" t="str">
        <f>'MRF Calculator'!D31</f>
        <v>Invoice</v>
      </c>
      <c r="E31" s="214" t="str">
        <f>'MRF Calculator'!E31</f>
        <v>Mcclung</v>
      </c>
      <c r="F31" s="348" t="str">
        <f>'MRF Calculator'!F31</f>
        <v>C-0642</v>
      </c>
      <c r="G31" s="350"/>
      <c r="H31" s="348" t="str">
        <f>'MRF Calculator'!H31</f>
        <v>gasket</v>
      </c>
      <c r="I31" s="349"/>
      <c r="J31" s="349"/>
      <c r="K31" s="350"/>
      <c r="L31" s="203">
        <f>'MRF Calculator'!L31</f>
        <v>2</v>
      </c>
      <c r="M31" s="352">
        <f>'MRF Calculator'!M31</f>
        <v>58.371428571428574</v>
      </c>
      <c r="N31" s="204" t="str">
        <f>'MRF Calculator'!N31</f>
        <v/>
      </c>
      <c r="O31" s="206" t="str">
        <f>'MRF Calculator'!O31</f>
        <v/>
      </c>
    </row>
    <row r="32" spans="2:15">
      <c r="B32" s="197">
        <f>'MRF Calculator'!B32</f>
        <v>16</v>
      </c>
      <c r="C32" s="197" t="str">
        <f>'MRF Calculator'!C32</f>
        <v/>
      </c>
      <c r="D32" s="197" t="str">
        <f>'MRF Calculator'!D32</f>
        <v>Invoice</v>
      </c>
      <c r="E32" s="214" t="str">
        <f>'MRF Calculator'!E32</f>
        <v>Mcclung</v>
      </c>
      <c r="F32" s="348" t="str">
        <f>'MRF Calculator'!F32</f>
        <v>D-0752</v>
      </c>
      <c r="G32" s="350"/>
      <c r="H32" s="348" t="str">
        <f>'MRF Calculator'!H32</f>
        <v>oil pump</v>
      </c>
      <c r="I32" s="349"/>
      <c r="J32" s="349"/>
      <c r="K32" s="350"/>
      <c r="L32" s="203">
        <f>'MRF Calculator'!L32</f>
        <v>1</v>
      </c>
      <c r="M32" s="352">
        <f>'MRF Calculator'!M32</f>
        <v>2044.8117647058823</v>
      </c>
      <c r="N32" s="204" t="str">
        <f>'MRF Calculator'!N32</f>
        <v/>
      </c>
      <c r="O32" s="206" t="str">
        <f>'MRF Calculator'!O32</f>
        <v/>
      </c>
    </row>
    <row r="33" spans="2:15">
      <c r="B33" s="197">
        <f>'MRF Calculator'!B33</f>
        <v>17</v>
      </c>
      <c r="C33" s="197" t="str">
        <f>'MRF Calculator'!C33</f>
        <v/>
      </c>
      <c r="D33" s="197" t="str">
        <f>'MRF Calculator'!D33</f>
        <v>Invoice</v>
      </c>
      <c r="E33" s="214" t="str">
        <f>'MRF Calculator'!E33</f>
        <v>Mcclung</v>
      </c>
      <c r="F33" s="348" t="str">
        <f>'MRF Calculator'!F33</f>
        <v>A-3869</v>
      </c>
      <c r="G33" s="350"/>
      <c r="H33" s="348" t="str">
        <f>'MRF Calculator'!H33</f>
        <v>bolt</v>
      </c>
      <c r="I33" s="349"/>
      <c r="J33" s="349"/>
      <c r="K33" s="350"/>
      <c r="L33" s="203">
        <f>'MRF Calculator'!L33</f>
        <v>4</v>
      </c>
      <c r="M33" s="352">
        <f>'MRF Calculator'!M33</f>
        <v>221.95</v>
      </c>
      <c r="N33" s="204" t="str">
        <f>'MRF Calculator'!N33</f>
        <v/>
      </c>
      <c r="O33" s="206" t="str">
        <f>'MRF Calculator'!O33</f>
        <v/>
      </c>
    </row>
    <row r="34" spans="2:15">
      <c r="B34" s="197">
        <f>'MRF Calculator'!B34</f>
        <v>18</v>
      </c>
      <c r="C34" s="197" t="str">
        <f>'MRF Calculator'!C34</f>
        <v/>
      </c>
      <c r="D34" s="197" t="str">
        <f>'MRF Calculator'!D34</f>
        <v>Invoice</v>
      </c>
      <c r="E34" s="214" t="str">
        <f>'MRF Calculator'!E34</f>
        <v>Mcclung</v>
      </c>
      <c r="F34" s="348" t="str">
        <f>'MRF Calculator'!F34</f>
        <v>FN0461GA</v>
      </c>
      <c r="G34" s="350"/>
      <c r="H34" s="348" t="str">
        <f>'MRF Calculator'!H34</f>
        <v>nut</v>
      </c>
      <c r="I34" s="349"/>
      <c r="J34" s="349"/>
      <c r="K34" s="350"/>
      <c r="L34" s="203">
        <f>'MRF Calculator'!L34</f>
        <v>4</v>
      </c>
      <c r="M34" s="352">
        <f>'MRF Calculator'!M34</f>
        <v>4.2666666666666666</v>
      </c>
      <c r="N34" s="204" t="str">
        <f>'MRF Calculator'!N34</f>
        <v/>
      </c>
      <c r="O34" s="206" t="str">
        <f>'MRF Calculator'!O34</f>
        <v/>
      </c>
    </row>
    <row r="35" spans="2:15">
      <c r="B35" s="197">
        <f>'MRF Calculator'!B35</f>
        <v>19</v>
      </c>
      <c r="C35" s="197" t="str">
        <f>'MRF Calculator'!C35</f>
        <v/>
      </c>
      <c r="D35" s="197" t="str">
        <f>'MRF Calculator'!D35</f>
        <v>Invoice</v>
      </c>
      <c r="E35" s="214" t="str">
        <f>'MRF Calculator'!E35</f>
        <v>Mcclung</v>
      </c>
      <c r="F35" s="348" t="str">
        <f>'MRF Calculator'!F35</f>
        <v>A-2839</v>
      </c>
      <c r="G35" s="350"/>
      <c r="H35" s="348" t="str">
        <f>'MRF Calculator'!H35</f>
        <v>stl gasket</v>
      </c>
      <c r="I35" s="349"/>
      <c r="J35" s="349"/>
      <c r="K35" s="350"/>
      <c r="L35" s="203">
        <f>'MRF Calculator'!L35</f>
        <v>4</v>
      </c>
      <c r="M35" s="352">
        <f>'MRF Calculator'!M35</f>
        <v>305.45</v>
      </c>
      <c r="N35" s="204" t="str">
        <f>'MRF Calculator'!N35</f>
        <v/>
      </c>
      <c r="O35" s="206" t="str">
        <f>'MRF Calculator'!O35</f>
        <v/>
      </c>
    </row>
    <row r="36" spans="2:15">
      <c r="B36" s="197">
        <f>'MRF Calculator'!B36</f>
        <v>20</v>
      </c>
      <c r="C36" s="197" t="str">
        <f>'MRF Calculator'!C36</f>
        <v/>
      </c>
      <c r="D36" s="197" t="str">
        <f>'MRF Calculator'!D36</f>
        <v>Invoice</v>
      </c>
      <c r="E36" s="214" t="str">
        <f>'MRF Calculator'!E36</f>
        <v>Mcclung</v>
      </c>
      <c r="F36" s="348" t="str">
        <f>'MRF Calculator'!F36</f>
        <v>A-0724</v>
      </c>
      <c r="G36" s="350"/>
      <c r="H36" s="348" t="str">
        <f>'MRF Calculator'!H36</f>
        <v>O-rings</v>
      </c>
      <c r="I36" s="349"/>
      <c r="J36" s="349"/>
      <c r="K36" s="350"/>
      <c r="L36" s="203">
        <f>'MRF Calculator'!L36</f>
        <v>2</v>
      </c>
      <c r="M36" s="352">
        <f>'MRF Calculator'!M36</f>
        <v>14.15</v>
      </c>
      <c r="N36" s="204" t="str">
        <f>'MRF Calculator'!N36</f>
        <v/>
      </c>
      <c r="O36" s="206" t="str">
        <f>'MRF Calculator'!O36</f>
        <v/>
      </c>
    </row>
    <row r="37" spans="2:15" ht="12.75" customHeight="1">
      <c r="B37" s="197">
        <f>'MRF Calculator'!B37</f>
        <v>21</v>
      </c>
      <c r="C37" s="197" t="str">
        <f>'MRF Calculator'!C37</f>
        <v/>
      </c>
      <c r="D37" s="197" t="str">
        <f>'MRF Calculator'!D37</f>
        <v>Invoice</v>
      </c>
      <c r="E37" s="214" t="str">
        <f>'MRF Calculator'!E37</f>
        <v>Mcclung</v>
      </c>
      <c r="F37" s="348" t="str">
        <f>'MRF Calculator'!F37</f>
        <v>A-10754</v>
      </c>
      <c r="G37" s="350"/>
      <c r="H37" s="348" t="str">
        <f>'MRF Calculator'!H37</f>
        <v>DNFT</v>
      </c>
      <c r="I37" s="349"/>
      <c r="J37" s="349"/>
      <c r="K37" s="350"/>
      <c r="L37" s="203">
        <f>'MRF Calculator'!L37</f>
        <v>2</v>
      </c>
      <c r="M37" s="352">
        <f>'MRF Calculator'!M37</f>
        <v>1853.2235294117647</v>
      </c>
      <c r="N37" s="204" t="str">
        <f>'MRF Calculator'!N37</f>
        <v/>
      </c>
      <c r="O37" s="206" t="str">
        <f>'MRF Calculator'!O37</f>
        <v/>
      </c>
    </row>
    <row r="38" spans="2:15">
      <c r="B38" s="197">
        <f>'MRF Calculator'!B38</f>
        <v>22</v>
      </c>
      <c r="C38" s="197" t="str">
        <f>'MRF Calculator'!C38</f>
        <v/>
      </c>
      <c r="D38" s="197" t="str">
        <f>'MRF Calculator'!D38</f>
        <v>Invoice</v>
      </c>
      <c r="E38" s="214" t="str">
        <f>'MRF Calculator'!E38</f>
        <v>Mcclung</v>
      </c>
      <c r="F38" s="348" t="str">
        <f>'MRF Calculator'!F38</f>
        <v>A-17256-A</v>
      </c>
      <c r="G38" s="350"/>
      <c r="H38" s="348" t="str">
        <f>'MRF Calculator'!H38</f>
        <v>gauge</v>
      </c>
      <c r="I38" s="349"/>
      <c r="J38" s="349"/>
      <c r="K38" s="350"/>
      <c r="L38" s="203">
        <f>'MRF Calculator'!L38</f>
        <v>2</v>
      </c>
      <c r="M38" s="352">
        <f>'MRF Calculator'!M38</f>
        <v>310.45</v>
      </c>
      <c r="N38" s="204" t="str">
        <f>'MRF Calculator'!N38</f>
        <v/>
      </c>
      <c r="O38" s="206" t="str">
        <f>'MRF Calculator'!O38</f>
        <v/>
      </c>
    </row>
    <row r="39" spans="2:15">
      <c r="B39" s="197">
        <f>'MRF Calculator'!B39</f>
        <v>23</v>
      </c>
      <c r="C39" s="197" t="str">
        <f>'MRF Calculator'!C39</f>
        <v/>
      </c>
      <c r="D39" s="197" t="str">
        <f>'MRF Calculator'!D39</f>
        <v>Invoice</v>
      </c>
      <c r="E39" s="214" t="str">
        <f>'MRF Calculator'!E39</f>
        <v>Mcclung</v>
      </c>
      <c r="F39" s="348" t="str">
        <f>'MRF Calculator'!F39</f>
        <v>A-18527-A</v>
      </c>
      <c r="G39" s="350"/>
      <c r="H39" s="348" t="str">
        <f>'MRF Calculator'!H39</f>
        <v>lube pumps</v>
      </c>
      <c r="I39" s="349"/>
      <c r="J39" s="349"/>
      <c r="K39" s="350"/>
      <c r="L39" s="203">
        <f>'MRF Calculator'!L39</f>
        <v>2</v>
      </c>
      <c r="M39" s="352">
        <f>'MRF Calculator'!M39</f>
        <v>446.12499999999994</v>
      </c>
      <c r="N39" s="204" t="str">
        <f>'MRF Calculator'!N39</f>
        <v/>
      </c>
      <c r="O39" s="206" t="str">
        <f>'MRF Calculator'!O39</f>
        <v/>
      </c>
    </row>
    <row r="40" spans="2:15">
      <c r="B40" s="197">
        <f>'MRF Calculator'!B40</f>
        <v>24</v>
      </c>
      <c r="C40" s="197" t="str">
        <f>'MRF Calculator'!C40</f>
        <v/>
      </c>
      <c r="D40" s="197" t="str">
        <f>'MRF Calculator'!D40</f>
        <v>Invoice</v>
      </c>
      <c r="E40" s="214" t="str">
        <f>'MRF Calculator'!E40</f>
        <v>Mcclung</v>
      </c>
      <c r="F40" s="348" t="str">
        <f>'MRF Calculator'!F40</f>
        <v>A-2586</v>
      </c>
      <c r="G40" s="350"/>
      <c r="H40" s="348" t="str">
        <f>'MRF Calculator'!H40</f>
        <v xml:space="preserve">6T-9T-12T  throws 1 and 3 </v>
      </c>
      <c r="I40" s="349"/>
      <c r="J40" s="349"/>
      <c r="K40" s="350"/>
      <c r="L40" s="203">
        <f>'MRF Calculator'!L40</f>
        <v>1</v>
      </c>
      <c r="M40" s="352">
        <f>'MRF Calculator'!M40</f>
        <v>474.9</v>
      </c>
      <c r="N40" s="204" t="str">
        <f>'MRF Calculator'!N40</f>
        <v/>
      </c>
      <c r="O40" s="206" t="str">
        <f>'MRF Calculator'!O40</f>
        <v/>
      </c>
    </row>
    <row r="41" spans="2:15">
      <c r="B41" s="197">
        <f>'MRF Calculator'!B41</f>
        <v>25</v>
      </c>
      <c r="C41" s="197" t="str">
        <f>'MRF Calculator'!C41</f>
        <v/>
      </c>
      <c r="D41" s="197" t="str">
        <f>'MRF Calculator'!D41</f>
        <v>Invoice</v>
      </c>
      <c r="E41" s="214" t="str">
        <f>'MRF Calculator'!E41</f>
        <v>Mcclung</v>
      </c>
      <c r="F41" s="348" t="str">
        <f>'MRF Calculator'!F41</f>
        <v>A-8013</v>
      </c>
      <c r="G41" s="350"/>
      <c r="H41" s="348" t="str">
        <f>'MRF Calculator'!H41</f>
        <v>6T-12T-12T  throws 2 and 4</v>
      </c>
      <c r="I41" s="349"/>
      <c r="J41" s="349"/>
      <c r="K41" s="350"/>
      <c r="L41" s="203">
        <f>'MRF Calculator'!L41</f>
        <v>1</v>
      </c>
      <c r="M41" s="352">
        <f>'MRF Calculator'!M41</f>
        <v>474.9</v>
      </c>
      <c r="N41" s="204" t="str">
        <f>'MRF Calculator'!N41</f>
        <v/>
      </c>
      <c r="O41" s="206" t="str">
        <f>'MRF Calculator'!O41</f>
        <v/>
      </c>
    </row>
    <row r="42" spans="2:15">
      <c r="B42" s="197">
        <f>'MRF Calculator'!B42</f>
        <v>26</v>
      </c>
      <c r="C42" s="197" t="str">
        <f>'MRF Calculator'!C42</f>
        <v/>
      </c>
      <c r="D42" s="197" t="str">
        <f>'MRF Calculator'!D42</f>
        <v>Invoice</v>
      </c>
      <c r="E42" s="214" t="str">
        <f>'MRF Calculator'!E42</f>
        <v>Mcclung</v>
      </c>
      <c r="F42" s="348" t="str">
        <f>'MRF Calculator'!F42</f>
        <v>A-2399</v>
      </c>
      <c r="G42" s="350"/>
      <c r="H42" s="348" t="str">
        <f>'MRF Calculator'!H42</f>
        <v>VVCP Packing</v>
      </c>
      <c r="I42" s="349"/>
      <c r="J42" s="349"/>
      <c r="K42" s="350"/>
      <c r="L42" s="203">
        <f>'MRF Calculator'!L42</f>
        <v>3</v>
      </c>
      <c r="M42" s="352">
        <f>'MRF Calculator'!M42</f>
        <v>80.357142857142861</v>
      </c>
      <c r="N42" s="204" t="str">
        <f>'MRF Calculator'!N42</f>
        <v/>
      </c>
      <c r="O42" s="206" t="str">
        <f>'MRF Calculator'!O42</f>
        <v/>
      </c>
    </row>
    <row r="43" spans="2:15">
      <c r="B43" s="197">
        <f>'MRF Calculator'!B43</f>
        <v>27</v>
      </c>
      <c r="C43" s="197" t="str">
        <f>'MRF Calculator'!C43</f>
        <v/>
      </c>
      <c r="D43" s="197" t="str">
        <f>'MRF Calculator'!D43</f>
        <v>Invoice</v>
      </c>
      <c r="E43" s="214" t="str">
        <f>'MRF Calculator'!E43</f>
        <v>Mcclung</v>
      </c>
      <c r="F43" s="348" t="str">
        <f>'MRF Calculator'!F43</f>
        <v>A-2891</v>
      </c>
      <c r="G43" s="350"/>
      <c r="H43" s="348" t="str">
        <f>'MRF Calculator'!H43</f>
        <v>VVCP rings</v>
      </c>
      <c r="I43" s="349"/>
      <c r="J43" s="349"/>
      <c r="K43" s="350"/>
      <c r="L43" s="203">
        <f>'MRF Calculator'!L43</f>
        <v>3</v>
      </c>
      <c r="M43" s="352">
        <f>'MRF Calculator'!M43</f>
        <v>930.52499999999986</v>
      </c>
      <c r="N43" s="204" t="str">
        <f>'MRF Calculator'!N43</f>
        <v/>
      </c>
      <c r="O43" s="206" t="str">
        <f>'MRF Calculator'!O43</f>
        <v/>
      </c>
    </row>
    <row r="44" spans="2:15">
      <c r="B44" s="197">
        <f>'MRF Calculator'!B44</f>
        <v>28</v>
      </c>
      <c r="C44" s="197" t="str">
        <f>'MRF Calculator'!C44</f>
        <v/>
      </c>
      <c r="D44" s="197" t="str">
        <f>'MRF Calculator'!D44</f>
        <v>Invoice</v>
      </c>
      <c r="E44" s="214" t="str">
        <f>'MRF Calculator'!E44</f>
        <v>Mcclung</v>
      </c>
      <c r="F44" s="348" t="str">
        <f>'MRF Calculator'!F44</f>
        <v>A-18592</v>
      </c>
      <c r="G44" s="350"/>
      <c r="H44" s="348" t="str">
        <f>'MRF Calculator'!H44</f>
        <v>lub pump gasket</v>
      </c>
      <c r="I44" s="349"/>
      <c r="J44" s="349"/>
      <c r="K44" s="350"/>
      <c r="L44" s="203">
        <f>'MRF Calculator'!L44</f>
        <v>2</v>
      </c>
      <c r="M44" s="352">
        <f>'MRF Calculator'!M44</f>
        <v>8.0285714285714285</v>
      </c>
      <c r="N44" s="204" t="str">
        <f>'MRF Calculator'!N44</f>
        <v/>
      </c>
      <c r="O44" s="206" t="str">
        <f>'MRF Calculator'!O44</f>
        <v/>
      </c>
    </row>
    <row r="45" spans="2:15">
      <c r="B45" s="197">
        <f>'MRF Calculator'!B45</f>
        <v>29</v>
      </c>
      <c r="C45" s="197" t="str">
        <f>'MRF Calculator'!C45</f>
        <v/>
      </c>
      <c r="D45" s="197" t="str">
        <f>'MRF Calculator'!D45</f>
        <v>Invoice</v>
      </c>
      <c r="E45" s="214" t="str">
        <f>'MRF Calculator'!E45</f>
        <v>MATA</v>
      </c>
      <c r="F45" s="348" t="str">
        <f>'MRF Calculator'!F45</f>
        <v>A-21136</v>
      </c>
      <c r="G45" s="350"/>
      <c r="H45" s="348" t="str">
        <f>'MRF Calculator'!H45</f>
        <v>rider bands</v>
      </c>
      <c r="I45" s="349"/>
      <c r="J45" s="349"/>
      <c r="K45" s="350"/>
      <c r="L45" s="203">
        <f>'MRF Calculator'!L45</f>
        <v>2</v>
      </c>
      <c r="M45" s="352">
        <f>'MRF Calculator'!M45</f>
        <v>1121.6249999999998</v>
      </c>
      <c r="N45" s="204" t="str">
        <f>'MRF Calculator'!N45</f>
        <v/>
      </c>
      <c r="O45" s="206" t="str">
        <f>'MRF Calculator'!O45</f>
        <v/>
      </c>
    </row>
    <row r="46" spans="2:15" ht="12.75" customHeight="1">
      <c r="B46" s="197">
        <f>'MRF Calculator'!B46</f>
        <v>30</v>
      </c>
      <c r="C46" s="197" t="str">
        <f>'MRF Calculator'!C46</f>
        <v/>
      </c>
      <c r="D46" s="197" t="str">
        <f>'MRF Calculator'!D46</f>
        <v>Invoice</v>
      </c>
      <c r="E46" s="214" t="str">
        <f>'MRF Calculator'!E46</f>
        <v>MATA</v>
      </c>
      <c r="F46" s="348" t="str">
        <f>'MRF Calculator'!F46</f>
        <v>A-2835</v>
      </c>
      <c r="G46" s="350"/>
      <c r="H46" s="348" t="str">
        <f>'MRF Calculator'!H46</f>
        <v>piston rings</v>
      </c>
      <c r="I46" s="349"/>
      <c r="J46" s="349"/>
      <c r="K46" s="350"/>
      <c r="L46" s="203">
        <f>'MRF Calculator'!L46</f>
        <v>4</v>
      </c>
      <c r="M46" s="352">
        <f>'MRF Calculator'!M46</f>
        <v>552.64</v>
      </c>
      <c r="N46" s="204" t="str">
        <f>'MRF Calculator'!N46</f>
        <v/>
      </c>
      <c r="O46" s="206" t="str">
        <f>'MRF Calculator'!O46</f>
        <v/>
      </c>
    </row>
    <row r="47" spans="2:15" ht="12.75" customHeight="1">
      <c r="B47" s="197">
        <f>'MRF Calculator'!B47</f>
        <v>31</v>
      </c>
      <c r="C47" s="197" t="str">
        <f>'MRF Calculator'!C47</f>
        <v/>
      </c>
      <c r="D47" s="197" t="str">
        <f>'MRF Calculator'!D47</f>
        <v>Invoice</v>
      </c>
      <c r="E47" s="214" t="str">
        <f>'MRF Calculator'!E47</f>
        <v>MATA</v>
      </c>
      <c r="F47" s="348" t="str">
        <f>'MRF Calculator'!F47</f>
        <v>A-2834</v>
      </c>
      <c r="G47" s="350"/>
      <c r="H47" s="348" t="str">
        <f>'MRF Calculator'!H47</f>
        <v>piston rings</v>
      </c>
      <c r="I47" s="349"/>
      <c r="J47" s="349"/>
      <c r="K47" s="350"/>
      <c r="L47" s="203">
        <f>'MRF Calculator'!L47</f>
        <v>2</v>
      </c>
      <c r="M47" s="352">
        <f>'MRF Calculator'!M47</f>
        <v>249.17499999999998</v>
      </c>
      <c r="N47" s="204" t="str">
        <f>'MRF Calculator'!N47</f>
        <v/>
      </c>
      <c r="O47" s="206" t="str">
        <f>'MRF Calculator'!O47</f>
        <v/>
      </c>
    </row>
    <row r="48" spans="2:15">
      <c r="B48" s="197">
        <f>'MRF Calculator'!B48</f>
        <v>32</v>
      </c>
      <c r="C48" s="197" t="str">
        <f>'MRF Calculator'!C48</f>
        <v/>
      </c>
      <c r="D48" s="197" t="str">
        <f>'MRF Calculator'!D48</f>
        <v>Invoice</v>
      </c>
      <c r="E48" s="214" t="str">
        <f>'MRF Calculator'!E48</f>
        <v>MATA</v>
      </c>
      <c r="F48" s="348" t="str">
        <f>'MRF Calculator'!F48</f>
        <v>B-1582-K</v>
      </c>
      <c r="G48" s="350"/>
      <c r="H48" s="348" t="str">
        <f>'MRF Calculator'!H48</f>
        <v>pressure packing</v>
      </c>
      <c r="I48" s="349"/>
      <c r="J48" s="349"/>
      <c r="K48" s="350"/>
      <c r="L48" s="203">
        <f>'MRF Calculator'!L48</f>
        <v>3</v>
      </c>
      <c r="M48" s="352">
        <f>'MRF Calculator'!M48</f>
        <v>674.96249999999998</v>
      </c>
      <c r="N48" s="204" t="str">
        <f>'MRF Calculator'!N48</f>
        <v/>
      </c>
      <c r="O48" s="206" t="str">
        <f>'MRF Calculator'!O48</f>
        <v/>
      </c>
    </row>
    <row r="49" spans="2:15">
      <c r="B49" s="197">
        <f>'MRF Calculator'!B49</f>
        <v>33</v>
      </c>
      <c r="C49" s="197" t="str">
        <f>'MRF Calculator'!C49</f>
        <v/>
      </c>
      <c r="D49" s="197" t="str">
        <f>'MRF Calculator'!D49</f>
        <v>Invoice</v>
      </c>
      <c r="E49" s="214" t="str">
        <f>'MRF Calculator'!E49</f>
        <v>MATA</v>
      </c>
      <c r="F49" s="348" t="str">
        <f>'MRF Calculator'!F49</f>
        <v>B-1584-K</v>
      </c>
      <c r="G49" s="350"/>
      <c r="H49" s="348" t="str">
        <f>'MRF Calculator'!H49</f>
        <v>pressure packing</v>
      </c>
      <c r="I49" s="349"/>
      <c r="J49" s="349"/>
      <c r="K49" s="350"/>
      <c r="L49" s="203">
        <f>'MRF Calculator'!L49</f>
        <v>1</v>
      </c>
      <c r="M49" s="352">
        <f>'MRF Calculator'!M49</f>
        <v>300.56249999999994</v>
      </c>
      <c r="N49" s="204" t="str">
        <f>'MRF Calculator'!N49</f>
        <v/>
      </c>
      <c r="O49" s="206" t="str">
        <f>'MRF Calculator'!O49</f>
        <v/>
      </c>
    </row>
    <row r="50" spans="2:15">
      <c r="B50" s="197">
        <f>'MRF Calculator'!B50</f>
        <v>34</v>
      </c>
      <c r="C50" s="197" t="str">
        <f>'MRF Calculator'!C50</f>
        <v/>
      </c>
      <c r="D50" s="197" t="str">
        <f>'MRF Calculator'!D50</f>
        <v>Invoice</v>
      </c>
      <c r="E50" s="214" t="str">
        <f>'MRF Calculator'!E50</f>
        <v>MATA</v>
      </c>
      <c r="F50" s="348" t="str">
        <f>'MRF Calculator'!F50</f>
        <v>B-6470-K</v>
      </c>
      <c r="G50" s="350"/>
      <c r="H50" s="348" t="str">
        <f>'MRF Calculator'!H50</f>
        <v>wiper packing</v>
      </c>
      <c r="I50" s="349"/>
      <c r="J50" s="349"/>
      <c r="K50" s="350"/>
      <c r="L50" s="203">
        <f>'MRF Calculator'!L50</f>
        <v>4</v>
      </c>
      <c r="M50" s="352">
        <f>'MRF Calculator'!M50</f>
        <v>525.91999999999996</v>
      </c>
      <c r="N50" s="204" t="str">
        <f>'MRF Calculator'!N50</f>
        <v/>
      </c>
      <c r="O50" s="206" t="str">
        <f>'MRF Calculator'!O50</f>
        <v/>
      </c>
    </row>
    <row r="51" spans="2:15">
      <c r="B51" s="197">
        <f>'MRF Calculator'!B51</f>
        <v>35</v>
      </c>
      <c r="C51" s="197" t="str">
        <f>'MRF Calculator'!C51</f>
        <v/>
      </c>
      <c r="D51" s="197" t="str">
        <f>'MRF Calculator'!D51</f>
        <v>Invoice</v>
      </c>
      <c r="E51" s="214" t="str">
        <f>'MRF Calculator'!E51</f>
        <v>CAT</v>
      </c>
      <c r="F51" s="348" t="str">
        <f>'MRF Calculator'!F51</f>
        <v>C-0645</v>
      </c>
      <c r="G51" s="350"/>
      <c r="H51" s="348" t="str">
        <f>'MRF Calculator'!H51</f>
        <v>Gasket</v>
      </c>
      <c r="I51" s="349"/>
      <c r="J51" s="349"/>
      <c r="K51" s="350"/>
      <c r="L51" s="203">
        <f>'MRF Calculator'!L51</f>
        <v>1</v>
      </c>
      <c r="M51" s="352">
        <f>'MRF Calculator'!M51</f>
        <v>26.349999999999998</v>
      </c>
      <c r="N51" s="204" t="str">
        <f>'MRF Calculator'!N51</f>
        <v/>
      </c>
      <c r="O51" s="206" t="str">
        <f>'MRF Calculator'!O51</f>
        <v/>
      </c>
    </row>
    <row r="52" spans="2:15">
      <c r="B52" s="197">
        <f>'MRF Calculator'!B52</f>
        <v>36</v>
      </c>
      <c r="C52" s="197" t="str">
        <f>'MRF Calculator'!C52</f>
        <v/>
      </c>
      <c r="D52" s="197" t="str">
        <f>'MRF Calculator'!D52</f>
        <v>Invoice</v>
      </c>
      <c r="E52" s="214" t="str">
        <f>'MRF Calculator'!E52</f>
        <v>CAT</v>
      </c>
      <c r="F52" s="348" t="str">
        <f>'MRF Calculator'!F52</f>
        <v>A-8723-K</v>
      </c>
      <c r="G52" s="350"/>
      <c r="H52" s="348" t="str">
        <f>'MRF Calculator'!H52</f>
        <v xml:space="preserve">filter kit </v>
      </c>
      <c r="I52" s="349"/>
      <c r="J52" s="349"/>
      <c r="K52" s="350"/>
      <c r="L52" s="203">
        <f>'MRF Calculator'!L52</f>
        <v>1</v>
      </c>
      <c r="M52" s="352">
        <f>'MRF Calculator'!M52</f>
        <v>13.342857142857143</v>
      </c>
      <c r="N52" s="204" t="str">
        <f>'MRF Calculator'!N52</f>
        <v/>
      </c>
      <c r="O52" s="206" t="str">
        <f>'MRF Calculator'!O52</f>
        <v/>
      </c>
    </row>
    <row r="53" spans="2:15">
      <c r="B53" s="197">
        <f>'MRF Calculator'!B53</f>
        <v>37</v>
      </c>
      <c r="C53" s="197" t="str">
        <f>'MRF Calculator'!C53</f>
        <v/>
      </c>
      <c r="D53" s="197" t="str">
        <f>'MRF Calculator'!D53</f>
        <v>Invoice</v>
      </c>
      <c r="E53" s="214" t="str">
        <f>'MRF Calculator'!E53</f>
        <v>CAT</v>
      </c>
      <c r="F53" s="348" t="str">
        <f>'MRF Calculator'!F53</f>
        <v>A-4359</v>
      </c>
      <c r="G53" s="350"/>
      <c r="H53" s="348" t="str">
        <f>'MRF Calculator'!H53</f>
        <v>rider bands</v>
      </c>
      <c r="I53" s="349"/>
      <c r="J53" s="349"/>
      <c r="K53" s="350"/>
      <c r="L53" s="203">
        <f>'MRF Calculator'!L53</f>
        <v>1</v>
      </c>
      <c r="M53" s="352">
        <f>'MRF Calculator'!M53</f>
        <v>536.78750000000002</v>
      </c>
      <c r="N53" s="204" t="str">
        <f>'MRF Calculator'!N53</f>
        <v/>
      </c>
      <c r="O53" s="206" t="str">
        <f>'MRF Calculator'!O53</f>
        <v/>
      </c>
    </row>
    <row r="54" spans="2:15">
      <c r="B54" s="197">
        <f>'MRF Calculator'!B54</f>
        <v>38</v>
      </c>
      <c r="C54" s="197" t="str">
        <f>'MRF Calculator'!C54</f>
        <v/>
      </c>
      <c r="D54" s="197" t="str">
        <f>'MRF Calculator'!D54</f>
        <v>Invoice</v>
      </c>
      <c r="E54" s="214" t="str">
        <f>'MRF Calculator'!E54</f>
        <v>CAT</v>
      </c>
      <c r="F54" s="348" t="str">
        <f>'MRF Calculator'!F54</f>
        <v>A-2076</v>
      </c>
      <c r="G54" s="350"/>
      <c r="H54" s="348" t="str">
        <f>'MRF Calculator'!H54</f>
        <v>piston rings</v>
      </c>
      <c r="I54" s="349"/>
      <c r="J54" s="349"/>
      <c r="K54" s="350"/>
      <c r="L54" s="203">
        <f>'MRF Calculator'!L54</f>
        <v>4</v>
      </c>
      <c r="M54" s="352">
        <f>'MRF Calculator'!M54</f>
        <v>268.57142857142861</v>
      </c>
      <c r="N54" s="204" t="str">
        <f>'MRF Calculator'!N54</f>
        <v/>
      </c>
      <c r="O54" s="206" t="str">
        <f>'MRF Calculator'!O54</f>
        <v/>
      </c>
    </row>
    <row r="55" spans="2:15">
      <c r="B55" s="197">
        <f>'MRF Calculator'!B55</f>
        <v>39</v>
      </c>
      <c r="C55" s="197" t="str">
        <f>'MRF Calculator'!C55</f>
        <v/>
      </c>
      <c r="D55" s="197" t="str">
        <f>'MRF Calculator'!D55</f>
        <v>Invoice</v>
      </c>
      <c r="E55" s="214" t="str">
        <f>'MRF Calculator'!E55</f>
        <v/>
      </c>
      <c r="F55" s="348" t="str">
        <f>'MRF Calculator'!F55</f>
        <v/>
      </c>
      <c r="G55" s="350"/>
      <c r="H55" s="348" t="str">
        <f>'MRF Calculator'!H55</f>
        <v/>
      </c>
      <c r="I55" s="349"/>
      <c r="J55" s="349"/>
      <c r="K55" s="350"/>
      <c r="L55" s="203" t="str">
        <f>'MRF Calculator'!L55</f>
        <v/>
      </c>
      <c r="M55" s="352" t="str">
        <f>'MRF Calculator'!M55</f>
        <v/>
      </c>
      <c r="N55" s="204" t="str">
        <f>'MRF Calculator'!N55</f>
        <v/>
      </c>
      <c r="O55" s="206" t="str">
        <f>'MRF Calculator'!O55</f>
        <v/>
      </c>
    </row>
    <row r="56" spans="2:15">
      <c r="B56" s="197">
        <f>'MRF Calculator'!B56</f>
        <v>40</v>
      </c>
      <c r="C56" s="197" t="str">
        <f>'MRF Calculator'!C56</f>
        <v/>
      </c>
      <c r="D56" s="197" t="str">
        <f>'MRF Calculator'!D56</f>
        <v>Invoice</v>
      </c>
      <c r="E56" s="214" t="str">
        <f>'MRF Calculator'!E56</f>
        <v/>
      </c>
      <c r="F56" s="348" t="str">
        <f>'MRF Calculator'!F56</f>
        <v/>
      </c>
      <c r="G56" s="350"/>
      <c r="H56" s="348" t="str">
        <f>'MRF Calculator'!H56</f>
        <v/>
      </c>
      <c r="I56" s="349"/>
      <c r="J56" s="349"/>
      <c r="K56" s="350"/>
      <c r="L56" s="203" t="str">
        <f>'MRF Calculator'!L56</f>
        <v/>
      </c>
      <c r="M56" s="352" t="str">
        <f>'MRF Calculator'!M56</f>
        <v/>
      </c>
      <c r="N56" s="204" t="str">
        <f>'MRF Calculator'!N56</f>
        <v/>
      </c>
      <c r="O56" s="206" t="str">
        <f>'MRF Calculator'!O56</f>
        <v/>
      </c>
    </row>
    <row r="57" spans="2:15">
      <c r="B57" s="197">
        <f>'MRF Calculator'!B57</f>
        <v>41</v>
      </c>
      <c r="C57" s="197" t="str">
        <f>'MRF Calculator'!C57</f>
        <v/>
      </c>
      <c r="D57" s="197" t="str">
        <f>'MRF Calculator'!D57</f>
        <v>Invoice</v>
      </c>
      <c r="E57" s="214" t="str">
        <f>'MRF Calculator'!E57</f>
        <v/>
      </c>
      <c r="F57" s="348" t="str">
        <f>'MRF Calculator'!F57</f>
        <v/>
      </c>
      <c r="G57" s="350"/>
      <c r="H57" s="348" t="str">
        <f>'MRF Calculator'!H57</f>
        <v/>
      </c>
      <c r="I57" s="349"/>
      <c r="J57" s="349"/>
      <c r="K57" s="350"/>
      <c r="L57" s="203" t="str">
        <f>'MRF Calculator'!L57</f>
        <v/>
      </c>
      <c r="M57" s="352" t="str">
        <f>'MRF Calculator'!M57</f>
        <v/>
      </c>
      <c r="N57" s="204" t="str">
        <f>'MRF Calculator'!N57</f>
        <v/>
      </c>
      <c r="O57" s="206" t="str">
        <f>'MRF Calculator'!O57</f>
        <v/>
      </c>
    </row>
    <row r="58" spans="2:15">
      <c r="B58" s="197">
        <f>'MRF Calculator'!B58</f>
        <v>42</v>
      </c>
      <c r="C58" s="197" t="str">
        <f>'MRF Calculator'!C58</f>
        <v/>
      </c>
      <c r="D58" s="197" t="str">
        <f>'MRF Calculator'!D58</f>
        <v>Invoice</v>
      </c>
      <c r="E58" s="214" t="str">
        <f>'MRF Calculator'!E58</f>
        <v/>
      </c>
      <c r="F58" s="348" t="str">
        <f>'MRF Calculator'!F58</f>
        <v/>
      </c>
      <c r="G58" s="350"/>
      <c r="H58" s="348" t="str">
        <f>'MRF Calculator'!H58</f>
        <v/>
      </c>
      <c r="I58" s="349"/>
      <c r="J58" s="349"/>
      <c r="K58" s="350"/>
      <c r="L58" s="203" t="str">
        <f>'MRF Calculator'!L58</f>
        <v/>
      </c>
      <c r="M58" s="352" t="str">
        <f>'MRF Calculator'!M58</f>
        <v/>
      </c>
      <c r="N58" s="204" t="str">
        <f>'MRF Calculator'!N58</f>
        <v/>
      </c>
      <c r="O58" s="206" t="str">
        <f>'MRF Calculator'!O58</f>
        <v/>
      </c>
    </row>
    <row r="59" spans="2:15">
      <c r="B59" s="197">
        <f>'MRF Calculator'!B59</f>
        <v>43</v>
      </c>
      <c r="C59" s="197" t="str">
        <f>'MRF Calculator'!C59</f>
        <v/>
      </c>
      <c r="D59" s="197" t="str">
        <f>'MRF Calculator'!D59</f>
        <v>Invoice</v>
      </c>
      <c r="E59" s="214" t="str">
        <f>'MRF Calculator'!E59</f>
        <v/>
      </c>
      <c r="F59" s="348" t="str">
        <f>'MRF Calculator'!F59</f>
        <v/>
      </c>
      <c r="G59" s="350"/>
      <c r="H59" s="348" t="str">
        <f>'MRF Calculator'!H59</f>
        <v/>
      </c>
      <c r="I59" s="349"/>
      <c r="J59" s="349"/>
      <c r="K59" s="350"/>
      <c r="L59" s="203" t="str">
        <f>'MRF Calculator'!L59</f>
        <v/>
      </c>
      <c r="M59" s="352" t="str">
        <f>'MRF Calculator'!M59</f>
        <v/>
      </c>
      <c r="N59" s="204" t="str">
        <f>'MRF Calculator'!N59</f>
        <v/>
      </c>
      <c r="O59" s="206" t="str">
        <f>'MRF Calculator'!O59</f>
        <v/>
      </c>
    </row>
    <row r="60" spans="2:15">
      <c r="B60" s="197">
        <f>'MRF Calculator'!B60</f>
        <v>44</v>
      </c>
      <c r="C60" s="197" t="str">
        <f>'MRF Calculator'!C60</f>
        <v/>
      </c>
      <c r="D60" s="197" t="str">
        <f>'MRF Calculator'!D60</f>
        <v>Invoice</v>
      </c>
      <c r="E60" s="214" t="str">
        <f>'MRF Calculator'!E60</f>
        <v/>
      </c>
      <c r="F60" s="348" t="str">
        <f>'MRF Calculator'!F60</f>
        <v/>
      </c>
      <c r="G60" s="350"/>
      <c r="H60" s="348" t="str">
        <f>'MRF Calculator'!H60</f>
        <v/>
      </c>
      <c r="I60" s="349"/>
      <c r="J60" s="349"/>
      <c r="K60" s="350"/>
      <c r="L60" s="203" t="str">
        <f>'MRF Calculator'!L60</f>
        <v/>
      </c>
      <c r="M60" s="352" t="str">
        <f>'MRF Calculator'!M60</f>
        <v/>
      </c>
      <c r="N60" s="204" t="str">
        <f>'MRF Calculator'!N60</f>
        <v/>
      </c>
      <c r="O60" s="206" t="str">
        <f>'MRF Calculator'!O60</f>
        <v/>
      </c>
    </row>
    <row r="61" spans="2:15">
      <c r="B61" s="197">
        <f>'MRF Calculator'!B61</f>
        <v>45</v>
      </c>
      <c r="C61" s="197" t="str">
        <f>'MRF Calculator'!C61</f>
        <v/>
      </c>
      <c r="D61" s="197" t="str">
        <f>'MRF Calculator'!D61</f>
        <v>Invoice</v>
      </c>
      <c r="E61" s="214" t="str">
        <f>'MRF Calculator'!E61</f>
        <v/>
      </c>
      <c r="F61" s="348" t="str">
        <f>'MRF Calculator'!F61</f>
        <v/>
      </c>
      <c r="G61" s="350"/>
      <c r="H61" s="348" t="str">
        <f>'MRF Calculator'!H61</f>
        <v/>
      </c>
      <c r="I61" s="349"/>
      <c r="J61" s="349"/>
      <c r="K61" s="350"/>
      <c r="L61" s="203" t="str">
        <f>'MRF Calculator'!L61</f>
        <v/>
      </c>
      <c r="M61" s="352" t="str">
        <f>'MRF Calculator'!M61</f>
        <v/>
      </c>
      <c r="N61" s="204" t="str">
        <f>'MRF Calculator'!N61</f>
        <v/>
      </c>
      <c r="O61" s="206" t="str">
        <f>'MRF Calculator'!O61</f>
        <v/>
      </c>
    </row>
    <row r="62" spans="2:15">
      <c r="B62" s="197">
        <f>'MRF Calculator'!B62</f>
        <v>46</v>
      </c>
      <c r="C62" s="197" t="str">
        <f>'MRF Calculator'!C62</f>
        <v/>
      </c>
      <c r="D62" s="197" t="str">
        <f>'MRF Calculator'!D62</f>
        <v>Invoice</v>
      </c>
      <c r="E62" s="214" t="str">
        <f>'MRF Calculator'!E62</f>
        <v/>
      </c>
      <c r="F62" s="348" t="str">
        <f>'MRF Calculator'!F62</f>
        <v/>
      </c>
      <c r="G62" s="350"/>
      <c r="H62" s="348" t="str">
        <f>'MRF Calculator'!H62</f>
        <v/>
      </c>
      <c r="I62" s="349"/>
      <c r="J62" s="349"/>
      <c r="K62" s="350"/>
      <c r="L62" s="203" t="str">
        <f>'MRF Calculator'!L62</f>
        <v/>
      </c>
      <c r="M62" s="352" t="str">
        <f>'MRF Calculator'!M62</f>
        <v/>
      </c>
      <c r="N62" s="204" t="str">
        <f>'MRF Calculator'!N62</f>
        <v/>
      </c>
      <c r="O62" s="206" t="str">
        <f>'MRF Calculator'!O62</f>
        <v/>
      </c>
    </row>
    <row r="63" spans="2:15">
      <c r="B63" s="197">
        <f>'MRF Calculator'!B63</f>
        <v>47</v>
      </c>
      <c r="C63" s="197" t="str">
        <f>'MRF Calculator'!C63</f>
        <v/>
      </c>
      <c r="D63" s="197" t="str">
        <f>'MRF Calculator'!D63</f>
        <v>Invoice</v>
      </c>
      <c r="E63" s="214" t="str">
        <f>'MRF Calculator'!E63</f>
        <v/>
      </c>
      <c r="F63" s="348" t="str">
        <f>'MRF Calculator'!F63</f>
        <v/>
      </c>
      <c r="G63" s="350"/>
      <c r="H63" s="348" t="str">
        <f>'MRF Calculator'!H63</f>
        <v/>
      </c>
      <c r="I63" s="349"/>
      <c r="J63" s="349"/>
      <c r="K63" s="350"/>
      <c r="L63" s="203" t="str">
        <f>'MRF Calculator'!L63</f>
        <v/>
      </c>
      <c r="M63" s="352" t="str">
        <f>'MRF Calculator'!M63</f>
        <v/>
      </c>
      <c r="N63" s="204" t="str">
        <f>'MRF Calculator'!N63</f>
        <v/>
      </c>
      <c r="O63" s="206" t="str">
        <f>'MRF Calculator'!O63</f>
        <v/>
      </c>
    </row>
    <row r="64" spans="2:15">
      <c r="B64" s="197">
        <f>'MRF Calculator'!B64</f>
        <v>48</v>
      </c>
      <c r="C64" s="197" t="str">
        <f>'MRF Calculator'!C64</f>
        <v/>
      </c>
      <c r="D64" s="197" t="str">
        <f>'MRF Calculator'!D64</f>
        <v>Invoice</v>
      </c>
      <c r="E64" s="214" t="str">
        <f>'MRF Calculator'!E64</f>
        <v/>
      </c>
      <c r="F64" s="348" t="str">
        <f>'MRF Calculator'!F64</f>
        <v/>
      </c>
      <c r="G64" s="350"/>
      <c r="H64" s="348" t="str">
        <f>'MRF Calculator'!H64</f>
        <v/>
      </c>
      <c r="I64" s="349"/>
      <c r="J64" s="349"/>
      <c r="K64" s="350"/>
      <c r="L64" s="203" t="str">
        <f>'MRF Calculator'!L64</f>
        <v/>
      </c>
      <c r="M64" s="352" t="str">
        <f>'MRF Calculator'!M64</f>
        <v/>
      </c>
      <c r="N64" s="204" t="str">
        <f>'MRF Calculator'!N64</f>
        <v/>
      </c>
      <c r="O64" s="206" t="str">
        <f>'MRF Calculator'!O64</f>
        <v/>
      </c>
    </row>
    <row r="65" spans="2:15">
      <c r="B65" s="197">
        <f>'MRF Calculator'!B65</f>
        <v>49</v>
      </c>
      <c r="C65" s="197" t="str">
        <f>'MRF Calculator'!C65</f>
        <v/>
      </c>
      <c r="D65" s="197" t="str">
        <f>'MRF Calculator'!D65</f>
        <v>Invoice</v>
      </c>
      <c r="E65" s="214" t="str">
        <f>'MRF Calculator'!E65</f>
        <v/>
      </c>
      <c r="F65" s="348" t="str">
        <f>'MRF Calculator'!F65</f>
        <v/>
      </c>
      <c r="G65" s="350"/>
      <c r="H65" s="348" t="str">
        <f>'MRF Calculator'!H65</f>
        <v/>
      </c>
      <c r="I65" s="349"/>
      <c r="J65" s="349"/>
      <c r="K65" s="350"/>
      <c r="L65" s="203" t="str">
        <f>'MRF Calculator'!L65</f>
        <v/>
      </c>
      <c r="M65" s="352" t="str">
        <f>'MRF Calculator'!M65</f>
        <v/>
      </c>
      <c r="N65" s="204" t="str">
        <f>'MRF Calculator'!N65</f>
        <v/>
      </c>
      <c r="O65" s="206" t="str">
        <f>'MRF Calculator'!O65</f>
        <v/>
      </c>
    </row>
    <row r="66" spans="2:15">
      <c r="B66" s="197">
        <f>'MRF Calculator'!B66</f>
        <v>50</v>
      </c>
      <c r="C66" s="197" t="str">
        <f>'MRF Calculator'!C66</f>
        <v/>
      </c>
      <c r="D66" s="197" t="str">
        <f>'MRF Calculator'!D66</f>
        <v>Invoice</v>
      </c>
      <c r="E66" s="214" t="str">
        <f>'MRF Calculator'!E66</f>
        <v/>
      </c>
      <c r="F66" s="348" t="str">
        <f>'MRF Calculator'!F66</f>
        <v/>
      </c>
      <c r="G66" s="350"/>
      <c r="H66" s="348" t="str">
        <f>'MRF Calculator'!H66</f>
        <v/>
      </c>
      <c r="I66" s="349"/>
      <c r="J66" s="349"/>
      <c r="K66" s="350"/>
      <c r="L66" s="203" t="str">
        <f>'MRF Calculator'!L66</f>
        <v/>
      </c>
      <c r="M66" s="352" t="str">
        <f>'MRF Calculator'!M66</f>
        <v/>
      </c>
      <c r="N66" s="204" t="str">
        <f>'MRF Calculator'!N66</f>
        <v/>
      </c>
      <c r="O66" s="206" t="str">
        <f>'MRF Calculator'!O66</f>
        <v/>
      </c>
    </row>
    <row r="67" spans="2:15">
      <c r="B67" s="197">
        <f>'MRF Calculator'!B67</f>
        <v>51</v>
      </c>
      <c r="C67" s="197" t="str">
        <f>'MRF Calculator'!C67</f>
        <v/>
      </c>
      <c r="D67" s="197" t="str">
        <f>'MRF Calculator'!D67</f>
        <v>Invoice</v>
      </c>
      <c r="E67" s="214" t="str">
        <f>'MRF Calculator'!E67</f>
        <v/>
      </c>
      <c r="F67" s="348" t="str">
        <f>'MRF Calculator'!F67</f>
        <v/>
      </c>
      <c r="G67" s="350"/>
      <c r="H67" s="348" t="str">
        <f>'MRF Calculator'!H67</f>
        <v/>
      </c>
      <c r="I67" s="349"/>
      <c r="J67" s="349"/>
      <c r="K67" s="350"/>
      <c r="L67" s="203" t="str">
        <f>'MRF Calculator'!L67</f>
        <v/>
      </c>
      <c r="M67" s="352" t="str">
        <f>'MRF Calculator'!M67</f>
        <v/>
      </c>
      <c r="N67" s="204" t="str">
        <f>'MRF Calculator'!N67</f>
        <v/>
      </c>
      <c r="O67" s="206" t="str">
        <f>'MRF Calculator'!O67</f>
        <v/>
      </c>
    </row>
    <row r="68" spans="2:15">
      <c r="B68" s="197">
        <f>'MRF Calculator'!B68</f>
        <v>52</v>
      </c>
      <c r="C68" s="197" t="str">
        <f>'MRF Calculator'!C68</f>
        <v/>
      </c>
      <c r="D68" s="197" t="str">
        <f>'MRF Calculator'!D68</f>
        <v>Invoice</v>
      </c>
      <c r="E68" s="214" t="str">
        <f>'MRF Calculator'!E68</f>
        <v/>
      </c>
      <c r="F68" s="348" t="str">
        <f>'MRF Calculator'!F68</f>
        <v/>
      </c>
      <c r="G68" s="350"/>
      <c r="H68" s="348" t="str">
        <f>'MRF Calculator'!H68</f>
        <v/>
      </c>
      <c r="I68" s="349"/>
      <c r="J68" s="349"/>
      <c r="K68" s="350"/>
      <c r="L68" s="203" t="str">
        <f>'MRF Calculator'!L68</f>
        <v/>
      </c>
      <c r="M68" s="352" t="str">
        <f>'MRF Calculator'!M68</f>
        <v/>
      </c>
      <c r="N68" s="204" t="str">
        <f>'MRF Calculator'!N68</f>
        <v/>
      </c>
      <c r="O68" s="206" t="str">
        <f>'MRF Calculator'!O68</f>
        <v/>
      </c>
    </row>
    <row r="69" spans="2:15">
      <c r="B69" s="197">
        <f>'MRF Calculator'!B69</f>
        <v>53</v>
      </c>
      <c r="C69" s="197" t="str">
        <f>'MRF Calculator'!C69</f>
        <v/>
      </c>
      <c r="D69" s="197" t="str">
        <f>'MRF Calculator'!D69</f>
        <v>Invoice</v>
      </c>
      <c r="E69" s="214" t="str">
        <f>'MRF Calculator'!E69</f>
        <v/>
      </c>
      <c r="F69" s="348" t="str">
        <f>'MRF Calculator'!F69</f>
        <v/>
      </c>
      <c r="G69" s="350"/>
      <c r="H69" s="348" t="str">
        <f>'MRF Calculator'!H69</f>
        <v/>
      </c>
      <c r="I69" s="349"/>
      <c r="J69" s="349"/>
      <c r="K69" s="350"/>
      <c r="L69" s="203" t="str">
        <f>'MRF Calculator'!L69</f>
        <v/>
      </c>
      <c r="M69" s="352" t="str">
        <f>'MRF Calculator'!M69</f>
        <v/>
      </c>
      <c r="N69" s="204" t="str">
        <f>'MRF Calculator'!N69</f>
        <v/>
      </c>
      <c r="O69" s="206" t="str">
        <f>'MRF Calculator'!O69</f>
        <v/>
      </c>
    </row>
    <row r="70" spans="2:15">
      <c r="B70" s="197">
        <f>'MRF Calculator'!B70</f>
        <v>54</v>
      </c>
      <c r="C70" s="197" t="str">
        <f>'MRF Calculator'!C70</f>
        <v/>
      </c>
      <c r="D70" s="197" t="str">
        <f>'MRF Calculator'!D70</f>
        <v>Invoice</v>
      </c>
      <c r="E70" s="214" t="str">
        <f>'MRF Calculator'!E70</f>
        <v/>
      </c>
      <c r="F70" s="348" t="str">
        <f>'MRF Calculator'!F70</f>
        <v/>
      </c>
      <c r="G70" s="350"/>
      <c r="H70" s="348" t="str">
        <f>'MRF Calculator'!H70</f>
        <v/>
      </c>
      <c r="I70" s="349"/>
      <c r="J70" s="349"/>
      <c r="K70" s="350"/>
      <c r="L70" s="203" t="str">
        <f>'MRF Calculator'!L70</f>
        <v/>
      </c>
      <c r="M70" s="352" t="str">
        <f>'MRF Calculator'!M70</f>
        <v/>
      </c>
      <c r="N70" s="204" t="str">
        <f>'MRF Calculator'!N70</f>
        <v/>
      </c>
      <c r="O70" s="206" t="str">
        <f>'MRF Calculator'!O70</f>
        <v/>
      </c>
    </row>
    <row r="71" spans="2:15">
      <c r="B71" s="197">
        <f>'MRF Calculator'!B71</f>
        <v>55</v>
      </c>
      <c r="C71" s="197" t="str">
        <f>'MRF Calculator'!C71</f>
        <v/>
      </c>
      <c r="D71" s="197" t="str">
        <f>'MRF Calculator'!D71</f>
        <v>Invoice</v>
      </c>
      <c r="E71" s="214" t="str">
        <f>'MRF Calculator'!E71</f>
        <v/>
      </c>
      <c r="F71" s="348" t="str">
        <f>'MRF Calculator'!F71</f>
        <v/>
      </c>
      <c r="G71" s="350"/>
      <c r="H71" s="348" t="str">
        <f>'MRF Calculator'!H71</f>
        <v/>
      </c>
      <c r="I71" s="349"/>
      <c r="J71" s="349"/>
      <c r="K71" s="350"/>
      <c r="L71" s="203" t="str">
        <f>'MRF Calculator'!L71</f>
        <v/>
      </c>
      <c r="M71" s="352" t="str">
        <f>'MRF Calculator'!M71</f>
        <v/>
      </c>
      <c r="N71" s="204" t="str">
        <f>'MRF Calculator'!N71</f>
        <v/>
      </c>
      <c r="O71" s="206" t="str">
        <f>'MRF Calculator'!O71</f>
        <v/>
      </c>
    </row>
    <row r="72" spans="2:15">
      <c r="B72" s="197">
        <f>'MRF Calculator'!B72</f>
        <v>56</v>
      </c>
      <c r="C72" s="197" t="str">
        <f>'MRF Calculator'!C72</f>
        <v/>
      </c>
      <c r="D72" s="197" t="str">
        <f>'MRF Calculator'!D72</f>
        <v>Invoice</v>
      </c>
      <c r="E72" s="214" t="str">
        <f>'MRF Calculator'!E72</f>
        <v/>
      </c>
      <c r="F72" s="348" t="str">
        <f>'MRF Calculator'!F72</f>
        <v/>
      </c>
      <c r="G72" s="350"/>
      <c r="H72" s="348" t="str">
        <f>'MRF Calculator'!H72</f>
        <v/>
      </c>
      <c r="I72" s="349"/>
      <c r="J72" s="349"/>
      <c r="K72" s="350"/>
      <c r="L72" s="203" t="str">
        <f>'MRF Calculator'!L72</f>
        <v/>
      </c>
      <c r="M72" s="352" t="str">
        <f>'MRF Calculator'!M72</f>
        <v/>
      </c>
      <c r="N72" s="204" t="str">
        <f>'MRF Calculator'!N72</f>
        <v/>
      </c>
      <c r="O72" s="206" t="str">
        <f>'MRF Calculator'!O72</f>
        <v/>
      </c>
    </row>
    <row r="73" spans="2:15">
      <c r="B73" s="197">
        <f>'MRF Calculator'!B73</f>
        <v>57</v>
      </c>
      <c r="C73" s="197" t="str">
        <f>'MRF Calculator'!C73</f>
        <v/>
      </c>
      <c r="D73" s="197" t="str">
        <f>'MRF Calculator'!D73</f>
        <v>Invoice</v>
      </c>
      <c r="E73" s="214" t="str">
        <f>'MRF Calculator'!E73</f>
        <v/>
      </c>
      <c r="F73" s="348" t="str">
        <f>'MRF Calculator'!F73</f>
        <v/>
      </c>
      <c r="G73" s="350"/>
      <c r="H73" s="348" t="str">
        <f>'MRF Calculator'!H73</f>
        <v/>
      </c>
      <c r="I73" s="349"/>
      <c r="J73" s="349"/>
      <c r="K73" s="350"/>
      <c r="L73" s="203" t="str">
        <f>'MRF Calculator'!L73</f>
        <v/>
      </c>
      <c r="M73" s="352" t="str">
        <f>'MRF Calculator'!M73</f>
        <v/>
      </c>
      <c r="N73" s="204" t="str">
        <f>'MRF Calculator'!N73</f>
        <v/>
      </c>
      <c r="O73" s="206" t="str">
        <f>'MRF Calculator'!O73</f>
        <v/>
      </c>
    </row>
    <row r="74" spans="2:15">
      <c r="B74" s="197">
        <f>'MRF Calculator'!B74</f>
        <v>58</v>
      </c>
      <c r="C74" s="197" t="str">
        <f>'MRF Calculator'!C74</f>
        <v/>
      </c>
      <c r="D74" s="197" t="str">
        <f>'MRF Calculator'!D74</f>
        <v>Invoice</v>
      </c>
      <c r="E74" s="214" t="str">
        <f>'MRF Calculator'!E74</f>
        <v/>
      </c>
      <c r="F74" s="348" t="str">
        <f>'MRF Calculator'!F74</f>
        <v/>
      </c>
      <c r="G74" s="350"/>
      <c r="H74" s="348" t="str">
        <f>'MRF Calculator'!H74</f>
        <v/>
      </c>
      <c r="I74" s="349"/>
      <c r="J74" s="349"/>
      <c r="K74" s="350"/>
      <c r="L74" s="203" t="str">
        <f>'MRF Calculator'!L74</f>
        <v/>
      </c>
      <c r="M74" s="352" t="str">
        <f>'MRF Calculator'!M74</f>
        <v/>
      </c>
      <c r="N74" s="204" t="str">
        <f>'MRF Calculator'!N74</f>
        <v/>
      </c>
      <c r="O74" s="206" t="str">
        <f>'MRF Calculator'!O74</f>
        <v/>
      </c>
    </row>
    <row r="75" spans="2:15">
      <c r="B75" s="197">
        <f>'MRF Calculator'!B75</f>
        <v>59</v>
      </c>
      <c r="C75" s="197" t="str">
        <f>'MRF Calculator'!C75</f>
        <v/>
      </c>
      <c r="D75" s="197" t="str">
        <f>'MRF Calculator'!D75</f>
        <v>Invoice</v>
      </c>
      <c r="E75" s="214" t="str">
        <f>'MRF Calculator'!E75</f>
        <v/>
      </c>
      <c r="F75" s="348" t="str">
        <f>'MRF Calculator'!F75</f>
        <v/>
      </c>
      <c r="G75" s="350"/>
      <c r="H75" s="348" t="str">
        <f>'MRF Calculator'!H75</f>
        <v/>
      </c>
      <c r="I75" s="349"/>
      <c r="J75" s="349"/>
      <c r="K75" s="350"/>
      <c r="L75" s="203" t="str">
        <f>'MRF Calculator'!L75</f>
        <v/>
      </c>
      <c r="M75" s="352" t="str">
        <f>'MRF Calculator'!M75</f>
        <v/>
      </c>
      <c r="N75" s="204" t="str">
        <f>'MRF Calculator'!N75</f>
        <v/>
      </c>
      <c r="O75" s="206" t="str">
        <f>'MRF Calculator'!O75</f>
        <v/>
      </c>
    </row>
    <row r="76" spans="2:15">
      <c r="B76" s="197">
        <f>'MRF Calculator'!B76</f>
        <v>60</v>
      </c>
      <c r="C76" s="197" t="str">
        <f>'MRF Calculator'!C76</f>
        <v/>
      </c>
      <c r="D76" s="197" t="str">
        <f>'MRF Calculator'!D76</f>
        <v>Invoice</v>
      </c>
      <c r="E76" s="214" t="str">
        <f>'MRF Calculator'!E76</f>
        <v/>
      </c>
      <c r="F76" s="348" t="str">
        <f>'MRF Calculator'!F76</f>
        <v/>
      </c>
      <c r="G76" s="350"/>
      <c r="H76" s="348" t="str">
        <f>'MRF Calculator'!H76</f>
        <v/>
      </c>
      <c r="I76" s="349"/>
      <c r="J76" s="349"/>
      <c r="K76" s="350"/>
      <c r="L76" s="203" t="str">
        <f>'MRF Calculator'!L76</f>
        <v/>
      </c>
      <c r="M76" s="352" t="str">
        <f>'MRF Calculator'!M76</f>
        <v/>
      </c>
      <c r="N76" s="204" t="str">
        <f>'MRF Calculator'!N76</f>
        <v/>
      </c>
      <c r="O76" s="206" t="str">
        <f>'MRF Calculator'!O76</f>
        <v/>
      </c>
    </row>
    <row r="77" spans="2:15">
      <c r="B77" s="197">
        <f>'MRF Calculator'!B77</f>
        <v>61</v>
      </c>
      <c r="C77" s="197" t="str">
        <f>'MRF Calculator'!C77</f>
        <v/>
      </c>
      <c r="D77" s="197" t="str">
        <f>'MRF Calculator'!D77</f>
        <v>Invoice</v>
      </c>
      <c r="E77" s="214" t="str">
        <f>'MRF Calculator'!E77</f>
        <v/>
      </c>
      <c r="F77" s="348" t="str">
        <f>'MRF Calculator'!F77</f>
        <v/>
      </c>
      <c r="G77" s="350"/>
      <c r="H77" s="348" t="str">
        <f>'MRF Calculator'!H77</f>
        <v/>
      </c>
      <c r="I77" s="349"/>
      <c r="J77" s="349"/>
      <c r="K77" s="350"/>
      <c r="L77" s="203" t="str">
        <f>'MRF Calculator'!L77</f>
        <v/>
      </c>
      <c r="M77" s="352" t="str">
        <f>'MRF Calculator'!M77</f>
        <v/>
      </c>
      <c r="N77" s="204" t="str">
        <f>'MRF Calculator'!N77</f>
        <v/>
      </c>
      <c r="O77" s="206" t="str">
        <f>'MRF Calculator'!O77</f>
        <v/>
      </c>
    </row>
    <row r="78" spans="2:15">
      <c r="B78" s="197">
        <f>'MRF Calculator'!B78</f>
        <v>62</v>
      </c>
      <c r="C78" s="197" t="str">
        <f>'MRF Calculator'!C78</f>
        <v/>
      </c>
      <c r="D78" s="197" t="str">
        <f>'MRF Calculator'!D78</f>
        <v>Invoice</v>
      </c>
      <c r="E78" s="214" t="str">
        <f>'MRF Calculator'!E78</f>
        <v/>
      </c>
      <c r="F78" s="348" t="str">
        <f>'MRF Calculator'!F78</f>
        <v/>
      </c>
      <c r="G78" s="350"/>
      <c r="H78" s="348" t="str">
        <f>'MRF Calculator'!H78</f>
        <v/>
      </c>
      <c r="I78" s="349"/>
      <c r="J78" s="349"/>
      <c r="K78" s="350"/>
      <c r="L78" s="203" t="str">
        <f>'MRF Calculator'!L78</f>
        <v/>
      </c>
      <c r="M78" s="352" t="str">
        <f>'MRF Calculator'!M78</f>
        <v/>
      </c>
      <c r="N78" s="204" t="str">
        <f>'MRF Calculator'!N78</f>
        <v/>
      </c>
      <c r="O78" s="206" t="str">
        <f>'MRF Calculator'!O78</f>
        <v/>
      </c>
    </row>
    <row r="79" spans="2:15">
      <c r="B79" s="197">
        <f>'MRF Calculator'!B79</f>
        <v>63</v>
      </c>
      <c r="C79" s="197" t="str">
        <f>'MRF Calculator'!C79</f>
        <v/>
      </c>
      <c r="D79" s="197" t="str">
        <f>'MRF Calculator'!D79</f>
        <v>Invoice</v>
      </c>
      <c r="E79" s="214" t="str">
        <f>'MRF Calculator'!E79</f>
        <v/>
      </c>
      <c r="F79" s="348" t="str">
        <f>'MRF Calculator'!F79</f>
        <v/>
      </c>
      <c r="G79" s="350"/>
      <c r="H79" s="348" t="str">
        <f>'MRF Calculator'!H79</f>
        <v/>
      </c>
      <c r="I79" s="349"/>
      <c r="J79" s="349"/>
      <c r="K79" s="350"/>
      <c r="L79" s="203" t="str">
        <f>'MRF Calculator'!L79</f>
        <v/>
      </c>
      <c r="M79" s="352" t="str">
        <f>'MRF Calculator'!M79</f>
        <v/>
      </c>
      <c r="N79" s="204" t="str">
        <f>'MRF Calculator'!N79</f>
        <v/>
      </c>
      <c r="O79" s="206" t="str">
        <f>'MRF Calculator'!O79</f>
        <v/>
      </c>
    </row>
    <row r="80" spans="2:15">
      <c r="B80" s="197">
        <f>'MRF Calculator'!B80</f>
        <v>64</v>
      </c>
      <c r="C80" s="197" t="str">
        <f>'MRF Calculator'!C80</f>
        <v/>
      </c>
      <c r="D80" s="197" t="str">
        <f>'MRF Calculator'!D80</f>
        <v>Invoice</v>
      </c>
      <c r="E80" s="214" t="str">
        <f>'MRF Calculator'!E80</f>
        <v/>
      </c>
      <c r="F80" s="348" t="str">
        <f>'MRF Calculator'!F80</f>
        <v/>
      </c>
      <c r="G80" s="350"/>
      <c r="H80" s="348" t="str">
        <f>'MRF Calculator'!H80</f>
        <v/>
      </c>
      <c r="I80" s="349"/>
      <c r="J80" s="349"/>
      <c r="K80" s="350"/>
      <c r="L80" s="203" t="str">
        <f>'MRF Calculator'!L80</f>
        <v/>
      </c>
      <c r="M80" s="352" t="str">
        <f>'MRF Calculator'!M80</f>
        <v/>
      </c>
      <c r="N80" s="204" t="str">
        <f>'MRF Calculator'!N80</f>
        <v/>
      </c>
      <c r="O80" s="206" t="str">
        <f>'MRF Calculator'!O80</f>
        <v/>
      </c>
    </row>
    <row r="81" spans="2:15">
      <c r="B81" s="197">
        <f>'MRF Calculator'!B81</f>
        <v>65</v>
      </c>
      <c r="C81" s="197" t="str">
        <f>'MRF Calculator'!C81</f>
        <v/>
      </c>
      <c r="D81" s="197" t="str">
        <f>'MRF Calculator'!D81</f>
        <v>Invoice</v>
      </c>
      <c r="E81" s="214" t="str">
        <f>'MRF Calculator'!E81</f>
        <v/>
      </c>
      <c r="F81" s="348" t="str">
        <f>'MRF Calculator'!F81</f>
        <v/>
      </c>
      <c r="G81" s="350"/>
      <c r="H81" s="348" t="str">
        <f>'MRF Calculator'!H81</f>
        <v/>
      </c>
      <c r="I81" s="349"/>
      <c r="J81" s="349"/>
      <c r="K81" s="350"/>
      <c r="L81" s="203" t="str">
        <f>'MRF Calculator'!L81</f>
        <v/>
      </c>
      <c r="M81" s="352" t="str">
        <f>'MRF Calculator'!M81</f>
        <v/>
      </c>
      <c r="N81" s="204" t="str">
        <f>'MRF Calculator'!N81</f>
        <v/>
      </c>
      <c r="O81" s="206" t="str">
        <f>'MRF Calculator'!O81</f>
        <v/>
      </c>
    </row>
    <row r="82" spans="2:15">
      <c r="B82" s="197">
        <f>'MRF Calculator'!B82</f>
        <v>66</v>
      </c>
      <c r="C82" s="197" t="str">
        <f>'MRF Calculator'!C82</f>
        <v/>
      </c>
      <c r="D82" s="197" t="str">
        <f>'MRF Calculator'!D82</f>
        <v>Invoice</v>
      </c>
      <c r="E82" s="214" t="str">
        <f>'MRF Calculator'!E82</f>
        <v/>
      </c>
      <c r="F82" s="348" t="str">
        <f>'MRF Calculator'!F82</f>
        <v/>
      </c>
      <c r="G82" s="350"/>
      <c r="H82" s="348" t="str">
        <f>'MRF Calculator'!H82</f>
        <v/>
      </c>
      <c r="I82" s="349"/>
      <c r="J82" s="349"/>
      <c r="K82" s="350"/>
      <c r="L82" s="203" t="str">
        <f>'MRF Calculator'!L82</f>
        <v/>
      </c>
      <c r="M82" s="352" t="str">
        <f>'MRF Calculator'!M82</f>
        <v/>
      </c>
      <c r="N82" s="204" t="str">
        <f>'MRF Calculator'!N82</f>
        <v/>
      </c>
      <c r="O82" s="206" t="str">
        <f>'MRF Calculator'!O82</f>
        <v/>
      </c>
    </row>
    <row r="83" spans="2:15">
      <c r="B83" s="197">
        <f>'MRF Calculator'!B83</f>
        <v>67</v>
      </c>
      <c r="C83" s="197" t="str">
        <f>'MRF Calculator'!C83</f>
        <v/>
      </c>
      <c r="D83" s="197" t="str">
        <f>'MRF Calculator'!D83</f>
        <v>Invoice</v>
      </c>
      <c r="E83" s="214" t="str">
        <f>'MRF Calculator'!E83</f>
        <v/>
      </c>
      <c r="F83" s="348" t="str">
        <f>'MRF Calculator'!F83</f>
        <v/>
      </c>
      <c r="G83" s="350"/>
      <c r="H83" s="348" t="str">
        <f>'MRF Calculator'!H83</f>
        <v/>
      </c>
      <c r="I83" s="349"/>
      <c r="J83" s="349"/>
      <c r="K83" s="350"/>
      <c r="L83" s="203" t="str">
        <f>'MRF Calculator'!L83</f>
        <v/>
      </c>
      <c r="M83" s="352" t="str">
        <f>'MRF Calculator'!M83</f>
        <v/>
      </c>
      <c r="N83" s="204" t="str">
        <f>'MRF Calculator'!N83</f>
        <v/>
      </c>
      <c r="O83" s="206" t="str">
        <f>'MRF Calculator'!O83</f>
        <v/>
      </c>
    </row>
    <row r="84" spans="2:15">
      <c r="B84" s="197">
        <f>'MRF Calculator'!B84</f>
        <v>68</v>
      </c>
      <c r="C84" s="197" t="str">
        <f>'MRF Calculator'!C84</f>
        <v/>
      </c>
      <c r="D84" s="197" t="str">
        <f>'MRF Calculator'!D84</f>
        <v>Invoice</v>
      </c>
      <c r="E84" s="214" t="str">
        <f>'MRF Calculator'!E84</f>
        <v/>
      </c>
      <c r="F84" s="348" t="str">
        <f>'MRF Calculator'!F84</f>
        <v/>
      </c>
      <c r="G84" s="350"/>
      <c r="H84" s="348" t="str">
        <f>'MRF Calculator'!H84</f>
        <v/>
      </c>
      <c r="I84" s="349"/>
      <c r="J84" s="349"/>
      <c r="K84" s="350"/>
      <c r="L84" s="203" t="str">
        <f>'MRF Calculator'!L84</f>
        <v/>
      </c>
      <c r="M84" s="352" t="str">
        <f>'MRF Calculator'!M84</f>
        <v/>
      </c>
      <c r="N84" s="204" t="str">
        <f>'MRF Calculator'!N84</f>
        <v/>
      </c>
      <c r="O84" s="206" t="str">
        <f>'MRF Calculator'!O84</f>
        <v/>
      </c>
    </row>
    <row r="85" spans="2:15">
      <c r="B85" s="197">
        <f>'MRF Calculator'!B85</f>
        <v>69</v>
      </c>
      <c r="C85" s="197" t="str">
        <f>'MRF Calculator'!C85</f>
        <v/>
      </c>
      <c r="D85" s="197" t="str">
        <f>'MRF Calculator'!D85</f>
        <v>Invoice</v>
      </c>
      <c r="E85" s="214" t="str">
        <f>'MRF Calculator'!E85</f>
        <v/>
      </c>
      <c r="F85" s="348" t="str">
        <f>'MRF Calculator'!F85</f>
        <v/>
      </c>
      <c r="G85" s="350"/>
      <c r="H85" s="348" t="str">
        <f>'MRF Calculator'!H85</f>
        <v/>
      </c>
      <c r="I85" s="349"/>
      <c r="J85" s="349"/>
      <c r="K85" s="350"/>
      <c r="L85" s="203" t="str">
        <f>'MRF Calculator'!L85</f>
        <v/>
      </c>
      <c r="M85" s="352" t="str">
        <f>'MRF Calculator'!M85</f>
        <v/>
      </c>
      <c r="N85" s="204" t="str">
        <f>'MRF Calculator'!N85</f>
        <v/>
      </c>
      <c r="O85" s="206" t="str">
        <f>'MRF Calculator'!O85</f>
        <v/>
      </c>
    </row>
    <row r="86" spans="2:15">
      <c r="B86" s="197">
        <f>'MRF Calculator'!B86</f>
        <v>70</v>
      </c>
      <c r="C86" s="197" t="str">
        <f>'MRF Calculator'!C86</f>
        <v/>
      </c>
      <c r="D86" s="197" t="str">
        <f>'MRF Calculator'!D86</f>
        <v>Invoice</v>
      </c>
      <c r="E86" s="214" t="str">
        <f>'MRF Calculator'!E86</f>
        <v/>
      </c>
      <c r="F86" s="348" t="str">
        <f>'MRF Calculator'!F86</f>
        <v/>
      </c>
      <c r="G86" s="350"/>
      <c r="H86" s="348" t="str">
        <f>'MRF Calculator'!H86</f>
        <v/>
      </c>
      <c r="I86" s="349"/>
      <c r="J86" s="349"/>
      <c r="K86" s="350"/>
      <c r="L86" s="203" t="str">
        <f>'MRF Calculator'!L86</f>
        <v/>
      </c>
      <c r="M86" s="352" t="str">
        <f>'MRF Calculator'!M86</f>
        <v/>
      </c>
      <c r="N86" s="204" t="str">
        <f>'MRF Calculator'!N86</f>
        <v/>
      </c>
      <c r="O86" s="206" t="str">
        <f>'MRF Calculator'!O86</f>
        <v/>
      </c>
    </row>
    <row r="87" spans="2:15">
      <c r="B87" s="197">
        <f>'MRF Calculator'!B87</f>
        <v>71</v>
      </c>
      <c r="C87" s="197" t="str">
        <f>'MRF Calculator'!C87</f>
        <v/>
      </c>
      <c r="D87" s="197" t="str">
        <f>'MRF Calculator'!D87</f>
        <v>Invoice</v>
      </c>
      <c r="E87" s="214" t="str">
        <f>'MRF Calculator'!E87</f>
        <v/>
      </c>
      <c r="F87" s="348" t="str">
        <f>'MRF Calculator'!F87</f>
        <v/>
      </c>
      <c r="G87" s="350"/>
      <c r="H87" s="348" t="str">
        <f>'MRF Calculator'!H87</f>
        <v/>
      </c>
      <c r="I87" s="349"/>
      <c r="J87" s="349"/>
      <c r="K87" s="350"/>
      <c r="L87" s="203" t="str">
        <f>'MRF Calculator'!L87</f>
        <v/>
      </c>
      <c r="M87" s="352" t="str">
        <f>'MRF Calculator'!M87</f>
        <v/>
      </c>
      <c r="N87" s="204" t="str">
        <f>'MRF Calculator'!N87</f>
        <v/>
      </c>
      <c r="O87" s="206" t="str">
        <f>'MRF Calculator'!O87</f>
        <v/>
      </c>
    </row>
    <row r="88" spans="2:15">
      <c r="B88" s="197">
        <f>'MRF Calculator'!B88</f>
        <v>72</v>
      </c>
      <c r="C88" s="197" t="str">
        <f>'MRF Calculator'!C88</f>
        <v/>
      </c>
      <c r="D88" s="197" t="str">
        <f>'MRF Calculator'!D88</f>
        <v>Invoice</v>
      </c>
      <c r="E88" s="214" t="str">
        <f>'MRF Calculator'!E88</f>
        <v/>
      </c>
      <c r="F88" s="348" t="str">
        <f>'MRF Calculator'!F88</f>
        <v/>
      </c>
      <c r="G88" s="350"/>
      <c r="H88" s="348" t="str">
        <f>'MRF Calculator'!H88</f>
        <v/>
      </c>
      <c r="I88" s="349"/>
      <c r="J88" s="349"/>
      <c r="K88" s="350"/>
      <c r="L88" s="203" t="str">
        <f>'MRF Calculator'!L88</f>
        <v/>
      </c>
      <c r="M88" s="352" t="str">
        <f>'MRF Calculator'!M88</f>
        <v/>
      </c>
      <c r="N88" s="204" t="str">
        <f>'MRF Calculator'!N88</f>
        <v/>
      </c>
      <c r="O88" s="206" t="str">
        <f>'MRF Calculator'!O88</f>
        <v/>
      </c>
    </row>
    <row r="89" spans="2:15">
      <c r="B89" s="197">
        <f>'MRF Calculator'!B89</f>
        <v>73</v>
      </c>
      <c r="C89" s="197" t="str">
        <f>'MRF Calculator'!C89</f>
        <v/>
      </c>
      <c r="D89" s="197" t="str">
        <f>'MRF Calculator'!D89</f>
        <v>Invoice</v>
      </c>
      <c r="E89" s="214" t="str">
        <f>'MRF Calculator'!E89</f>
        <v/>
      </c>
      <c r="F89" s="348" t="str">
        <f>'MRF Calculator'!F89</f>
        <v/>
      </c>
      <c r="G89" s="350"/>
      <c r="H89" s="348" t="str">
        <f>'MRF Calculator'!H89</f>
        <v/>
      </c>
      <c r="I89" s="349"/>
      <c r="J89" s="349"/>
      <c r="K89" s="350"/>
      <c r="L89" s="203" t="str">
        <f>'MRF Calculator'!L89</f>
        <v/>
      </c>
      <c r="M89" s="352" t="str">
        <f>'MRF Calculator'!M89</f>
        <v/>
      </c>
      <c r="N89" s="204" t="str">
        <f>'MRF Calculator'!N89</f>
        <v/>
      </c>
      <c r="O89" s="206" t="str">
        <f>'MRF Calculator'!O89</f>
        <v/>
      </c>
    </row>
    <row r="90" spans="2:15">
      <c r="B90" s="197">
        <f>'MRF Calculator'!B90</f>
        <v>74</v>
      </c>
      <c r="C90" s="197" t="str">
        <f>'MRF Calculator'!C90</f>
        <v/>
      </c>
      <c r="D90" s="197" t="str">
        <f>'MRF Calculator'!D90</f>
        <v>Invoice</v>
      </c>
      <c r="E90" s="214" t="str">
        <f>'MRF Calculator'!E90</f>
        <v/>
      </c>
      <c r="F90" s="348" t="str">
        <f>'MRF Calculator'!F90</f>
        <v/>
      </c>
      <c r="G90" s="350"/>
      <c r="H90" s="348" t="str">
        <f>'MRF Calculator'!H90</f>
        <v/>
      </c>
      <c r="I90" s="349"/>
      <c r="J90" s="349"/>
      <c r="K90" s="350"/>
      <c r="L90" s="203" t="str">
        <f>'MRF Calculator'!L90</f>
        <v/>
      </c>
      <c r="M90" s="352" t="str">
        <f>'MRF Calculator'!M90</f>
        <v/>
      </c>
      <c r="N90" s="204" t="str">
        <f>'MRF Calculator'!N90</f>
        <v/>
      </c>
      <c r="O90" s="206" t="str">
        <f>'MRF Calculator'!O90</f>
        <v/>
      </c>
    </row>
    <row r="91" spans="2:15">
      <c r="B91" s="197">
        <f>'MRF Calculator'!B91</f>
        <v>75</v>
      </c>
      <c r="C91" s="197" t="str">
        <f>'MRF Calculator'!C91</f>
        <v/>
      </c>
      <c r="D91" s="197" t="str">
        <f>'MRF Calculator'!D91</f>
        <v>Invoice</v>
      </c>
      <c r="E91" s="214" t="str">
        <f>'MRF Calculator'!E91</f>
        <v/>
      </c>
      <c r="F91" s="348" t="str">
        <f>'MRF Calculator'!F91</f>
        <v/>
      </c>
      <c r="G91" s="350"/>
      <c r="H91" s="348" t="str">
        <f>'MRF Calculator'!H91</f>
        <v/>
      </c>
      <c r="I91" s="349"/>
      <c r="J91" s="349"/>
      <c r="K91" s="350"/>
      <c r="L91" s="203" t="str">
        <f>'MRF Calculator'!L91</f>
        <v/>
      </c>
      <c r="M91" s="352" t="str">
        <f>'MRF Calculator'!M91</f>
        <v/>
      </c>
      <c r="N91" s="204" t="str">
        <f>'MRF Calculator'!N91</f>
        <v/>
      </c>
      <c r="O91" s="206" t="str">
        <f>'MRF Calculator'!O91</f>
        <v/>
      </c>
    </row>
    <row r="92" spans="2:15">
      <c r="B92" s="197">
        <f>'MRF Calculator'!B92</f>
        <v>76</v>
      </c>
      <c r="C92" s="197" t="str">
        <f>'MRF Calculator'!C92</f>
        <v/>
      </c>
      <c r="D92" s="197" t="str">
        <f>'MRF Calculator'!D92</f>
        <v>Invoice</v>
      </c>
      <c r="E92" s="214" t="str">
        <f>'MRF Calculator'!E92</f>
        <v/>
      </c>
      <c r="F92" s="348" t="str">
        <f>'MRF Calculator'!F92</f>
        <v/>
      </c>
      <c r="G92" s="350"/>
      <c r="H92" s="348" t="str">
        <f>'MRF Calculator'!H92</f>
        <v/>
      </c>
      <c r="I92" s="349"/>
      <c r="J92" s="349"/>
      <c r="K92" s="350"/>
      <c r="L92" s="203" t="str">
        <f>'MRF Calculator'!L92</f>
        <v/>
      </c>
      <c r="M92" s="352" t="str">
        <f>'MRF Calculator'!M92</f>
        <v/>
      </c>
      <c r="N92" s="204" t="str">
        <f>'MRF Calculator'!N92</f>
        <v/>
      </c>
      <c r="O92" s="206" t="str">
        <f>'MRF Calculator'!O92</f>
        <v/>
      </c>
    </row>
    <row r="93" spans="2:15">
      <c r="B93" s="197">
        <f>'MRF Calculator'!B93</f>
        <v>77</v>
      </c>
      <c r="C93" s="197" t="str">
        <f>'MRF Calculator'!C93</f>
        <v/>
      </c>
      <c r="D93" s="197" t="str">
        <f>'MRF Calculator'!D93</f>
        <v>Invoice</v>
      </c>
      <c r="E93" s="214" t="str">
        <f>'MRF Calculator'!E93</f>
        <v/>
      </c>
      <c r="F93" s="348" t="str">
        <f>'MRF Calculator'!F93</f>
        <v/>
      </c>
      <c r="G93" s="350"/>
      <c r="H93" s="348" t="str">
        <f>'MRF Calculator'!H93</f>
        <v/>
      </c>
      <c r="I93" s="349"/>
      <c r="J93" s="349"/>
      <c r="K93" s="350"/>
      <c r="L93" s="203" t="str">
        <f>'MRF Calculator'!L93</f>
        <v/>
      </c>
      <c r="M93" s="352" t="str">
        <f>'MRF Calculator'!M93</f>
        <v/>
      </c>
      <c r="N93" s="204" t="str">
        <f>'MRF Calculator'!N93</f>
        <v/>
      </c>
      <c r="O93" s="206" t="str">
        <f>'MRF Calculator'!O93</f>
        <v/>
      </c>
    </row>
    <row r="94" spans="2:15">
      <c r="B94" s="197">
        <f>'MRF Calculator'!B94</f>
        <v>78</v>
      </c>
      <c r="C94" s="197" t="str">
        <f>'MRF Calculator'!C94</f>
        <v/>
      </c>
      <c r="D94" s="197" t="str">
        <f>'MRF Calculator'!D94</f>
        <v>Invoice</v>
      </c>
      <c r="E94" s="214" t="str">
        <f>'MRF Calculator'!E94</f>
        <v/>
      </c>
      <c r="F94" s="348" t="str">
        <f>'MRF Calculator'!F94</f>
        <v/>
      </c>
      <c r="G94" s="350"/>
      <c r="H94" s="348" t="str">
        <f>'MRF Calculator'!H94</f>
        <v/>
      </c>
      <c r="I94" s="349"/>
      <c r="J94" s="349"/>
      <c r="K94" s="350"/>
      <c r="L94" s="203" t="str">
        <f>'MRF Calculator'!L94</f>
        <v/>
      </c>
      <c r="M94" s="352" t="str">
        <f>'MRF Calculator'!M94</f>
        <v/>
      </c>
      <c r="N94" s="204" t="str">
        <f>'MRF Calculator'!N94</f>
        <v/>
      </c>
      <c r="O94" s="206" t="str">
        <f>'MRF Calculator'!O94</f>
        <v/>
      </c>
    </row>
    <row r="95" spans="2:15">
      <c r="B95" s="197">
        <f>'MRF Calculator'!B95</f>
        <v>79</v>
      </c>
      <c r="C95" s="197" t="str">
        <f>'MRF Calculator'!C95</f>
        <v/>
      </c>
      <c r="D95" s="197" t="str">
        <f>'MRF Calculator'!D95</f>
        <v>Invoice</v>
      </c>
      <c r="E95" s="214" t="str">
        <f>'MRF Calculator'!E95</f>
        <v/>
      </c>
      <c r="F95" s="348" t="str">
        <f>'MRF Calculator'!F95</f>
        <v/>
      </c>
      <c r="G95" s="350"/>
      <c r="H95" s="348" t="str">
        <f>'MRF Calculator'!H95</f>
        <v/>
      </c>
      <c r="I95" s="349"/>
      <c r="J95" s="349"/>
      <c r="K95" s="350"/>
      <c r="L95" s="203" t="str">
        <f>'MRF Calculator'!L95</f>
        <v/>
      </c>
      <c r="M95" s="352" t="str">
        <f>'MRF Calculator'!M95</f>
        <v/>
      </c>
      <c r="N95" s="204" t="str">
        <f>'MRF Calculator'!N95</f>
        <v/>
      </c>
      <c r="O95" s="206" t="str">
        <f>'MRF Calculator'!O95</f>
        <v/>
      </c>
    </row>
    <row r="96" spans="2:15">
      <c r="B96" s="197">
        <f>'MRF Calculator'!B96</f>
        <v>80</v>
      </c>
      <c r="C96" s="197" t="str">
        <f>'MRF Calculator'!C96</f>
        <v/>
      </c>
      <c r="D96" s="197" t="str">
        <f>'MRF Calculator'!D96</f>
        <v>Invoice</v>
      </c>
      <c r="E96" s="214" t="str">
        <f>'MRF Calculator'!E96</f>
        <v/>
      </c>
      <c r="F96" s="348" t="str">
        <f>'MRF Calculator'!F96</f>
        <v/>
      </c>
      <c r="G96" s="350"/>
      <c r="H96" s="348" t="str">
        <f>'MRF Calculator'!H96</f>
        <v/>
      </c>
      <c r="I96" s="349"/>
      <c r="J96" s="349"/>
      <c r="K96" s="350"/>
      <c r="L96" s="203" t="str">
        <f>'MRF Calculator'!L96</f>
        <v/>
      </c>
      <c r="M96" s="352" t="str">
        <f>'MRF Calculator'!M96</f>
        <v/>
      </c>
      <c r="N96" s="204" t="str">
        <f>'MRF Calculator'!N96</f>
        <v/>
      </c>
      <c r="O96" s="206" t="str">
        <f>'MRF Calculator'!O96</f>
        <v/>
      </c>
    </row>
    <row r="97" spans="2:15">
      <c r="B97" s="197">
        <f>'MRF Calculator'!B97</f>
        <v>81</v>
      </c>
      <c r="C97" s="197" t="str">
        <f>'MRF Calculator'!C97</f>
        <v/>
      </c>
      <c r="D97" s="197" t="str">
        <f>'MRF Calculator'!D97</f>
        <v>Invoice</v>
      </c>
      <c r="E97" s="214" t="str">
        <f>'MRF Calculator'!E97</f>
        <v/>
      </c>
      <c r="F97" s="348" t="str">
        <f>'MRF Calculator'!F97</f>
        <v/>
      </c>
      <c r="G97" s="350"/>
      <c r="H97" s="348" t="str">
        <f>'MRF Calculator'!H97</f>
        <v/>
      </c>
      <c r="I97" s="349"/>
      <c r="J97" s="349"/>
      <c r="K97" s="350"/>
      <c r="L97" s="203" t="str">
        <f>'MRF Calculator'!L97</f>
        <v/>
      </c>
      <c r="M97" s="352" t="str">
        <f>'MRF Calculator'!M97</f>
        <v/>
      </c>
      <c r="N97" s="204" t="str">
        <f>'MRF Calculator'!N97</f>
        <v/>
      </c>
      <c r="O97" s="206" t="str">
        <f>'MRF Calculator'!O97</f>
        <v/>
      </c>
    </row>
    <row r="98" spans="2:15">
      <c r="B98" s="197">
        <f>'MRF Calculator'!B98</f>
        <v>82</v>
      </c>
      <c r="C98" s="197" t="str">
        <f>'MRF Calculator'!C98</f>
        <v/>
      </c>
      <c r="D98" s="197" t="str">
        <f>'MRF Calculator'!D98</f>
        <v>Invoice</v>
      </c>
      <c r="E98" s="214" t="str">
        <f>'MRF Calculator'!E98</f>
        <v/>
      </c>
      <c r="F98" s="348" t="str">
        <f>'MRF Calculator'!F98</f>
        <v/>
      </c>
      <c r="G98" s="350"/>
      <c r="H98" s="348" t="str">
        <f>'MRF Calculator'!H98</f>
        <v/>
      </c>
      <c r="I98" s="349"/>
      <c r="J98" s="349"/>
      <c r="K98" s="350"/>
      <c r="L98" s="203" t="str">
        <f>'MRF Calculator'!L98</f>
        <v/>
      </c>
      <c r="M98" s="352" t="str">
        <f>'MRF Calculator'!M98</f>
        <v/>
      </c>
      <c r="N98" s="204" t="str">
        <f>'MRF Calculator'!N98</f>
        <v/>
      </c>
      <c r="O98" s="206" t="str">
        <f>'MRF Calculator'!O98</f>
        <v/>
      </c>
    </row>
    <row r="99" spans="2:15">
      <c r="B99" s="197">
        <f>'MRF Calculator'!B99</f>
        <v>83</v>
      </c>
      <c r="C99" s="197" t="str">
        <f>'MRF Calculator'!C99</f>
        <v/>
      </c>
      <c r="D99" s="197" t="str">
        <f>'MRF Calculator'!D99</f>
        <v>Invoice</v>
      </c>
      <c r="E99" s="214" t="str">
        <f>'MRF Calculator'!E99</f>
        <v/>
      </c>
      <c r="F99" s="348" t="str">
        <f>'MRF Calculator'!F99</f>
        <v/>
      </c>
      <c r="G99" s="350"/>
      <c r="H99" s="348" t="str">
        <f>'MRF Calculator'!H99</f>
        <v/>
      </c>
      <c r="I99" s="349"/>
      <c r="J99" s="349"/>
      <c r="K99" s="350"/>
      <c r="L99" s="203" t="str">
        <f>'MRF Calculator'!L99</f>
        <v/>
      </c>
      <c r="M99" s="352" t="str">
        <f>'MRF Calculator'!M99</f>
        <v/>
      </c>
      <c r="N99" s="204" t="str">
        <f>'MRF Calculator'!N99</f>
        <v/>
      </c>
      <c r="O99" s="206" t="str">
        <f>'MRF Calculator'!O99</f>
        <v/>
      </c>
    </row>
    <row r="100" spans="2:15">
      <c r="B100" s="197">
        <f>'MRF Calculator'!B100</f>
        <v>84</v>
      </c>
      <c r="C100" s="197" t="str">
        <f>'MRF Calculator'!C100</f>
        <v/>
      </c>
      <c r="D100" s="197" t="str">
        <f>'MRF Calculator'!D100</f>
        <v>Invoice</v>
      </c>
      <c r="E100" s="214" t="str">
        <f>'MRF Calculator'!E100</f>
        <v/>
      </c>
      <c r="F100" s="348" t="str">
        <f>'MRF Calculator'!F100</f>
        <v/>
      </c>
      <c r="G100" s="350"/>
      <c r="H100" s="348" t="str">
        <f>'MRF Calculator'!H100</f>
        <v/>
      </c>
      <c r="I100" s="349"/>
      <c r="J100" s="349"/>
      <c r="K100" s="350"/>
      <c r="L100" s="203" t="str">
        <f>'MRF Calculator'!L100</f>
        <v/>
      </c>
      <c r="M100" s="352" t="str">
        <f>'MRF Calculator'!M100</f>
        <v/>
      </c>
      <c r="N100" s="204" t="str">
        <f>'MRF Calculator'!N100</f>
        <v/>
      </c>
      <c r="O100" s="206" t="str">
        <f>'MRF Calculator'!O100</f>
        <v/>
      </c>
    </row>
    <row r="101" spans="2:15">
      <c r="B101" s="197">
        <f>'MRF Calculator'!B101</f>
        <v>85</v>
      </c>
      <c r="C101" s="197" t="str">
        <f>'MRF Calculator'!C101</f>
        <v/>
      </c>
      <c r="D101" s="197" t="str">
        <f>'MRF Calculator'!D101</f>
        <v>Invoice</v>
      </c>
      <c r="E101" s="214" t="str">
        <f>'MRF Calculator'!E101</f>
        <v/>
      </c>
      <c r="F101" s="348" t="str">
        <f>'MRF Calculator'!F101</f>
        <v/>
      </c>
      <c r="G101" s="350"/>
      <c r="H101" s="348" t="str">
        <f>'MRF Calculator'!H101</f>
        <v/>
      </c>
      <c r="I101" s="349"/>
      <c r="J101" s="349"/>
      <c r="K101" s="350"/>
      <c r="L101" s="203" t="str">
        <f>'MRF Calculator'!L101</f>
        <v/>
      </c>
      <c r="M101" s="352" t="str">
        <f>'MRF Calculator'!M101</f>
        <v/>
      </c>
      <c r="N101" s="204" t="str">
        <f>'MRF Calculator'!N101</f>
        <v/>
      </c>
      <c r="O101" s="206" t="str">
        <f>'MRF Calculator'!O101</f>
        <v/>
      </c>
    </row>
    <row r="102" spans="2:15">
      <c r="B102" s="197">
        <f>'MRF Calculator'!B102</f>
        <v>86</v>
      </c>
      <c r="C102" s="197" t="str">
        <f>'MRF Calculator'!C102</f>
        <v/>
      </c>
      <c r="D102" s="197" t="str">
        <f>'MRF Calculator'!D102</f>
        <v>Invoice</v>
      </c>
      <c r="E102" s="214" t="str">
        <f>'MRF Calculator'!E102</f>
        <v/>
      </c>
      <c r="F102" s="348" t="str">
        <f>'MRF Calculator'!F102</f>
        <v/>
      </c>
      <c r="G102" s="350"/>
      <c r="H102" s="348" t="str">
        <f>'MRF Calculator'!H102</f>
        <v/>
      </c>
      <c r="I102" s="349"/>
      <c r="J102" s="349"/>
      <c r="K102" s="350"/>
      <c r="L102" s="203" t="str">
        <f>'MRF Calculator'!L102</f>
        <v/>
      </c>
      <c r="M102" s="352" t="str">
        <f>'MRF Calculator'!M102</f>
        <v/>
      </c>
      <c r="N102" s="204" t="str">
        <f>'MRF Calculator'!N102</f>
        <v/>
      </c>
      <c r="O102" s="206" t="str">
        <f>'MRF Calculator'!O102</f>
        <v/>
      </c>
    </row>
    <row r="103" spans="2:15">
      <c r="B103" s="197">
        <f>'MRF Calculator'!B103</f>
        <v>87</v>
      </c>
      <c r="C103" s="197" t="str">
        <f>'MRF Calculator'!C103</f>
        <v/>
      </c>
      <c r="D103" s="197" t="str">
        <f>'MRF Calculator'!D103</f>
        <v>Invoice</v>
      </c>
      <c r="E103" s="214" t="str">
        <f>'MRF Calculator'!E103</f>
        <v/>
      </c>
      <c r="F103" s="348" t="str">
        <f>'MRF Calculator'!F103</f>
        <v/>
      </c>
      <c r="G103" s="350"/>
      <c r="H103" s="348" t="str">
        <f>'MRF Calculator'!H103</f>
        <v/>
      </c>
      <c r="I103" s="349"/>
      <c r="J103" s="349"/>
      <c r="K103" s="350"/>
      <c r="L103" s="203" t="str">
        <f>'MRF Calculator'!L103</f>
        <v/>
      </c>
      <c r="M103" s="352" t="str">
        <f>'MRF Calculator'!M103</f>
        <v/>
      </c>
      <c r="N103" s="204" t="str">
        <f>'MRF Calculator'!N103</f>
        <v/>
      </c>
      <c r="O103" s="206" t="str">
        <f>'MRF Calculator'!O103</f>
        <v/>
      </c>
    </row>
    <row r="104" spans="2:15">
      <c r="B104" s="197">
        <f>'MRF Calculator'!B104</f>
        <v>88</v>
      </c>
      <c r="C104" s="197" t="str">
        <f>'MRF Calculator'!C104</f>
        <v/>
      </c>
      <c r="D104" s="197" t="str">
        <f>'MRF Calculator'!D104</f>
        <v>Invoice</v>
      </c>
      <c r="E104" s="214" t="str">
        <f>'MRF Calculator'!E104</f>
        <v/>
      </c>
      <c r="F104" s="348" t="str">
        <f>'MRF Calculator'!F104</f>
        <v/>
      </c>
      <c r="G104" s="350"/>
      <c r="H104" s="348" t="str">
        <f>'MRF Calculator'!H104</f>
        <v/>
      </c>
      <c r="I104" s="349"/>
      <c r="J104" s="349"/>
      <c r="K104" s="350"/>
      <c r="L104" s="203" t="str">
        <f>'MRF Calculator'!L104</f>
        <v/>
      </c>
      <c r="M104" s="352" t="str">
        <f>'MRF Calculator'!M104</f>
        <v/>
      </c>
      <c r="N104" s="204" t="str">
        <f>'MRF Calculator'!N104</f>
        <v/>
      </c>
      <c r="O104" s="206" t="str">
        <f>'MRF Calculator'!O104</f>
        <v/>
      </c>
    </row>
    <row r="105" spans="2:15">
      <c r="B105" s="197">
        <f>'MRF Calculator'!B105</f>
        <v>89</v>
      </c>
      <c r="C105" s="197" t="str">
        <f>'MRF Calculator'!C105</f>
        <v/>
      </c>
      <c r="D105" s="197" t="str">
        <f>'MRF Calculator'!D105</f>
        <v>Invoice</v>
      </c>
      <c r="E105" s="214" t="str">
        <f>'MRF Calculator'!E105</f>
        <v/>
      </c>
      <c r="F105" s="348" t="str">
        <f>'MRF Calculator'!F105</f>
        <v/>
      </c>
      <c r="G105" s="350"/>
      <c r="H105" s="348" t="str">
        <f>'MRF Calculator'!H105</f>
        <v/>
      </c>
      <c r="I105" s="349"/>
      <c r="J105" s="349"/>
      <c r="K105" s="350"/>
      <c r="L105" s="203" t="str">
        <f>'MRF Calculator'!L105</f>
        <v/>
      </c>
      <c r="M105" s="352" t="str">
        <f>'MRF Calculator'!M105</f>
        <v/>
      </c>
      <c r="N105" s="204" t="str">
        <f>'MRF Calculator'!N105</f>
        <v/>
      </c>
      <c r="O105" s="206" t="str">
        <f>'MRF Calculator'!O105</f>
        <v/>
      </c>
    </row>
    <row r="106" spans="2:15">
      <c r="B106" s="197">
        <f>'MRF Calculator'!B106</f>
        <v>90</v>
      </c>
      <c r="C106" s="197" t="str">
        <f>'MRF Calculator'!C106</f>
        <v/>
      </c>
      <c r="D106" s="197" t="str">
        <f>'MRF Calculator'!D106</f>
        <v>Invoice</v>
      </c>
      <c r="E106" s="214" t="str">
        <f>'MRF Calculator'!E106</f>
        <v/>
      </c>
      <c r="F106" s="348" t="str">
        <f>'MRF Calculator'!F106</f>
        <v/>
      </c>
      <c r="G106" s="350"/>
      <c r="H106" s="348" t="str">
        <f>'MRF Calculator'!H106</f>
        <v/>
      </c>
      <c r="I106" s="349"/>
      <c r="J106" s="349"/>
      <c r="K106" s="350"/>
      <c r="L106" s="203" t="str">
        <f>'MRF Calculator'!L106</f>
        <v/>
      </c>
      <c r="M106" s="352" t="str">
        <f>'MRF Calculator'!M106</f>
        <v/>
      </c>
      <c r="N106" s="204" t="str">
        <f>'MRF Calculator'!N106</f>
        <v/>
      </c>
      <c r="O106" s="206" t="str">
        <f>'MRF Calculator'!O106</f>
        <v/>
      </c>
    </row>
    <row r="107" spans="2:15">
      <c r="B107" s="197">
        <f>'MRF Calculator'!B107</f>
        <v>91</v>
      </c>
      <c r="C107" s="197" t="str">
        <f>'MRF Calculator'!C107</f>
        <v/>
      </c>
      <c r="D107" s="197" t="str">
        <f>'MRF Calculator'!D107</f>
        <v>Invoice</v>
      </c>
      <c r="E107" s="214" t="str">
        <f>'MRF Calculator'!E107</f>
        <v/>
      </c>
      <c r="F107" s="348" t="str">
        <f>'MRF Calculator'!F107</f>
        <v/>
      </c>
      <c r="G107" s="350"/>
      <c r="H107" s="348" t="str">
        <f>'MRF Calculator'!H107</f>
        <v/>
      </c>
      <c r="I107" s="349"/>
      <c r="J107" s="349"/>
      <c r="K107" s="350"/>
      <c r="L107" s="203" t="str">
        <f>'MRF Calculator'!L107</f>
        <v/>
      </c>
      <c r="M107" s="352" t="str">
        <f>'MRF Calculator'!M107</f>
        <v/>
      </c>
      <c r="N107" s="204" t="str">
        <f>'MRF Calculator'!N107</f>
        <v/>
      </c>
      <c r="O107" s="206" t="str">
        <f>'MRF Calculator'!O107</f>
        <v/>
      </c>
    </row>
    <row r="108" spans="2:15">
      <c r="B108" s="197">
        <f>'MRF Calculator'!B108</f>
        <v>92</v>
      </c>
      <c r="C108" s="197" t="str">
        <f>'MRF Calculator'!C108</f>
        <v/>
      </c>
      <c r="D108" s="197" t="str">
        <f>'MRF Calculator'!D108</f>
        <v>Invoice</v>
      </c>
      <c r="E108" s="214" t="str">
        <f>'MRF Calculator'!E108</f>
        <v/>
      </c>
      <c r="F108" s="348" t="str">
        <f>'MRF Calculator'!F108</f>
        <v/>
      </c>
      <c r="G108" s="350"/>
      <c r="H108" s="348" t="str">
        <f>'MRF Calculator'!H108</f>
        <v/>
      </c>
      <c r="I108" s="349"/>
      <c r="J108" s="349"/>
      <c r="K108" s="350"/>
      <c r="L108" s="203" t="str">
        <f>'MRF Calculator'!L108</f>
        <v/>
      </c>
      <c r="M108" s="352" t="str">
        <f>'MRF Calculator'!M108</f>
        <v/>
      </c>
      <c r="N108" s="204" t="str">
        <f>'MRF Calculator'!N108</f>
        <v/>
      </c>
      <c r="O108" s="206" t="str">
        <f>'MRF Calculator'!O108</f>
        <v/>
      </c>
    </row>
    <row r="109" spans="2:15">
      <c r="B109" s="197">
        <f>'MRF Calculator'!B109</f>
        <v>93</v>
      </c>
      <c r="C109" s="197" t="str">
        <f>'MRF Calculator'!C109</f>
        <v/>
      </c>
      <c r="D109" s="197" t="str">
        <f>'MRF Calculator'!D109</f>
        <v>Invoice</v>
      </c>
      <c r="E109" s="214" t="str">
        <f>'MRF Calculator'!E109</f>
        <v/>
      </c>
      <c r="F109" s="348" t="str">
        <f>'MRF Calculator'!F109</f>
        <v/>
      </c>
      <c r="G109" s="350"/>
      <c r="H109" s="348" t="str">
        <f>'MRF Calculator'!H109</f>
        <v/>
      </c>
      <c r="I109" s="349"/>
      <c r="J109" s="349"/>
      <c r="K109" s="350"/>
      <c r="L109" s="203" t="str">
        <f>'MRF Calculator'!L109</f>
        <v/>
      </c>
      <c r="M109" s="352" t="str">
        <f>'MRF Calculator'!M109</f>
        <v/>
      </c>
      <c r="N109" s="204" t="str">
        <f>'MRF Calculator'!N109</f>
        <v/>
      </c>
      <c r="O109" s="206" t="str">
        <f>'MRF Calculator'!O109</f>
        <v/>
      </c>
    </row>
  </sheetData>
  <mergeCells count="221">
    <mergeCell ref="B7:D7"/>
    <mergeCell ref="B8:D8"/>
    <mergeCell ref="B9:D9"/>
    <mergeCell ref="B10:D10"/>
    <mergeCell ref="B11:D11"/>
    <mergeCell ref="M7:O7"/>
    <mergeCell ref="M9:O12"/>
    <mergeCell ref="F104:G104"/>
    <mergeCell ref="F105:G105"/>
    <mergeCell ref="H100:K100"/>
    <mergeCell ref="H101:K101"/>
    <mergeCell ref="H90:K90"/>
    <mergeCell ref="H91:K91"/>
    <mergeCell ref="H92:K92"/>
    <mergeCell ref="H93:K93"/>
    <mergeCell ref="H94:K94"/>
    <mergeCell ref="H95:K95"/>
    <mergeCell ref="H84:K84"/>
    <mergeCell ref="H85:K85"/>
    <mergeCell ref="H86:K86"/>
    <mergeCell ref="H87:K87"/>
    <mergeCell ref="H88:K88"/>
    <mergeCell ref="H89:K89"/>
    <mergeCell ref="H78:K78"/>
    <mergeCell ref="F106:G106"/>
    <mergeCell ref="F107:G107"/>
    <mergeCell ref="F108:G108"/>
    <mergeCell ref="F109:G109"/>
    <mergeCell ref="H108:K108"/>
    <mergeCell ref="H109:K109"/>
    <mergeCell ref="F96:G96"/>
    <mergeCell ref="F97:G97"/>
    <mergeCell ref="F98:G98"/>
    <mergeCell ref="F99:G99"/>
    <mergeCell ref="F100:G100"/>
    <mergeCell ref="F101:G101"/>
    <mergeCell ref="F102:G102"/>
    <mergeCell ref="F103:G103"/>
    <mergeCell ref="H102:K102"/>
    <mergeCell ref="H103:K103"/>
    <mergeCell ref="H104:K104"/>
    <mergeCell ref="H105:K105"/>
    <mergeCell ref="H106:K106"/>
    <mergeCell ref="H107:K107"/>
    <mergeCell ref="H96:K96"/>
    <mergeCell ref="H97:K97"/>
    <mergeCell ref="H98:K98"/>
    <mergeCell ref="H99:K99"/>
    <mergeCell ref="H79:K79"/>
    <mergeCell ref="H80:K80"/>
    <mergeCell ref="H81:K81"/>
    <mergeCell ref="H82:K82"/>
    <mergeCell ref="H83:K83"/>
    <mergeCell ref="H72:K72"/>
    <mergeCell ref="H73:K73"/>
    <mergeCell ref="H74:K74"/>
    <mergeCell ref="H75:K75"/>
    <mergeCell ref="H76:K76"/>
    <mergeCell ref="H77:K77"/>
    <mergeCell ref="H66:K66"/>
    <mergeCell ref="H67:K67"/>
    <mergeCell ref="H68:K68"/>
    <mergeCell ref="H69:K69"/>
    <mergeCell ref="H70:K70"/>
    <mergeCell ref="H71:K71"/>
    <mergeCell ref="H60:K60"/>
    <mergeCell ref="H61:K61"/>
    <mergeCell ref="H62:K62"/>
    <mergeCell ref="H63:K63"/>
    <mergeCell ref="H64:K64"/>
    <mergeCell ref="H65:K65"/>
    <mergeCell ref="H54:K54"/>
    <mergeCell ref="H55:K55"/>
    <mergeCell ref="H56:K56"/>
    <mergeCell ref="H57:K57"/>
    <mergeCell ref="H58:K58"/>
    <mergeCell ref="H59:K59"/>
    <mergeCell ref="H48:K48"/>
    <mergeCell ref="H49:K49"/>
    <mergeCell ref="H50:K50"/>
    <mergeCell ref="H51:K51"/>
    <mergeCell ref="H52:K52"/>
    <mergeCell ref="H53:K53"/>
    <mergeCell ref="H42:K42"/>
    <mergeCell ref="H43:K43"/>
    <mergeCell ref="H44:K44"/>
    <mergeCell ref="H45:K45"/>
    <mergeCell ref="H46:K46"/>
    <mergeCell ref="H47:K47"/>
    <mergeCell ref="H36:K36"/>
    <mergeCell ref="H37:K37"/>
    <mergeCell ref="H38:K38"/>
    <mergeCell ref="H39:K39"/>
    <mergeCell ref="H40:K40"/>
    <mergeCell ref="H41:K41"/>
    <mergeCell ref="H30:K30"/>
    <mergeCell ref="H31:K31"/>
    <mergeCell ref="H32:K32"/>
    <mergeCell ref="H33:K33"/>
    <mergeCell ref="H34:K34"/>
    <mergeCell ref="H35:K35"/>
    <mergeCell ref="H24:K24"/>
    <mergeCell ref="H25:K25"/>
    <mergeCell ref="H26:K26"/>
    <mergeCell ref="H27:K27"/>
    <mergeCell ref="H28:K28"/>
    <mergeCell ref="H29:K29"/>
    <mergeCell ref="F78:G78"/>
    <mergeCell ref="F79:G79"/>
    <mergeCell ref="F80:G80"/>
    <mergeCell ref="F81:G81"/>
    <mergeCell ref="F82:G82"/>
    <mergeCell ref="F83:G83"/>
    <mergeCell ref="F72:G72"/>
    <mergeCell ref="F73:G73"/>
    <mergeCell ref="F74:G74"/>
    <mergeCell ref="F75:G75"/>
    <mergeCell ref="F76:G76"/>
    <mergeCell ref="F77:G77"/>
    <mergeCell ref="F93:G93"/>
    <mergeCell ref="F94:G94"/>
    <mergeCell ref="F95:G95"/>
    <mergeCell ref="F84:G84"/>
    <mergeCell ref="F85:G85"/>
    <mergeCell ref="F86:G86"/>
    <mergeCell ref="F87:G87"/>
    <mergeCell ref="F88:G88"/>
    <mergeCell ref="F89:G89"/>
    <mergeCell ref="F90:G90"/>
    <mergeCell ref="F91:G91"/>
    <mergeCell ref="F92:G92"/>
    <mergeCell ref="F69:G69"/>
    <mergeCell ref="F70:G70"/>
    <mergeCell ref="F71:G71"/>
    <mergeCell ref="F60:G60"/>
    <mergeCell ref="F61:G61"/>
    <mergeCell ref="F62:G62"/>
    <mergeCell ref="F63:G63"/>
    <mergeCell ref="F64:G64"/>
    <mergeCell ref="F65:G65"/>
    <mergeCell ref="F66:G66"/>
    <mergeCell ref="F67:G67"/>
    <mergeCell ref="F68:G68"/>
    <mergeCell ref="F54:G54"/>
    <mergeCell ref="F55:G55"/>
    <mergeCell ref="F56:G56"/>
    <mergeCell ref="F57:G57"/>
    <mergeCell ref="F58:G58"/>
    <mergeCell ref="F59:G59"/>
    <mergeCell ref="F48:G48"/>
    <mergeCell ref="F49:G49"/>
    <mergeCell ref="F50:G50"/>
    <mergeCell ref="F51:G51"/>
    <mergeCell ref="F52:G52"/>
    <mergeCell ref="F53:G53"/>
    <mergeCell ref="F42:G42"/>
    <mergeCell ref="F43:G43"/>
    <mergeCell ref="F44:G44"/>
    <mergeCell ref="F45:G45"/>
    <mergeCell ref="F46:G46"/>
    <mergeCell ref="F47:G47"/>
    <mergeCell ref="F36:G36"/>
    <mergeCell ref="F37:G37"/>
    <mergeCell ref="F38:G38"/>
    <mergeCell ref="F39:G39"/>
    <mergeCell ref="F40:G40"/>
    <mergeCell ref="F41:G41"/>
    <mergeCell ref="F30:G30"/>
    <mergeCell ref="F31:G31"/>
    <mergeCell ref="F32:G32"/>
    <mergeCell ref="F33:G33"/>
    <mergeCell ref="F34:G34"/>
    <mergeCell ref="F35:G35"/>
    <mergeCell ref="F24:G24"/>
    <mergeCell ref="F25:G25"/>
    <mergeCell ref="F26:G26"/>
    <mergeCell ref="F27:G27"/>
    <mergeCell ref="F28:G28"/>
    <mergeCell ref="F29:G29"/>
    <mergeCell ref="F18:G18"/>
    <mergeCell ref="F19:G19"/>
    <mergeCell ref="F20:G20"/>
    <mergeCell ref="F21:G21"/>
    <mergeCell ref="F22:G22"/>
    <mergeCell ref="F23:G23"/>
    <mergeCell ref="F16:G16"/>
    <mergeCell ref="F17:G17"/>
    <mergeCell ref="H16:K16"/>
    <mergeCell ref="H17:K17"/>
    <mergeCell ref="H18:K18"/>
    <mergeCell ref="H19:K19"/>
    <mergeCell ref="H20:K20"/>
    <mergeCell ref="H21:K21"/>
    <mergeCell ref="H22:K22"/>
    <mergeCell ref="H23:K23"/>
    <mergeCell ref="N2:O2"/>
    <mergeCell ref="N3:O3"/>
    <mergeCell ref="N4:O4"/>
    <mergeCell ref="L5:O5"/>
    <mergeCell ref="L6:O6"/>
    <mergeCell ref="N8:O8"/>
    <mergeCell ref="K7:L7"/>
    <mergeCell ref="K8:L8"/>
    <mergeCell ref="K9:L9"/>
    <mergeCell ref="I2:L3"/>
    <mergeCell ref="I4:J4"/>
    <mergeCell ref="K4:L4"/>
    <mergeCell ref="I5:K5"/>
    <mergeCell ref="I6:K6"/>
    <mergeCell ref="K10:L10"/>
    <mergeCell ref="K11:L11"/>
    <mergeCell ref="I7:J7"/>
    <mergeCell ref="I8:J8"/>
    <mergeCell ref="I9:J9"/>
    <mergeCell ref="I10:J10"/>
    <mergeCell ref="I11:J11"/>
    <mergeCell ref="N14:O14"/>
    <mergeCell ref="N15:O15"/>
    <mergeCell ref="I13:O13"/>
    <mergeCell ref="I12:J12"/>
    <mergeCell ref="K12:L12"/>
  </mergeCell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Sheet2!$P$2:$P$6</xm:f>
          </x14:formula1>
          <xm:sqref>D17:D109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T160"/>
  <sheetViews>
    <sheetView topLeftCell="C1" workbookViewId="0">
      <selection activeCell="U1" sqref="U1"/>
    </sheetView>
  </sheetViews>
  <sheetFormatPr defaultRowHeight="12.75"/>
  <cols>
    <col min="18" max="18" width="28.7109375" customWidth="1"/>
  </cols>
  <sheetData>
    <row r="1" spans="2:20">
      <c r="B1" s="207" t="s">
        <v>129</v>
      </c>
      <c r="F1" s="207" t="s">
        <v>115</v>
      </c>
      <c r="I1" s="207" t="s">
        <v>311</v>
      </c>
      <c r="K1" s="207" t="s">
        <v>312</v>
      </c>
      <c r="N1" s="207" t="s">
        <v>313</v>
      </c>
      <c r="R1" s="207" t="s">
        <v>314</v>
      </c>
      <c r="T1" s="207" t="s">
        <v>428</v>
      </c>
    </row>
    <row r="2" spans="2:20">
      <c r="B2" s="30" t="s">
        <v>156</v>
      </c>
      <c r="E2" s="30" t="s">
        <v>121</v>
      </c>
      <c r="F2" s="30" t="s">
        <v>165</v>
      </c>
      <c r="G2" t="s">
        <v>153</v>
      </c>
      <c r="I2" t="s">
        <v>157</v>
      </c>
      <c r="K2" t="s">
        <v>361</v>
      </c>
      <c r="N2" t="s">
        <v>159</v>
      </c>
      <c r="P2" s="30" t="s">
        <v>198</v>
      </c>
      <c r="R2" s="210" t="s">
        <v>363</v>
      </c>
      <c r="T2" s="213">
        <v>0.05</v>
      </c>
    </row>
    <row r="3" spans="2:20">
      <c r="B3" s="30" t="s">
        <v>315</v>
      </c>
      <c r="E3" s="30" t="s">
        <v>149</v>
      </c>
      <c r="F3" s="30" t="s">
        <v>199</v>
      </c>
      <c r="G3" t="s">
        <v>154</v>
      </c>
      <c r="I3" t="s">
        <v>358</v>
      </c>
      <c r="K3" t="s">
        <v>362</v>
      </c>
      <c r="N3" t="s">
        <v>201</v>
      </c>
      <c r="P3" s="30" t="s">
        <v>178</v>
      </c>
      <c r="R3" s="210" t="s">
        <v>364</v>
      </c>
      <c r="T3" s="213">
        <v>0.1</v>
      </c>
    </row>
    <row r="4" spans="2:20">
      <c r="B4" s="30" t="s">
        <v>316</v>
      </c>
      <c r="F4" s="30" t="s">
        <v>414</v>
      </c>
      <c r="I4" t="s">
        <v>359</v>
      </c>
      <c r="K4" s="30" t="s">
        <v>157</v>
      </c>
      <c r="P4" s="30" t="s">
        <v>179</v>
      </c>
      <c r="R4" s="210" t="s">
        <v>365</v>
      </c>
      <c r="T4" s="213">
        <v>0.15</v>
      </c>
    </row>
    <row r="5" spans="2:20">
      <c r="B5" s="30" t="s">
        <v>317</v>
      </c>
      <c r="F5" s="30" t="s">
        <v>165</v>
      </c>
      <c r="I5" t="s">
        <v>360</v>
      </c>
      <c r="K5" s="30"/>
      <c r="P5" s="30" t="s">
        <v>121</v>
      </c>
      <c r="R5" s="210" t="s">
        <v>366</v>
      </c>
      <c r="T5" s="213">
        <v>0.16</v>
      </c>
    </row>
    <row r="6" spans="2:20">
      <c r="B6" s="30" t="s">
        <v>318</v>
      </c>
      <c r="F6" s="30"/>
      <c r="I6" t="s">
        <v>158</v>
      </c>
      <c r="R6" s="210" t="s">
        <v>200</v>
      </c>
      <c r="T6" s="213">
        <v>0.17</v>
      </c>
    </row>
    <row r="7" spans="2:20">
      <c r="B7" s="30" t="s">
        <v>319</v>
      </c>
      <c r="F7" s="30"/>
      <c r="K7" s="30"/>
      <c r="R7" s="210" t="s">
        <v>367</v>
      </c>
      <c r="T7" s="213">
        <v>0.18</v>
      </c>
    </row>
    <row r="8" spans="2:20">
      <c r="B8" s="30" t="s">
        <v>320</v>
      </c>
      <c r="F8" s="30"/>
      <c r="K8" s="30"/>
      <c r="R8" s="210" t="s">
        <v>368</v>
      </c>
      <c r="T8" s="213">
        <v>0.19</v>
      </c>
    </row>
    <row r="9" spans="2:20">
      <c r="B9" s="30" t="s">
        <v>321</v>
      </c>
      <c r="F9" s="30"/>
      <c r="K9" s="30"/>
      <c r="R9" s="210" t="s">
        <v>369</v>
      </c>
      <c r="T9" s="213">
        <v>0.2</v>
      </c>
    </row>
    <row r="10" spans="2:20">
      <c r="B10" s="30" t="s">
        <v>322</v>
      </c>
      <c r="F10" s="30"/>
      <c r="K10" s="30"/>
      <c r="R10" s="210" t="s">
        <v>370</v>
      </c>
      <c r="T10" s="213">
        <v>0.25</v>
      </c>
    </row>
    <row r="11" spans="2:20">
      <c r="B11" s="30" t="s">
        <v>323</v>
      </c>
      <c r="F11" s="30"/>
      <c r="K11" s="30"/>
      <c r="R11" s="210" t="s">
        <v>371</v>
      </c>
      <c r="T11" s="213">
        <v>0.3</v>
      </c>
    </row>
    <row r="12" spans="2:20">
      <c r="B12" s="30" t="s">
        <v>324</v>
      </c>
      <c r="F12" s="30"/>
      <c r="K12" s="30"/>
      <c r="R12" s="210" t="s">
        <v>372</v>
      </c>
      <c r="T12" s="213">
        <v>0.35</v>
      </c>
    </row>
    <row r="13" spans="2:20">
      <c r="B13" s="30" t="s">
        <v>325</v>
      </c>
      <c r="F13" s="30"/>
      <c r="K13" s="30"/>
      <c r="R13" s="210" t="s">
        <v>373</v>
      </c>
      <c r="T13" s="213">
        <v>0.4</v>
      </c>
    </row>
    <row r="14" spans="2:20">
      <c r="B14" s="30" t="s">
        <v>326</v>
      </c>
      <c r="F14" s="30"/>
      <c r="R14" s="210" t="s">
        <v>374</v>
      </c>
      <c r="T14" s="213">
        <v>0.45</v>
      </c>
    </row>
    <row r="15" spans="2:20">
      <c r="B15" s="30" t="s">
        <v>327</v>
      </c>
      <c r="K15" s="30"/>
      <c r="R15" s="210" t="s">
        <v>375</v>
      </c>
      <c r="T15" s="213">
        <v>0.5</v>
      </c>
    </row>
    <row r="16" spans="2:20">
      <c r="B16" s="30" t="s">
        <v>328</v>
      </c>
      <c r="R16" s="210" t="s">
        <v>376</v>
      </c>
    </row>
    <row r="17" spans="2:18">
      <c r="B17" s="30" t="s">
        <v>329</v>
      </c>
      <c r="R17" s="210" t="s">
        <v>377</v>
      </c>
    </row>
    <row r="18" spans="2:18">
      <c r="B18" s="30" t="s">
        <v>330</v>
      </c>
      <c r="R18" s="210" t="s">
        <v>378</v>
      </c>
    </row>
    <row r="19" spans="2:18">
      <c r="B19" s="30" t="s">
        <v>331</v>
      </c>
      <c r="R19" s="210" t="s">
        <v>379</v>
      </c>
    </row>
    <row r="20" spans="2:18">
      <c r="B20" s="30" t="s">
        <v>332</v>
      </c>
      <c r="R20" s="210" t="s">
        <v>380</v>
      </c>
    </row>
    <row r="21" spans="2:18">
      <c r="B21" s="30" t="s">
        <v>155</v>
      </c>
      <c r="R21" s="210" t="s">
        <v>381</v>
      </c>
    </row>
    <row r="22" spans="2:18">
      <c r="B22" s="30" t="s">
        <v>333</v>
      </c>
      <c r="R22" s="210" t="s">
        <v>382</v>
      </c>
    </row>
    <row r="23" spans="2:18">
      <c r="B23" s="30" t="s">
        <v>334</v>
      </c>
      <c r="R23" s="210" t="s">
        <v>383</v>
      </c>
    </row>
    <row r="24" spans="2:18">
      <c r="B24" s="30" t="s">
        <v>335</v>
      </c>
      <c r="R24" s="210" t="s">
        <v>384</v>
      </c>
    </row>
    <row r="25" spans="2:18">
      <c r="B25" s="30" t="s">
        <v>143</v>
      </c>
      <c r="R25" s="210" t="s">
        <v>385</v>
      </c>
    </row>
    <row r="26" spans="2:18">
      <c r="B26" s="30" t="s">
        <v>336</v>
      </c>
      <c r="R26" s="210" t="s">
        <v>386</v>
      </c>
    </row>
    <row r="27" spans="2:18">
      <c r="B27" s="30" t="s">
        <v>337</v>
      </c>
      <c r="R27" s="210" t="s">
        <v>387</v>
      </c>
    </row>
    <row r="28" spans="2:18">
      <c r="B28" s="30" t="s">
        <v>338</v>
      </c>
      <c r="R28" s="210" t="s">
        <v>388</v>
      </c>
    </row>
    <row r="29" spans="2:18">
      <c r="B29" s="30" t="s">
        <v>339</v>
      </c>
      <c r="R29" s="210" t="s">
        <v>389</v>
      </c>
    </row>
    <row r="30" spans="2:18">
      <c r="B30" s="30" t="s">
        <v>340</v>
      </c>
      <c r="R30" s="210" t="s">
        <v>390</v>
      </c>
    </row>
    <row r="31" spans="2:18">
      <c r="B31" s="30" t="s">
        <v>341</v>
      </c>
      <c r="R31" s="210" t="s">
        <v>391</v>
      </c>
    </row>
    <row r="32" spans="2:18">
      <c r="B32" s="30" t="s">
        <v>342</v>
      </c>
      <c r="R32" s="210" t="s">
        <v>392</v>
      </c>
    </row>
    <row r="33" spans="2:18">
      <c r="B33" s="30" t="s">
        <v>343</v>
      </c>
      <c r="R33" s="210" t="s">
        <v>393</v>
      </c>
    </row>
    <row r="34" spans="2:18">
      <c r="B34" s="30" t="s">
        <v>344</v>
      </c>
      <c r="R34" s="210" t="s">
        <v>394</v>
      </c>
    </row>
    <row r="35" spans="2:18">
      <c r="B35" s="30" t="s">
        <v>345</v>
      </c>
      <c r="R35" s="210" t="s">
        <v>395</v>
      </c>
    </row>
    <row r="36" spans="2:18">
      <c r="B36" s="30" t="s">
        <v>346</v>
      </c>
      <c r="R36" s="210" t="s">
        <v>396</v>
      </c>
    </row>
    <row r="37" spans="2:18">
      <c r="B37" s="30" t="s">
        <v>347</v>
      </c>
      <c r="R37" s="210" t="s">
        <v>397</v>
      </c>
    </row>
    <row r="38" spans="2:18">
      <c r="B38" s="30" t="s">
        <v>348</v>
      </c>
      <c r="R38" s="210" t="s">
        <v>398</v>
      </c>
    </row>
    <row r="39" spans="2:18">
      <c r="B39" s="30" t="s">
        <v>349</v>
      </c>
      <c r="R39" s="210" t="s">
        <v>399</v>
      </c>
    </row>
    <row r="40" spans="2:18">
      <c r="B40" s="30" t="s">
        <v>350</v>
      </c>
      <c r="R40" s="210" t="s">
        <v>400</v>
      </c>
    </row>
    <row r="41" spans="2:18">
      <c r="B41" s="30" t="s">
        <v>351</v>
      </c>
      <c r="R41" s="210" t="s">
        <v>401</v>
      </c>
    </row>
    <row r="42" spans="2:18">
      <c r="R42" s="210" t="s">
        <v>402</v>
      </c>
    </row>
    <row r="43" spans="2:18">
      <c r="R43" s="210" t="s">
        <v>403</v>
      </c>
    </row>
    <row r="44" spans="2:18">
      <c r="R44" s="210" t="s">
        <v>404</v>
      </c>
    </row>
    <row r="45" spans="2:18">
      <c r="R45" s="210" t="s">
        <v>405</v>
      </c>
    </row>
    <row r="46" spans="2:18">
      <c r="R46" s="210" t="s">
        <v>406</v>
      </c>
    </row>
    <row r="47" spans="2:18">
      <c r="R47" s="210" t="s">
        <v>407</v>
      </c>
    </row>
    <row r="48" spans="2:18">
      <c r="R48" s="210" t="s">
        <v>408</v>
      </c>
    </row>
    <row r="49" spans="18:18">
      <c r="R49" s="210" t="s">
        <v>409</v>
      </c>
    </row>
    <row r="50" spans="18:18">
      <c r="R50" s="210" t="s">
        <v>410</v>
      </c>
    </row>
    <row r="51" spans="18:18">
      <c r="R51" s="210" t="s">
        <v>411</v>
      </c>
    </row>
    <row r="52" spans="18:18">
      <c r="R52" t="s">
        <v>202</v>
      </c>
    </row>
    <row r="53" spans="18:18">
      <c r="R53" t="s">
        <v>203</v>
      </c>
    </row>
    <row r="54" spans="18:18">
      <c r="R54" t="s">
        <v>204</v>
      </c>
    </row>
    <row r="55" spans="18:18">
      <c r="R55" t="s">
        <v>205</v>
      </c>
    </row>
    <row r="56" spans="18:18">
      <c r="R56" t="s">
        <v>206</v>
      </c>
    </row>
    <row r="57" spans="18:18">
      <c r="R57" t="s">
        <v>207</v>
      </c>
    </row>
    <row r="58" spans="18:18">
      <c r="R58" t="s">
        <v>208</v>
      </c>
    </row>
    <row r="59" spans="18:18">
      <c r="R59" t="s">
        <v>209</v>
      </c>
    </row>
    <row r="60" spans="18:18">
      <c r="R60" t="s">
        <v>210</v>
      </c>
    </row>
    <row r="61" spans="18:18">
      <c r="R61" t="s">
        <v>211</v>
      </c>
    </row>
    <row r="62" spans="18:18">
      <c r="R62" t="s">
        <v>212</v>
      </c>
    </row>
    <row r="63" spans="18:18">
      <c r="R63" t="s">
        <v>213</v>
      </c>
    </row>
    <row r="64" spans="18:18">
      <c r="R64" t="s">
        <v>214</v>
      </c>
    </row>
    <row r="65" spans="18:18">
      <c r="R65" t="s">
        <v>215</v>
      </c>
    </row>
    <row r="66" spans="18:18">
      <c r="R66" t="s">
        <v>216</v>
      </c>
    </row>
    <row r="67" spans="18:18">
      <c r="R67" t="s">
        <v>217</v>
      </c>
    </row>
    <row r="68" spans="18:18">
      <c r="R68" t="s">
        <v>218</v>
      </c>
    </row>
    <row r="69" spans="18:18">
      <c r="R69" t="s">
        <v>219</v>
      </c>
    </row>
    <row r="70" spans="18:18">
      <c r="R70" t="s">
        <v>220</v>
      </c>
    </row>
    <row r="71" spans="18:18">
      <c r="R71" t="s">
        <v>221</v>
      </c>
    </row>
    <row r="72" spans="18:18">
      <c r="R72" t="s">
        <v>222</v>
      </c>
    </row>
    <row r="73" spans="18:18">
      <c r="R73" t="s">
        <v>223</v>
      </c>
    </row>
    <row r="74" spans="18:18">
      <c r="R74" t="s">
        <v>224</v>
      </c>
    </row>
    <row r="75" spans="18:18">
      <c r="R75" t="s">
        <v>225</v>
      </c>
    </row>
    <row r="76" spans="18:18">
      <c r="R76" t="s">
        <v>226</v>
      </c>
    </row>
    <row r="77" spans="18:18">
      <c r="R77" t="s">
        <v>227</v>
      </c>
    </row>
    <row r="78" spans="18:18">
      <c r="R78" t="s">
        <v>228</v>
      </c>
    </row>
    <row r="79" spans="18:18">
      <c r="R79" t="s">
        <v>229</v>
      </c>
    </row>
    <row r="80" spans="18:18">
      <c r="R80" t="s">
        <v>230</v>
      </c>
    </row>
    <row r="81" spans="18:18">
      <c r="R81" t="s">
        <v>231</v>
      </c>
    </row>
    <row r="82" spans="18:18">
      <c r="R82" t="s">
        <v>232</v>
      </c>
    </row>
    <row r="83" spans="18:18">
      <c r="R83" t="s">
        <v>233</v>
      </c>
    </row>
    <row r="84" spans="18:18">
      <c r="R84" t="s">
        <v>234</v>
      </c>
    </row>
    <row r="85" spans="18:18">
      <c r="R85" t="s">
        <v>235</v>
      </c>
    </row>
    <row r="86" spans="18:18">
      <c r="R86" t="s">
        <v>236</v>
      </c>
    </row>
    <row r="87" spans="18:18">
      <c r="R87" t="s">
        <v>237</v>
      </c>
    </row>
    <row r="88" spans="18:18">
      <c r="R88" t="s">
        <v>238</v>
      </c>
    </row>
    <row r="89" spans="18:18">
      <c r="R89" t="s">
        <v>239</v>
      </c>
    </row>
    <row r="90" spans="18:18">
      <c r="R90" t="s">
        <v>240</v>
      </c>
    </row>
    <row r="91" spans="18:18">
      <c r="R91" t="s">
        <v>241</v>
      </c>
    </row>
    <row r="92" spans="18:18">
      <c r="R92" t="s">
        <v>242</v>
      </c>
    </row>
    <row r="93" spans="18:18">
      <c r="R93" t="s">
        <v>243</v>
      </c>
    </row>
    <row r="94" spans="18:18">
      <c r="R94" t="s">
        <v>244</v>
      </c>
    </row>
    <row r="95" spans="18:18">
      <c r="R95" t="s">
        <v>245</v>
      </c>
    </row>
    <row r="96" spans="18:18">
      <c r="R96" t="s">
        <v>246</v>
      </c>
    </row>
    <row r="97" spans="18:18">
      <c r="R97" t="s">
        <v>247</v>
      </c>
    </row>
    <row r="98" spans="18:18">
      <c r="R98" t="s">
        <v>248</v>
      </c>
    </row>
    <row r="99" spans="18:18">
      <c r="R99" t="s">
        <v>249</v>
      </c>
    </row>
    <row r="100" spans="18:18">
      <c r="R100" t="s">
        <v>250</v>
      </c>
    </row>
    <row r="101" spans="18:18">
      <c r="R101" t="s">
        <v>251</v>
      </c>
    </row>
    <row r="102" spans="18:18">
      <c r="R102" t="s">
        <v>252</v>
      </c>
    </row>
    <row r="103" spans="18:18">
      <c r="R103" t="s">
        <v>253</v>
      </c>
    </row>
    <row r="104" spans="18:18">
      <c r="R104" t="s">
        <v>254</v>
      </c>
    </row>
    <row r="105" spans="18:18">
      <c r="R105" t="s">
        <v>255</v>
      </c>
    </row>
    <row r="106" spans="18:18">
      <c r="R106" t="s">
        <v>256</v>
      </c>
    </row>
    <row r="107" spans="18:18">
      <c r="R107" t="s">
        <v>257</v>
      </c>
    </row>
    <row r="108" spans="18:18">
      <c r="R108" t="s">
        <v>258</v>
      </c>
    </row>
    <row r="109" spans="18:18">
      <c r="R109" t="s">
        <v>259</v>
      </c>
    </row>
    <row r="110" spans="18:18">
      <c r="R110" t="s">
        <v>260</v>
      </c>
    </row>
    <row r="111" spans="18:18">
      <c r="R111" t="s">
        <v>261</v>
      </c>
    </row>
    <row r="112" spans="18:18">
      <c r="R112" t="s">
        <v>262</v>
      </c>
    </row>
    <row r="113" spans="18:18">
      <c r="R113" t="s">
        <v>263</v>
      </c>
    </row>
    <row r="114" spans="18:18">
      <c r="R114" t="s">
        <v>264</v>
      </c>
    </row>
    <row r="115" spans="18:18">
      <c r="R115" t="s">
        <v>265</v>
      </c>
    </row>
    <row r="116" spans="18:18">
      <c r="R116" t="s">
        <v>266</v>
      </c>
    </row>
    <row r="117" spans="18:18">
      <c r="R117" t="s">
        <v>267</v>
      </c>
    </row>
    <row r="118" spans="18:18">
      <c r="R118" t="s">
        <v>268</v>
      </c>
    </row>
    <row r="119" spans="18:18">
      <c r="R119" t="s">
        <v>269</v>
      </c>
    </row>
    <row r="120" spans="18:18">
      <c r="R120" t="s">
        <v>270</v>
      </c>
    </row>
    <row r="121" spans="18:18">
      <c r="R121" t="s">
        <v>271</v>
      </c>
    </row>
    <row r="122" spans="18:18">
      <c r="R122" t="s">
        <v>272</v>
      </c>
    </row>
    <row r="123" spans="18:18">
      <c r="R123" t="s">
        <v>273</v>
      </c>
    </row>
    <row r="124" spans="18:18">
      <c r="R124" t="s">
        <v>274</v>
      </c>
    </row>
    <row r="125" spans="18:18">
      <c r="R125" t="s">
        <v>275</v>
      </c>
    </row>
    <row r="126" spans="18:18">
      <c r="R126" t="s">
        <v>276</v>
      </c>
    </row>
    <row r="127" spans="18:18">
      <c r="R127" t="s">
        <v>277</v>
      </c>
    </row>
    <row r="128" spans="18:18">
      <c r="R128" t="s">
        <v>278</v>
      </c>
    </row>
    <row r="129" spans="18:18">
      <c r="R129" t="s">
        <v>279</v>
      </c>
    </row>
    <row r="130" spans="18:18">
      <c r="R130" t="s">
        <v>280</v>
      </c>
    </row>
    <row r="131" spans="18:18">
      <c r="R131" t="s">
        <v>281</v>
      </c>
    </row>
    <row r="132" spans="18:18">
      <c r="R132" t="s">
        <v>282</v>
      </c>
    </row>
    <row r="133" spans="18:18">
      <c r="R133" t="s">
        <v>283</v>
      </c>
    </row>
    <row r="134" spans="18:18">
      <c r="R134" t="s">
        <v>284</v>
      </c>
    </row>
    <row r="135" spans="18:18">
      <c r="R135" t="s">
        <v>285</v>
      </c>
    </row>
    <row r="136" spans="18:18">
      <c r="R136" t="s">
        <v>286</v>
      </c>
    </row>
    <row r="137" spans="18:18">
      <c r="R137" t="s">
        <v>287</v>
      </c>
    </row>
    <row r="138" spans="18:18">
      <c r="R138" t="s">
        <v>288</v>
      </c>
    </row>
    <row r="139" spans="18:18">
      <c r="R139" t="s">
        <v>289</v>
      </c>
    </row>
    <row r="140" spans="18:18">
      <c r="R140" t="s">
        <v>290</v>
      </c>
    </row>
    <row r="141" spans="18:18">
      <c r="R141" t="s">
        <v>291</v>
      </c>
    </row>
    <row r="142" spans="18:18">
      <c r="R142" t="s">
        <v>292</v>
      </c>
    </row>
    <row r="143" spans="18:18">
      <c r="R143" t="s">
        <v>293</v>
      </c>
    </row>
    <row r="144" spans="18:18">
      <c r="R144" t="s">
        <v>294</v>
      </c>
    </row>
    <row r="145" spans="18:18">
      <c r="R145" t="s">
        <v>295</v>
      </c>
    </row>
    <row r="146" spans="18:18">
      <c r="R146" t="s">
        <v>296</v>
      </c>
    </row>
    <row r="147" spans="18:18">
      <c r="R147" t="s">
        <v>297</v>
      </c>
    </row>
    <row r="148" spans="18:18">
      <c r="R148" t="s">
        <v>298</v>
      </c>
    </row>
    <row r="149" spans="18:18">
      <c r="R149" t="s">
        <v>299</v>
      </c>
    </row>
    <row r="150" spans="18:18">
      <c r="R150" t="s">
        <v>300</v>
      </c>
    </row>
    <row r="151" spans="18:18">
      <c r="R151" t="s">
        <v>301</v>
      </c>
    </row>
    <row r="152" spans="18:18">
      <c r="R152" t="s">
        <v>303</v>
      </c>
    </row>
    <row r="153" spans="18:18">
      <c r="R153" t="s">
        <v>302</v>
      </c>
    </row>
    <row r="154" spans="18:18">
      <c r="R154" t="s">
        <v>304</v>
      </c>
    </row>
    <row r="155" spans="18:18">
      <c r="R155" t="s">
        <v>305</v>
      </c>
    </row>
    <row r="156" spans="18:18">
      <c r="R156" t="s">
        <v>306</v>
      </c>
    </row>
    <row r="157" spans="18:18">
      <c r="R157" t="s">
        <v>308</v>
      </c>
    </row>
    <row r="158" spans="18:18">
      <c r="R158" t="s">
        <v>307</v>
      </c>
    </row>
    <row r="159" spans="18:18">
      <c r="R159" t="s">
        <v>309</v>
      </c>
    </row>
    <row r="160" spans="18:18">
      <c r="R160" t="s">
        <v>310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B1:AB109"/>
  <sheetViews>
    <sheetView showGridLines="0" topLeftCell="F1" zoomScale="85" zoomScaleNormal="85" workbookViewId="0">
      <selection activeCell="U17" sqref="U17"/>
    </sheetView>
  </sheetViews>
  <sheetFormatPr defaultRowHeight="12.75"/>
  <cols>
    <col min="1" max="1" width="1.5703125" customWidth="1"/>
    <col min="2" max="2" width="12" customWidth="1"/>
    <col min="3" max="3" width="14" customWidth="1"/>
    <col min="4" max="4" width="9.85546875" customWidth="1"/>
    <col min="5" max="5" width="16.7109375" customWidth="1"/>
    <col min="6" max="6" width="14.85546875" customWidth="1"/>
    <col min="7" max="7" width="11.42578125" customWidth="1"/>
    <col min="8" max="8" width="30.7109375" customWidth="1"/>
    <col min="9" max="11" width="11.42578125" customWidth="1"/>
    <col min="13" max="13" width="15.5703125" customWidth="1"/>
    <col min="14" max="14" width="21.140625" customWidth="1"/>
    <col min="15" max="15" width="24.42578125" customWidth="1"/>
    <col min="17" max="17" width="2.85546875" style="358" customWidth="1"/>
    <col min="19" max="19" width="22.85546875" customWidth="1"/>
    <col min="20" max="20" width="14.5703125" bestFit="1" customWidth="1"/>
    <col min="21" max="21" width="10.5703125" customWidth="1"/>
    <col min="22" max="22" width="10.7109375" bestFit="1" customWidth="1"/>
    <col min="23" max="23" width="12.7109375" bestFit="1" customWidth="1"/>
    <col min="24" max="24" width="24.5703125" bestFit="1" customWidth="1"/>
    <col min="25" max="25" width="7.5703125" customWidth="1"/>
    <col min="26" max="26" width="16.42578125" customWidth="1"/>
    <col min="27" max="27" width="22.140625" bestFit="1" customWidth="1"/>
    <col min="28" max="29" width="25.5703125" bestFit="1" customWidth="1"/>
  </cols>
  <sheetData>
    <row r="1" spans="2:28" ht="7.5" customHeight="1">
      <c r="Q1" s="357"/>
    </row>
    <row r="2" spans="2:28">
      <c r="S2" s="359"/>
      <c r="T2" s="360"/>
      <c r="U2" s="360"/>
      <c r="V2" s="360"/>
    </row>
    <row r="3" spans="2:28">
      <c r="S3" s="360"/>
      <c r="T3" s="360"/>
      <c r="U3" s="360"/>
      <c r="V3" s="360"/>
    </row>
    <row r="4" spans="2:28" ht="13.5" thickBot="1"/>
    <row r="5" spans="2:28">
      <c r="S5" s="353" t="s">
        <v>175</v>
      </c>
      <c r="T5" s="363" t="str">
        <f>IF('MRF SC-Mang'!$C$17="","",'MRF SC-Mang'!$C$17)</f>
        <v/>
      </c>
    </row>
    <row r="6" spans="2:28">
      <c r="S6" s="354" t="s">
        <v>176</v>
      </c>
      <c r="T6" s="364" t="str">
        <f>IF('MRF SC-Mang'!$D$17="","",'MRF SC-Mang'!$D$17)</f>
        <v>Invoice</v>
      </c>
    </row>
    <row r="7" spans="2:28" ht="13.5" thickBot="1">
      <c r="S7" s="355" t="s">
        <v>420</v>
      </c>
      <c r="T7" s="365" t="str">
        <f>IF('MRF SC-Mang'!$O$17="","",'MRF SC-Mang'!$O$17)</f>
        <v/>
      </c>
    </row>
    <row r="16" spans="2:28" ht="44.25" customHeight="1">
      <c r="B16" s="215" t="s">
        <v>124</v>
      </c>
      <c r="C16" s="215" t="s">
        <v>175</v>
      </c>
      <c r="D16" s="215" t="s">
        <v>176</v>
      </c>
      <c r="E16" s="215" t="s">
        <v>59</v>
      </c>
      <c r="F16" s="346" t="s">
        <v>177</v>
      </c>
      <c r="G16" s="346"/>
      <c r="H16" s="313" t="s">
        <v>36</v>
      </c>
      <c r="I16" s="314"/>
      <c r="J16" s="314"/>
      <c r="K16" s="351"/>
      <c r="L16" s="215" t="s">
        <v>3</v>
      </c>
      <c r="M16" s="215" t="s">
        <v>181</v>
      </c>
      <c r="N16" s="200" t="s">
        <v>182</v>
      </c>
      <c r="O16" s="200" t="s">
        <v>420</v>
      </c>
      <c r="S16" s="200" t="s">
        <v>124</v>
      </c>
      <c r="T16" s="200" t="s">
        <v>175</v>
      </c>
      <c r="U16" s="200" t="s">
        <v>176</v>
      </c>
      <c r="V16" s="200" t="s">
        <v>59</v>
      </c>
      <c r="W16" s="200" t="s">
        <v>177</v>
      </c>
      <c r="X16" s="200" t="s">
        <v>36</v>
      </c>
      <c r="Y16" s="200" t="s">
        <v>3</v>
      </c>
      <c r="Z16" s="200" t="s">
        <v>181</v>
      </c>
      <c r="AA16" s="200" t="s">
        <v>182</v>
      </c>
      <c r="AB16" s="200" t="s">
        <v>420</v>
      </c>
    </row>
    <row r="17" spans="2:28">
      <c r="B17" s="197">
        <v>1</v>
      </c>
      <c r="C17" s="197" t="str">
        <f>T17</f>
        <v/>
      </c>
      <c r="D17" s="197" t="str">
        <f>U17</f>
        <v>Invoice</v>
      </c>
      <c r="E17" s="214" t="str">
        <f>V17</f>
        <v>Mcclung</v>
      </c>
      <c r="F17" s="343" t="str">
        <f>W17</f>
        <v>B-0776</v>
      </c>
      <c r="G17" s="343"/>
      <c r="H17" s="348" t="str">
        <f>X17</f>
        <v>thrust plate</v>
      </c>
      <c r="I17" s="349"/>
      <c r="J17" s="349"/>
      <c r="K17" s="350"/>
      <c r="L17" s="203">
        <f>Y17</f>
        <v>2</v>
      </c>
      <c r="M17" s="352">
        <f>Z17</f>
        <v>1176.5749999999998</v>
      </c>
      <c r="N17" s="204" t="str">
        <f>AA17</f>
        <v/>
      </c>
      <c r="O17" s="356" t="str">
        <f>AB17</f>
        <v/>
      </c>
      <c r="S17" s="362">
        <v>1</v>
      </c>
      <c r="T17" s="356" t="str">
        <f>IF($T$5="","",$T$5)</f>
        <v/>
      </c>
      <c r="U17" s="356" t="str">
        <f>IF($T$6="","",$T$6)</f>
        <v>Invoice</v>
      </c>
      <c r="V17" s="356" t="str">
        <f>'PARTS LIST SC'!$W11</f>
        <v>Mcclung</v>
      </c>
      <c r="W17" s="356" t="str">
        <f>IF('PARTS LIST SC'!$B11="","",'PARTS LIST SC'!$B11)</f>
        <v>B-0776</v>
      </c>
      <c r="X17" s="356" t="str">
        <f>IF('PARTS LIST SC'!$C11="","",'PARTS LIST SC'!$C11)</f>
        <v>thrust plate</v>
      </c>
      <c r="Y17" s="362">
        <f>IF('PARTS LIST SC'!$D11="","",'PARTS LIST SC'!$D11)</f>
        <v>2</v>
      </c>
      <c r="Z17" s="361">
        <f>'PARTS LIST SC'!$X11</f>
        <v>1176.5749999999998</v>
      </c>
      <c r="AA17" s="356" t="str">
        <f>IF('Information Sales'!$K$7="","",'Information Sales'!$K$7)</f>
        <v/>
      </c>
      <c r="AB17" s="356" t="str">
        <f>IF($T$7="","",$T$7)</f>
        <v/>
      </c>
    </row>
    <row r="18" spans="2:28">
      <c r="B18" s="197">
        <v>2</v>
      </c>
      <c r="C18" s="197" t="str">
        <f>T18</f>
        <v/>
      </c>
      <c r="D18" s="197" t="str">
        <f>U18</f>
        <v>Invoice</v>
      </c>
      <c r="E18" s="214" t="str">
        <f>V18</f>
        <v>Mcclung</v>
      </c>
      <c r="F18" s="343" t="str">
        <f>W18</f>
        <v>B-0772</v>
      </c>
      <c r="G18" s="343"/>
      <c r="H18" s="348" t="str">
        <f>X18</f>
        <v>rod bushings</v>
      </c>
      <c r="I18" s="349"/>
      <c r="J18" s="349"/>
      <c r="K18" s="350"/>
      <c r="L18" s="203">
        <f>Y18</f>
        <v>4</v>
      </c>
      <c r="M18" s="352">
        <f>Z18</f>
        <v>1702.2999999999997</v>
      </c>
      <c r="N18" s="204" t="str">
        <f>AA18</f>
        <v/>
      </c>
      <c r="O18" s="356" t="str">
        <f>AB18</f>
        <v/>
      </c>
      <c r="S18" s="362">
        <v>2</v>
      </c>
      <c r="T18" s="356" t="str">
        <f>IF($T$5="","",$T$5)</f>
        <v/>
      </c>
      <c r="U18" s="356" t="str">
        <f>IF($T$6="","",$T$6)</f>
        <v>Invoice</v>
      </c>
      <c r="V18" s="356" t="str">
        <f>'PARTS LIST SC'!$W12</f>
        <v>Mcclung</v>
      </c>
      <c r="W18" s="356" t="str">
        <f>IF('PARTS LIST SC'!$B12="","",'PARTS LIST SC'!$B12)</f>
        <v>B-0772</v>
      </c>
      <c r="X18" s="356" t="str">
        <f>IF('PARTS LIST SC'!$C12="","",'PARTS LIST SC'!$C12)</f>
        <v>rod bushings</v>
      </c>
      <c r="Y18" s="362">
        <f>IF('PARTS LIST SC'!$D12="","",'PARTS LIST SC'!$D12)</f>
        <v>4</v>
      </c>
      <c r="Z18" s="361">
        <f>'PARTS LIST SC'!$X12</f>
        <v>1702.2999999999997</v>
      </c>
      <c r="AA18" s="356" t="str">
        <f>IF('Information Sales'!$K$7="","",'Information Sales'!$K$7)</f>
        <v/>
      </c>
      <c r="AB18" s="356" t="str">
        <f>IF($T$7="","",$T$7)</f>
        <v/>
      </c>
    </row>
    <row r="19" spans="2:28">
      <c r="B19" s="197">
        <v>3</v>
      </c>
      <c r="C19" s="197" t="str">
        <f>T19</f>
        <v/>
      </c>
      <c r="D19" s="197" t="str">
        <f>U19</f>
        <v>Invoice</v>
      </c>
      <c r="E19" s="214" t="str">
        <f>V19</f>
        <v>Mcclung</v>
      </c>
      <c r="F19" s="343" t="str">
        <f>W19</f>
        <v>B-5290</v>
      </c>
      <c r="G19" s="343"/>
      <c r="H19" s="348" t="str">
        <f>X19</f>
        <v>cross head bushingd</v>
      </c>
      <c r="I19" s="349"/>
      <c r="J19" s="349"/>
      <c r="K19" s="350"/>
      <c r="L19" s="203">
        <f>Y19</f>
        <v>8</v>
      </c>
      <c r="M19" s="352">
        <f>Z19</f>
        <v>1729.1</v>
      </c>
      <c r="N19" s="204" t="str">
        <f>AA19</f>
        <v/>
      </c>
      <c r="O19" s="356" t="str">
        <f>AB19</f>
        <v/>
      </c>
      <c r="S19" s="362">
        <v>3</v>
      </c>
      <c r="T19" s="356" t="str">
        <f>IF($T$5="","",$T$5)</f>
        <v/>
      </c>
      <c r="U19" s="356" t="str">
        <f>IF($T$6="","",$T$6)</f>
        <v>Invoice</v>
      </c>
      <c r="V19" s="356" t="str">
        <f>'PARTS LIST SC'!$W13</f>
        <v>Mcclung</v>
      </c>
      <c r="W19" s="356" t="str">
        <f>IF('PARTS LIST SC'!$B13="","",'PARTS LIST SC'!$B13)</f>
        <v>B-5290</v>
      </c>
      <c r="X19" s="356" t="str">
        <f>IF('PARTS LIST SC'!$C13="","",'PARTS LIST SC'!$C13)</f>
        <v>cross head bushingd</v>
      </c>
      <c r="Y19" s="362">
        <f>IF('PARTS LIST SC'!$D13="","",'PARTS LIST SC'!$D13)</f>
        <v>8</v>
      </c>
      <c r="Z19" s="361">
        <f>'PARTS LIST SC'!$X13</f>
        <v>1729.1</v>
      </c>
      <c r="AA19" s="356" t="str">
        <f>IF('Information Sales'!$K$7="","",'Information Sales'!$K$7)</f>
        <v/>
      </c>
      <c r="AB19" s="356" t="str">
        <f>IF($T$7="","",$T$7)</f>
        <v/>
      </c>
    </row>
    <row r="20" spans="2:28">
      <c r="B20" s="197">
        <v>4</v>
      </c>
      <c r="C20" s="197" t="str">
        <f>T20</f>
        <v/>
      </c>
      <c r="D20" s="197" t="str">
        <f>U20</f>
        <v>Invoice</v>
      </c>
      <c r="E20" s="214" t="str">
        <f>V20</f>
        <v>Mcclung</v>
      </c>
      <c r="F20" s="343" t="str">
        <f>W20</f>
        <v>B-0770</v>
      </c>
      <c r="G20" s="343"/>
      <c r="H20" s="348" t="str">
        <f>X20</f>
        <v>main bearings</v>
      </c>
      <c r="I20" s="349"/>
      <c r="J20" s="349"/>
      <c r="K20" s="350"/>
      <c r="L20" s="203">
        <f>Y20</f>
        <v>8</v>
      </c>
      <c r="M20" s="352">
        <f>Z20</f>
        <v>1252.1999999999998</v>
      </c>
      <c r="N20" s="204" t="str">
        <f>AA20</f>
        <v/>
      </c>
      <c r="O20" s="356" t="str">
        <f>AB20</f>
        <v/>
      </c>
      <c r="S20" s="362">
        <v>4</v>
      </c>
      <c r="T20" s="356" t="str">
        <f>IF($T$5="","",$T$5)</f>
        <v/>
      </c>
      <c r="U20" s="356" t="str">
        <f>IF($T$6="","",$T$6)</f>
        <v>Invoice</v>
      </c>
      <c r="V20" s="356" t="str">
        <f>'PARTS LIST SC'!$W14</f>
        <v>Mcclung</v>
      </c>
      <c r="W20" s="356" t="str">
        <f>IF('PARTS LIST SC'!$B14="","",'PARTS LIST SC'!$B14)</f>
        <v>B-0770</v>
      </c>
      <c r="X20" s="356" t="str">
        <f>IF('PARTS LIST SC'!$C14="","",'PARTS LIST SC'!$C14)</f>
        <v>main bearings</v>
      </c>
      <c r="Y20" s="362">
        <f>IF('PARTS LIST SC'!$D14="","",'PARTS LIST SC'!$D14)</f>
        <v>8</v>
      </c>
      <c r="Z20" s="361">
        <f>'PARTS LIST SC'!$X14</f>
        <v>1252.1999999999998</v>
      </c>
      <c r="AA20" s="356" t="str">
        <f>IF('Information Sales'!$K$7="","",'Information Sales'!$K$7)</f>
        <v/>
      </c>
      <c r="AB20" s="356" t="str">
        <f>IF($T$7="","",$T$7)</f>
        <v/>
      </c>
    </row>
    <row r="21" spans="2:28">
      <c r="B21" s="197">
        <v>5</v>
      </c>
      <c r="C21" s="197" t="str">
        <f>T21</f>
        <v/>
      </c>
      <c r="D21" s="197" t="str">
        <f>U21</f>
        <v>Invoice</v>
      </c>
      <c r="E21" s="214" t="str">
        <f>V21</f>
        <v>Mcclung</v>
      </c>
      <c r="F21" s="343" t="str">
        <f>W21</f>
        <v>B-2082</v>
      </c>
      <c r="G21" s="343"/>
      <c r="H21" s="348" t="str">
        <f>X21</f>
        <v>Rod bearings</v>
      </c>
      <c r="I21" s="349"/>
      <c r="J21" s="349"/>
      <c r="K21" s="350"/>
      <c r="L21" s="203">
        <f>Y21</f>
        <v>8</v>
      </c>
      <c r="M21" s="352">
        <f>Z21</f>
        <v>1509.1</v>
      </c>
      <c r="N21" s="204" t="str">
        <f>AA21</f>
        <v/>
      </c>
      <c r="O21" s="356" t="str">
        <f>AB21</f>
        <v/>
      </c>
      <c r="S21" s="362">
        <v>5</v>
      </c>
      <c r="T21" s="356" t="str">
        <f>IF($T$5="","",$T$5)</f>
        <v/>
      </c>
      <c r="U21" s="356" t="str">
        <f>IF($T$6="","",$T$6)</f>
        <v>Invoice</v>
      </c>
      <c r="V21" s="356" t="str">
        <f>'PARTS LIST SC'!$W15</f>
        <v>Mcclung</v>
      </c>
      <c r="W21" s="356" t="str">
        <f>IF('PARTS LIST SC'!$B15="","",'PARTS LIST SC'!$B15)</f>
        <v>B-2082</v>
      </c>
      <c r="X21" s="356" t="str">
        <f>IF('PARTS LIST SC'!$C15="","",'PARTS LIST SC'!$C15)</f>
        <v>Rod bearings</v>
      </c>
      <c r="Y21" s="362">
        <f>IF('PARTS LIST SC'!$D15="","",'PARTS LIST SC'!$D15)</f>
        <v>8</v>
      </c>
      <c r="Z21" s="361">
        <f>'PARTS LIST SC'!$X15</f>
        <v>1509.1</v>
      </c>
      <c r="AA21" s="356" t="str">
        <f>IF('Information Sales'!$K$7="","",'Information Sales'!$K$7)</f>
        <v/>
      </c>
      <c r="AB21" s="356" t="str">
        <f>IF($T$7="","",$T$7)</f>
        <v/>
      </c>
    </row>
    <row r="22" spans="2:28">
      <c r="B22" s="197">
        <v>6</v>
      </c>
      <c r="C22" s="197" t="str">
        <f>T22</f>
        <v/>
      </c>
      <c r="D22" s="197" t="str">
        <f>U22</f>
        <v>Invoice</v>
      </c>
      <c r="E22" s="214" t="str">
        <f>V22</f>
        <v>Mcclung</v>
      </c>
      <c r="F22" s="343" t="str">
        <f>W22</f>
        <v>A-3884</v>
      </c>
      <c r="G22" s="343"/>
      <c r="H22" s="348" t="str">
        <f>X22</f>
        <v>chain</v>
      </c>
      <c r="I22" s="349"/>
      <c r="J22" s="349"/>
      <c r="K22" s="350"/>
      <c r="L22" s="203">
        <f>Y22</f>
        <v>1</v>
      </c>
      <c r="M22" s="352">
        <f>Z22</f>
        <v>40</v>
      </c>
      <c r="N22" s="204" t="str">
        <f>AA22</f>
        <v/>
      </c>
      <c r="O22" s="356" t="str">
        <f>AB22</f>
        <v/>
      </c>
      <c r="S22" s="362">
        <v>6</v>
      </c>
      <c r="T22" s="356" t="str">
        <f>IF($T$5="","",$T$5)</f>
        <v/>
      </c>
      <c r="U22" s="356" t="str">
        <f>IF($T$6="","",$T$6)</f>
        <v>Invoice</v>
      </c>
      <c r="V22" s="356" t="str">
        <f>'PARTS LIST SC'!$W16</f>
        <v>Mcclung</v>
      </c>
      <c r="W22" s="356" t="str">
        <f>IF('PARTS LIST SC'!$B16="","",'PARTS LIST SC'!$B16)</f>
        <v>A-3884</v>
      </c>
      <c r="X22" s="356" t="str">
        <f>IF('PARTS LIST SC'!$C16="","",'PARTS LIST SC'!$C16)</f>
        <v>chain</v>
      </c>
      <c r="Y22" s="362">
        <f>IF('PARTS LIST SC'!$D16="","",'PARTS LIST SC'!$D16)</f>
        <v>1</v>
      </c>
      <c r="Z22" s="361">
        <f>'PARTS LIST SC'!$X16</f>
        <v>40</v>
      </c>
      <c r="AA22" s="356" t="str">
        <f>IF('Information Sales'!$K$7="","",'Information Sales'!$K$7)</f>
        <v/>
      </c>
      <c r="AB22" s="356" t="str">
        <f>IF($T$7="","",$T$7)</f>
        <v/>
      </c>
    </row>
    <row r="23" spans="2:28">
      <c r="B23" s="197">
        <v>7</v>
      </c>
      <c r="C23" s="197" t="str">
        <f>T23</f>
        <v/>
      </c>
      <c r="D23" s="197" t="str">
        <f>U23</f>
        <v>Invoice</v>
      </c>
      <c r="E23" s="214" t="str">
        <f>V23</f>
        <v>Mcclung</v>
      </c>
      <c r="F23" s="343" t="str">
        <f>W23</f>
        <v>A-0661</v>
      </c>
      <c r="G23" s="343"/>
      <c r="H23" s="348" t="str">
        <f>X23</f>
        <v>oil filter</v>
      </c>
      <c r="I23" s="349"/>
      <c r="J23" s="349"/>
      <c r="K23" s="350"/>
      <c r="L23" s="203">
        <f>Y23</f>
        <v>3</v>
      </c>
      <c r="M23" s="352">
        <f>Z23</f>
        <v>37.971428571428568</v>
      </c>
      <c r="N23" s="204" t="str">
        <f>AA23</f>
        <v/>
      </c>
      <c r="O23" s="356" t="str">
        <f>AB23</f>
        <v/>
      </c>
      <c r="S23" s="362">
        <v>7</v>
      </c>
      <c r="T23" s="356" t="str">
        <f>IF($T$5="","",$T$5)</f>
        <v/>
      </c>
      <c r="U23" s="356" t="str">
        <f>IF($T$6="","",$T$6)</f>
        <v>Invoice</v>
      </c>
      <c r="V23" s="356" t="str">
        <f>'PARTS LIST SC'!$W17</f>
        <v>Mcclung</v>
      </c>
      <c r="W23" s="356" t="str">
        <f>IF('PARTS LIST SC'!$B17="","",'PARTS LIST SC'!$B17)</f>
        <v>A-0661</v>
      </c>
      <c r="X23" s="356" t="str">
        <f>IF('PARTS LIST SC'!$C17="","",'PARTS LIST SC'!$C17)</f>
        <v>oil filter</v>
      </c>
      <c r="Y23" s="362">
        <f>IF('PARTS LIST SC'!$D17="","",'PARTS LIST SC'!$D17)</f>
        <v>3</v>
      </c>
      <c r="Z23" s="361">
        <f>'PARTS LIST SC'!$X17</f>
        <v>37.971428571428568</v>
      </c>
      <c r="AA23" s="356" t="str">
        <f>IF('Information Sales'!$K$7="","",'Information Sales'!$K$7)</f>
        <v/>
      </c>
      <c r="AB23" s="356" t="str">
        <f>IF($T$7="","",$T$7)</f>
        <v/>
      </c>
    </row>
    <row r="24" spans="2:28">
      <c r="B24" s="197">
        <v>8</v>
      </c>
      <c r="C24" s="197" t="str">
        <f>T24</f>
        <v/>
      </c>
      <c r="D24" s="197" t="str">
        <f>U24</f>
        <v>Invoice</v>
      </c>
      <c r="E24" s="214" t="str">
        <f>V24</f>
        <v>Mcclung</v>
      </c>
      <c r="F24" s="343" t="str">
        <f>W24</f>
        <v>A-3875</v>
      </c>
      <c r="G24" s="343"/>
      <c r="H24" s="348" t="str">
        <f>X24</f>
        <v>gasket</v>
      </c>
      <c r="I24" s="349"/>
      <c r="J24" s="349"/>
      <c r="K24" s="350"/>
      <c r="L24" s="203">
        <f>Y24</f>
        <v>1</v>
      </c>
      <c r="M24" s="352">
        <f>Z24</f>
        <v>24.200000000000003</v>
      </c>
      <c r="N24" s="204" t="str">
        <f>AA24</f>
        <v/>
      </c>
      <c r="O24" s="356" t="str">
        <f>AB24</f>
        <v/>
      </c>
      <c r="S24" s="362">
        <v>8</v>
      </c>
      <c r="T24" s="356" t="str">
        <f>IF($T$5="","",$T$5)</f>
        <v/>
      </c>
      <c r="U24" s="356" t="str">
        <f>IF($T$6="","",$T$6)</f>
        <v>Invoice</v>
      </c>
      <c r="V24" s="356" t="str">
        <f>'PARTS LIST SC'!$W18</f>
        <v>Mcclung</v>
      </c>
      <c r="W24" s="356" t="str">
        <f>IF('PARTS LIST SC'!$B18="","",'PARTS LIST SC'!$B18)</f>
        <v>A-3875</v>
      </c>
      <c r="X24" s="356" t="str">
        <f>IF('PARTS LIST SC'!$C18="","",'PARTS LIST SC'!$C18)</f>
        <v>gasket</v>
      </c>
      <c r="Y24" s="362">
        <f>IF('PARTS LIST SC'!$D18="","",'PARTS LIST SC'!$D18)</f>
        <v>1</v>
      </c>
      <c r="Z24" s="361">
        <f>'PARTS LIST SC'!$X18</f>
        <v>24.200000000000003</v>
      </c>
      <c r="AA24" s="356" t="str">
        <f>IF('Information Sales'!$K$7="","",'Information Sales'!$K$7)</f>
        <v/>
      </c>
      <c r="AB24" s="356" t="str">
        <f>IF($T$7="","",$T$7)</f>
        <v/>
      </c>
    </row>
    <row r="25" spans="2:28">
      <c r="B25" s="197">
        <v>9</v>
      </c>
      <c r="C25" s="197" t="str">
        <f>T25</f>
        <v/>
      </c>
      <c r="D25" s="197" t="str">
        <f>U25</f>
        <v>Invoice</v>
      </c>
      <c r="E25" s="214" t="str">
        <f>V25</f>
        <v>Mcclung</v>
      </c>
      <c r="F25" s="343" t="str">
        <f>W25</f>
        <v>B-0779</v>
      </c>
      <c r="G25" s="343"/>
      <c r="H25" s="348" t="str">
        <f>X25</f>
        <v>Gasket</v>
      </c>
      <c r="I25" s="349"/>
      <c r="J25" s="349"/>
      <c r="K25" s="350"/>
      <c r="L25" s="203">
        <f>Y25</f>
        <v>2</v>
      </c>
      <c r="M25" s="352">
        <f>Z25</f>
        <v>16.2</v>
      </c>
      <c r="N25" s="204" t="str">
        <f>AA25</f>
        <v/>
      </c>
      <c r="O25" s="356" t="str">
        <f>AB25</f>
        <v/>
      </c>
      <c r="S25" s="362">
        <v>9</v>
      </c>
      <c r="T25" s="356" t="str">
        <f>IF($T$5="","",$T$5)</f>
        <v/>
      </c>
      <c r="U25" s="356" t="str">
        <f>IF($T$6="","",$T$6)</f>
        <v>Invoice</v>
      </c>
      <c r="V25" s="356" t="str">
        <f>'PARTS LIST SC'!$W19</f>
        <v>Mcclung</v>
      </c>
      <c r="W25" s="356" t="str">
        <f>IF('PARTS LIST SC'!$B19="","",'PARTS LIST SC'!$B19)</f>
        <v>B-0779</v>
      </c>
      <c r="X25" s="356" t="str">
        <f>IF('PARTS LIST SC'!$C19="","",'PARTS LIST SC'!$C19)</f>
        <v>Gasket</v>
      </c>
      <c r="Y25" s="362">
        <f>IF('PARTS LIST SC'!$D19="","",'PARTS LIST SC'!$D19)</f>
        <v>2</v>
      </c>
      <c r="Z25" s="361">
        <f>'PARTS LIST SC'!$X19</f>
        <v>16.2</v>
      </c>
      <c r="AA25" s="356" t="str">
        <f>IF('Information Sales'!$K$7="","",'Information Sales'!$K$7)</f>
        <v/>
      </c>
      <c r="AB25" s="356" t="str">
        <f>IF($T$7="","",$T$7)</f>
        <v/>
      </c>
    </row>
    <row r="26" spans="2:28">
      <c r="B26" s="197">
        <v>10</v>
      </c>
      <c r="C26" s="197" t="str">
        <f>T26</f>
        <v/>
      </c>
      <c r="D26" s="197" t="str">
        <f>U26</f>
        <v>Invoice</v>
      </c>
      <c r="E26" s="214" t="str">
        <f>V26</f>
        <v>Mcclung</v>
      </c>
      <c r="F26" s="343" t="str">
        <f>W26</f>
        <v>B-0832</v>
      </c>
      <c r="G26" s="343"/>
      <c r="H26" s="348" t="str">
        <f>X26</f>
        <v>gasket</v>
      </c>
      <c r="I26" s="349"/>
      <c r="J26" s="349"/>
      <c r="K26" s="350"/>
      <c r="L26" s="203">
        <f>Y26</f>
        <v>8</v>
      </c>
      <c r="M26" s="352">
        <f>Z26</f>
        <v>233.48571428571429</v>
      </c>
      <c r="N26" s="204" t="str">
        <f>AA26</f>
        <v/>
      </c>
      <c r="O26" s="356" t="str">
        <f>AB26</f>
        <v/>
      </c>
      <c r="S26" s="362">
        <v>10</v>
      </c>
      <c r="T26" s="356" t="str">
        <f>IF($T$5="","",$T$5)</f>
        <v/>
      </c>
      <c r="U26" s="356" t="str">
        <f>IF($T$6="","",$T$6)</f>
        <v>Invoice</v>
      </c>
      <c r="V26" s="356" t="str">
        <f>'PARTS LIST SC'!$W20</f>
        <v>Mcclung</v>
      </c>
      <c r="W26" s="356" t="str">
        <f>IF('PARTS LIST SC'!$B20="","",'PARTS LIST SC'!$B20)</f>
        <v>B-0832</v>
      </c>
      <c r="X26" s="356" t="str">
        <f>IF('PARTS LIST SC'!$C20="","",'PARTS LIST SC'!$C20)</f>
        <v>gasket</v>
      </c>
      <c r="Y26" s="362">
        <f>IF('PARTS LIST SC'!$D20="","",'PARTS LIST SC'!$D20)</f>
        <v>8</v>
      </c>
      <c r="Z26" s="361">
        <f>'PARTS LIST SC'!$X20</f>
        <v>233.48571428571429</v>
      </c>
      <c r="AA26" s="356" t="str">
        <f>IF('Information Sales'!$K$7="","",'Information Sales'!$K$7)</f>
        <v/>
      </c>
      <c r="AB26" s="356" t="str">
        <f>IF($T$7="","",$T$7)</f>
        <v/>
      </c>
    </row>
    <row r="27" spans="2:28">
      <c r="B27" s="197">
        <v>11</v>
      </c>
      <c r="C27" s="197" t="str">
        <f>T27</f>
        <v/>
      </c>
      <c r="D27" s="197" t="str">
        <f>U27</f>
        <v>Invoice</v>
      </c>
      <c r="E27" s="214" t="str">
        <f>V27</f>
        <v>Mcclung</v>
      </c>
      <c r="F27" s="343" t="str">
        <f>W27</f>
        <v>C-6200</v>
      </c>
      <c r="G27" s="343"/>
      <c r="H27" s="348" t="str">
        <f>X27</f>
        <v>gasket</v>
      </c>
      <c r="I27" s="349"/>
      <c r="J27" s="349"/>
      <c r="K27" s="350"/>
      <c r="L27" s="203">
        <f>Y27</f>
        <v>1</v>
      </c>
      <c r="M27" s="352">
        <f>Z27</f>
        <v>173.39999999999998</v>
      </c>
      <c r="N27" s="204" t="str">
        <f>AA27</f>
        <v/>
      </c>
      <c r="O27" s="356" t="str">
        <f>AB27</f>
        <v/>
      </c>
      <c r="S27" s="362">
        <v>11</v>
      </c>
      <c r="T27" s="356" t="str">
        <f>IF($T$5="","",$T$5)</f>
        <v/>
      </c>
      <c r="U27" s="356" t="str">
        <f>IF($T$6="","",$T$6)</f>
        <v>Invoice</v>
      </c>
      <c r="V27" s="356" t="str">
        <f>'PARTS LIST SC'!$W21</f>
        <v>Mcclung</v>
      </c>
      <c r="W27" s="356" t="str">
        <f>IF('PARTS LIST SC'!$B21="","",'PARTS LIST SC'!$B21)</f>
        <v>C-6200</v>
      </c>
      <c r="X27" s="356" t="str">
        <f>IF('PARTS LIST SC'!$C21="","",'PARTS LIST SC'!$C21)</f>
        <v>gasket</v>
      </c>
      <c r="Y27" s="362">
        <f>IF('PARTS LIST SC'!$D21="","",'PARTS LIST SC'!$D21)</f>
        <v>1</v>
      </c>
      <c r="Z27" s="361">
        <f>'PARTS LIST SC'!$X21</f>
        <v>173.39999999999998</v>
      </c>
      <c r="AA27" s="356" t="str">
        <f>IF('Information Sales'!$K$7="","",'Information Sales'!$K$7)</f>
        <v/>
      </c>
      <c r="AB27" s="356" t="str">
        <f>IF($T$7="","",$T$7)</f>
        <v/>
      </c>
    </row>
    <row r="28" spans="2:28">
      <c r="B28" s="197">
        <v>12</v>
      </c>
      <c r="C28" s="197" t="str">
        <f>T28</f>
        <v/>
      </c>
      <c r="D28" s="197" t="str">
        <f>U28</f>
        <v>Invoice</v>
      </c>
      <c r="E28" s="214" t="str">
        <f>V28</f>
        <v>Mcclung</v>
      </c>
      <c r="F28" s="343" t="str">
        <f>W28</f>
        <v>B-0844</v>
      </c>
      <c r="G28" s="343"/>
      <c r="H28" s="348" t="str">
        <f>X28</f>
        <v>gasket</v>
      </c>
      <c r="I28" s="349"/>
      <c r="J28" s="349"/>
      <c r="K28" s="350"/>
      <c r="L28" s="203">
        <f>Y28</f>
        <v>2</v>
      </c>
      <c r="M28" s="352">
        <f>Z28</f>
        <v>95.5</v>
      </c>
      <c r="N28" s="204" t="str">
        <f>AA28</f>
        <v/>
      </c>
      <c r="O28" s="356" t="str">
        <f>AB28</f>
        <v/>
      </c>
      <c r="S28" s="362">
        <v>12</v>
      </c>
      <c r="T28" s="356" t="str">
        <f>IF($T$5="","",$T$5)</f>
        <v/>
      </c>
      <c r="U28" s="356" t="str">
        <f>IF($T$6="","",$T$6)</f>
        <v>Invoice</v>
      </c>
      <c r="V28" s="356" t="str">
        <f>'PARTS LIST SC'!$W22</f>
        <v>Mcclung</v>
      </c>
      <c r="W28" s="356" t="str">
        <f>IF('PARTS LIST SC'!$B22="","",'PARTS LIST SC'!$B22)</f>
        <v>B-0844</v>
      </c>
      <c r="X28" s="356" t="str">
        <f>IF('PARTS LIST SC'!$C22="","",'PARTS LIST SC'!$C22)</f>
        <v>gasket</v>
      </c>
      <c r="Y28" s="362">
        <f>IF('PARTS LIST SC'!$D22="","",'PARTS LIST SC'!$D22)</f>
        <v>2</v>
      </c>
      <c r="Z28" s="361">
        <f>'PARTS LIST SC'!$X22</f>
        <v>95.5</v>
      </c>
      <c r="AA28" s="356" t="str">
        <f>IF('Information Sales'!$K$7="","",'Information Sales'!$K$7)</f>
        <v/>
      </c>
      <c r="AB28" s="356" t="str">
        <f>IF($T$7="","",$T$7)</f>
        <v/>
      </c>
    </row>
    <row r="29" spans="2:28">
      <c r="B29" s="197">
        <v>13</v>
      </c>
      <c r="C29" s="197" t="str">
        <f>T29</f>
        <v/>
      </c>
      <c r="D29" s="197" t="str">
        <f>U29</f>
        <v>Invoice</v>
      </c>
      <c r="E29" s="214" t="str">
        <f>V29</f>
        <v>Mcclung</v>
      </c>
      <c r="F29" s="343" t="str">
        <f>W29</f>
        <v>A-3873</v>
      </c>
      <c r="G29" s="343"/>
      <c r="H29" s="348" t="str">
        <f>X29</f>
        <v>spkt</v>
      </c>
      <c r="I29" s="349"/>
      <c r="J29" s="349"/>
      <c r="K29" s="350"/>
      <c r="L29" s="203">
        <f>Y29</f>
        <v>1</v>
      </c>
      <c r="M29" s="352">
        <f>Z29</f>
        <v>75.387500000000003</v>
      </c>
      <c r="N29" s="204" t="str">
        <f>AA29</f>
        <v/>
      </c>
      <c r="O29" s="356" t="str">
        <f>AB29</f>
        <v/>
      </c>
      <c r="S29" s="362">
        <v>16</v>
      </c>
      <c r="T29" s="356" t="str">
        <f>IF($T$5="","",$T$5)</f>
        <v/>
      </c>
      <c r="U29" s="356" t="str">
        <f>IF($T$6="","",$T$6)</f>
        <v>Invoice</v>
      </c>
      <c r="V29" s="356" t="str">
        <f>'PARTS LIST SC'!$W26</f>
        <v>Mcclung</v>
      </c>
      <c r="W29" s="356" t="str">
        <f>IF('PARTS LIST SC'!$B26="","",'PARTS LIST SC'!$B26)</f>
        <v>A-3873</v>
      </c>
      <c r="X29" s="356" t="str">
        <f>IF('PARTS LIST SC'!$C26="","",'PARTS LIST SC'!$C26)</f>
        <v>spkt</v>
      </c>
      <c r="Y29" s="362">
        <f>IF('PARTS LIST SC'!$D26="","",'PARTS LIST SC'!$D26)</f>
        <v>1</v>
      </c>
      <c r="Z29" s="361">
        <f>'PARTS LIST SC'!$X26</f>
        <v>75.387500000000003</v>
      </c>
      <c r="AA29" s="356" t="str">
        <f>IF('Information Sales'!$K$7="","",'Information Sales'!$K$7)</f>
        <v/>
      </c>
      <c r="AB29" s="356" t="str">
        <f>IF($T$7="","",$T$7)</f>
        <v/>
      </c>
    </row>
    <row r="30" spans="2:28">
      <c r="B30" s="197">
        <v>14</v>
      </c>
      <c r="C30" s="197" t="str">
        <f>T30</f>
        <v/>
      </c>
      <c r="D30" s="197" t="str">
        <f>U30</f>
        <v>Invoice</v>
      </c>
      <c r="E30" s="214" t="str">
        <f>V30</f>
        <v>Mcclung</v>
      </c>
      <c r="F30" s="343" t="str">
        <f>W30</f>
        <v>A-3918</v>
      </c>
      <c r="G30" s="343"/>
      <c r="H30" s="348" t="str">
        <f>X30</f>
        <v>spkt</v>
      </c>
      <c r="I30" s="349"/>
      <c r="J30" s="349"/>
      <c r="K30" s="350"/>
      <c r="L30" s="203">
        <f>Y30</f>
        <v>1</v>
      </c>
      <c r="M30" s="352">
        <f>Z30</f>
        <v>62.15</v>
      </c>
      <c r="N30" s="204" t="str">
        <f>AA30</f>
        <v/>
      </c>
      <c r="O30" s="356" t="str">
        <f>AB30</f>
        <v/>
      </c>
      <c r="S30" s="362">
        <v>17</v>
      </c>
      <c r="T30" s="356" t="str">
        <f>IF($T$5="","",$T$5)</f>
        <v/>
      </c>
      <c r="U30" s="356" t="str">
        <f>IF($T$6="","",$T$6)</f>
        <v>Invoice</v>
      </c>
      <c r="V30" s="356" t="str">
        <f>'PARTS LIST SC'!$W27</f>
        <v>Mcclung</v>
      </c>
      <c r="W30" s="356" t="str">
        <f>IF('PARTS LIST SC'!$B27="","",'PARTS LIST SC'!$B27)</f>
        <v>A-3918</v>
      </c>
      <c r="X30" s="356" t="str">
        <f>IF('PARTS LIST SC'!$C27="","",'PARTS LIST SC'!$C27)</f>
        <v>spkt</v>
      </c>
      <c r="Y30" s="362">
        <f>IF('PARTS LIST SC'!$D27="","",'PARTS LIST SC'!$D27)</f>
        <v>1</v>
      </c>
      <c r="Z30" s="361">
        <f>'PARTS LIST SC'!$X27</f>
        <v>62.15</v>
      </c>
      <c r="AA30" s="356" t="str">
        <f>IF('Information Sales'!$K$7="","",'Information Sales'!$K$7)</f>
        <v/>
      </c>
      <c r="AB30" s="356" t="str">
        <f>IF($T$7="","",$T$7)</f>
        <v/>
      </c>
    </row>
    <row r="31" spans="2:28">
      <c r="B31" s="197">
        <v>15</v>
      </c>
      <c r="C31" s="197" t="str">
        <f>T31</f>
        <v/>
      </c>
      <c r="D31" s="197" t="str">
        <f>U31</f>
        <v>Invoice</v>
      </c>
      <c r="E31" s="214" t="str">
        <f>V31</f>
        <v>Mcclung</v>
      </c>
      <c r="F31" s="343" t="str">
        <f>W31</f>
        <v>C-0642</v>
      </c>
      <c r="G31" s="343"/>
      <c r="H31" s="348" t="str">
        <f>X31</f>
        <v>gasket</v>
      </c>
      <c r="I31" s="349"/>
      <c r="J31" s="349"/>
      <c r="K31" s="350"/>
      <c r="L31" s="203">
        <f>Y31</f>
        <v>2</v>
      </c>
      <c r="M31" s="352">
        <f>Z31</f>
        <v>58.371428571428574</v>
      </c>
      <c r="N31" s="204" t="str">
        <f>AA31</f>
        <v/>
      </c>
      <c r="O31" s="356" t="str">
        <f>AB31</f>
        <v/>
      </c>
      <c r="S31" s="362">
        <v>18</v>
      </c>
      <c r="T31" s="356" t="str">
        <f>IF($T$5="","",$T$5)</f>
        <v/>
      </c>
      <c r="U31" s="356" t="str">
        <f>IF($T$6="","",$T$6)</f>
        <v>Invoice</v>
      </c>
      <c r="V31" s="356" t="str">
        <f>'PARTS LIST SC'!$W28</f>
        <v>Mcclung</v>
      </c>
      <c r="W31" s="356" t="str">
        <f>IF('PARTS LIST SC'!$B28="","",'PARTS LIST SC'!$B28)</f>
        <v>C-0642</v>
      </c>
      <c r="X31" s="356" t="str">
        <f>IF('PARTS LIST SC'!$C28="","",'PARTS LIST SC'!$C28)</f>
        <v>gasket</v>
      </c>
      <c r="Y31" s="362">
        <f>IF('PARTS LIST SC'!$D28="","",'PARTS LIST SC'!$D28)</f>
        <v>2</v>
      </c>
      <c r="Z31" s="361">
        <f>'PARTS LIST SC'!$X28</f>
        <v>58.371428571428574</v>
      </c>
      <c r="AA31" s="356" t="str">
        <f>IF('Information Sales'!$K$7="","",'Information Sales'!$K$7)</f>
        <v/>
      </c>
      <c r="AB31" s="356" t="str">
        <f>IF($T$7="","",$T$7)</f>
        <v/>
      </c>
    </row>
    <row r="32" spans="2:28">
      <c r="B32" s="197">
        <v>16</v>
      </c>
      <c r="C32" s="197" t="str">
        <f>T32</f>
        <v/>
      </c>
      <c r="D32" s="197" t="str">
        <f>U32</f>
        <v>Invoice</v>
      </c>
      <c r="E32" s="214" t="str">
        <f>V32</f>
        <v>Mcclung</v>
      </c>
      <c r="F32" s="343" t="str">
        <f>W32</f>
        <v>D-0752</v>
      </c>
      <c r="G32" s="343"/>
      <c r="H32" s="348" t="str">
        <f>X32</f>
        <v>oil pump</v>
      </c>
      <c r="I32" s="349"/>
      <c r="J32" s="349"/>
      <c r="K32" s="350"/>
      <c r="L32" s="203">
        <f>Y32</f>
        <v>1</v>
      </c>
      <c r="M32" s="352">
        <f>Z32</f>
        <v>2044.8117647058823</v>
      </c>
      <c r="N32" s="204" t="str">
        <f>AA32</f>
        <v/>
      </c>
      <c r="O32" s="356" t="str">
        <f>AB32</f>
        <v/>
      </c>
      <c r="S32" s="362">
        <v>19</v>
      </c>
      <c r="T32" s="356" t="str">
        <f>IF($T$5="","",$T$5)</f>
        <v/>
      </c>
      <c r="U32" s="356" t="str">
        <f>IF($T$6="","",$T$6)</f>
        <v>Invoice</v>
      </c>
      <c r="V32" s="356" t="str">
        <f>'PARTS LIST SC'!$W29</f>
        <v>Mcclung</v>
      </c>
      <c r="W32" s="356" t="str">
        <f>IF('PARTS LIST SC'!$B29="","",'PARTS LIST SC'!$B29)</f>
        <v>D-0752</v>
      </c>
      <c r="X32" s="356" t="str">
        <f>IF('PARTS LIST SC'!$C29="","",'PARTS LIST SC'!$C29)</f>
        <v>oil pump</v>
      </c>
      <c r="Y32" s="362">
        <f>IF('PARTS LIST SC'!$D29="","",'PARTS LIST SC'!$D29)</f>
        <v>1</v>
      </c>
      <c r="Z32" s="361">
        <f>'PARTS LIST SC'!$X29</f>
        <v>2044.8117647058823</v>
      </c>
      <c r="AA32" s="356" t="str">
        <f>IF('Information Sales'!$K$7="","",'Information Sales'!$K$7)</f>
        <v/>
      </c>
      <c r="AB32" s="356" t="str">
        <f>IF($T$7="","",$T$7)</f>
        <v/>
      </c>
    </row>
    <row r="33" spans="2:28">
      <c r="B33" s="197">
        <v>17</v>
      </c>
      <c r="C33" s="197" t="str">
        <f>T33</f>
        <v/>
      </c>
      <c r="D33" s="197" t="str">
        <f>U33</f>
        <v>Invoice</v>
      </c>
      <c r="E33" s="214" t="str">
        <f>V33</f>
        <v>Mcclung</v>
      </c>
      <c r="F33" s="343" t="str">
        <f>W33</f>
        <v>A-3869</v>
      </c>
      <c r="G33" s="343"/>
      <c r="H33" s="348" t="str">
        <f>X33</f>
        <v>bolt</v>
      </c>
      <c r="I33" s="349"/>
      <c r="J33" s="349"/>
      <c r="K33" s="350"/>
      <c r="L33" s="203">
        <f>Y33</f>
        <v>4</v>
      </c>
      <c r="M33" s="352">
        <f>Z33</f>
        <v>221.95</v>
      </c>
      <c r="N33" s="204" t="str">
        <f>AA33</f>
        <v/>
      </c>
      <c r="O33" s="356" t="str">
        <f>AB33</f>
        <v/>
      </c>
      <c r="S33" s="362">
        <v>20</v>
      </c>
      <c r="T33" s="356" t="str">
        <f>IF($T$5="","",$T$5)</f>
        <v/>
      </c>
      <c r="U33" s="356" t="str">
        <f>IF($T$6="","",$T$6)</f>
        <v>Invoice</v>
      </c>
      <c r="V33" s="356" t="str">
        <f>'PARTS LIST SC'!$W30</f>
        <v>Mcclung</v>
      </c>
      <c r="W33" s="356" t="str">
        <f>IF('PARTS LIST SC'!$B30="","",'PARTS LIST SC'!$B30)</f>
        <v>A-3869</v>
      </c>
      <c r="X33" s="356" t="str">
        <f>IF('PARTS LIST SC'!$C30="","",'PARTS LIST SC'!$C30)</f>
        <v>bolt</v>
      </c>
      <c r="Y33" s="362">
        <f>IF('PARTS LIST SC'!$D30="","",'PARTS LIST SC'!$D30)</f>
        <v>4</v>
      </c>
      <c r="Z33" s="361">
        <f>'PARTS LIST SC'!$X30</f>
        <v>221.95</v>
      </c>
      <c r="AA33" s="356" t="str">
        <f>IF('Information Sales'!$K$7="","",'Information Sales'!$K$7)</f>
        <v/>
      </c>
      <c r="AB33" s="356" t="str">
        <f>IF($T$7="","",$T$7)</f>
        <v/>
      </c>
    </row>
    <row r="34" spans="2:28">
      <c r="B34" s="197">
        <v>18</v>
      </c>
      <c r="C34" s="197" t="str">
        <f>T34</f>
        <v/>
      </c>
      <c r="D34" s="197" t="str">
        <f>U34</f>
        <v>Invoice</v>
      </c>
      <c r="E34" s="214" t="str">
        <f>V34</f>
        <v>Mcclung</v>
      </c>
      <c r="F34" s="343" t="str">
        <f>W34</f>
        <v>FN0461GA</v>
      </c>
      <c r="G34" s="343"/>
      <c r="H34" s="348" t="str">
        <f>X34</f>
        <v>nut</v>
      </c>
      <c r="I34" s="349"/>
      <c r="J34" s="349"/>
      <c r="K34" s="350"/>
      <c r="L34" s="203">
        <f>Y34</f>
        <v>4</v>
      </c>
      <c r="M34" s="352">
        <f>Z34</f>
        <v>4.2666666666666666</v>
      </c>
      <c r="N34" s="204" t="str">
        <f>AA34</f>
        <v/>
      </c>
      <c r="O34" s="356" t="str">
        <f>AB34</f>
        <v/>
      </c>
      <c r="S34" s="362">
        <v>21</v>
      </c>
      <c r="T34" s="356" t="str">
        <f>IF($T$5="","",$T$5)</f>
        <v/>
      </c>
      <c r="U34" s="356" t="str">
        <f>IF($T$6="","",$T$6)</f>
        <v>Invoice</v>
      </c>
      <c r="V34" s="356" t="str">
        <f>'PARTS LIST SC'!$W31</f>
        <v>Mcclung</v>
      </c>
      <c r="W34" s="356" t="str">
        <f>IF('PARTS LIST SC'!$B31="","",'PARTS LIST SC'!$B31)</f>
        <v>FN0461GA</v>
      </c>
      <c r="X34" s="356" t="str">
        <f>IF('PARTS LIST SC'!$C31="","",'PARTS LIST SC'!$C31)</f>
        <v>nut</v>
      </c>
      <c r="Y34" s="362">
        <f>IF('PARTS LIST SC'!$D31="","",'PARTS LIST SC'!$D31)</f>
        <v>4</v>
      </c>
      <c r="Z34" s="361">
        <f>'PARTS LIST SC'!$X31</f>
        <v>4.2666666666666666</v>
      </c>
      <c r="AA34" s="356" t="str">
        <f>IF('Information Sales'!$K$7="","",'Information Sales'!$K$7)</f>
        <v/>
      </c>
      <c r="AB34" s="356" t="str">
        <f>IF($T$7="","",$T$7)</f>
        <v/>
      </c>
    </row>
    <row r="35" spans="2:28">
      <c r="B35" s="197">
        <v>19</v>
      </c>
      <c r="C35" s="197" t="str">
        <f>T35</f>
        <v/>
      </c>
      <c r="D35" s="197" t="str">
        <f>U35</f>
        <v>Invoice</v>
      </c>
      <c r="E35" s="214" t="str">
        <f>V35</f>
        <v>Mcclung</v>
      </c>
      <c r="F35" s="343" t="str">
        <f>W35</f>
        <v>A-2839</v>
      </c>
      <c r="G35" s="343"/>
      <c r="H35" s="348" t="str">
        <f>X35</f>
        <v>stl gasket</v>
      </c>
      <c r="I35" s="349"/>
      <c r="J35" s="349"/>
      <c r="K35" s="350"/>
      <c r="L35" s="203">
        <f>Y35</f>
        <v>4</v>
      </c>
      <c r="M35" s="352">
        <f>Z35</f>
        <v>305.45</v>
      </c>
      <c r="N35" s="204" t="str">
        <f>AA35</f>
        <v/>
      </c>
      <c r="O35" s="356" t="str">
        <f>AB35</f>
        <v/>
      </c>
      <c r="S35" s="362">
        <v>22</v>
      </c>
      <c r="T35" s="356" t="str">
        <f>IF($T$5="","",$T$5)</f>
        <v/>
      </c>
      <c r="U35" s="356" t="str">
        <f>IF($T$6="","",$T$6)</f>
        <v>Invoice</v>
      </c>
      <c r="V35" s="356" t="str">
        <f>'PARTS LIST SC'!$W32</f>
        <v>Mcclung</v>
      </c>
      <c r="W35" s="356" t="str">
        <f>IF('PARTS LIST SC'!$B32="","",'PARTS LIST SC'!$B32)</f>
        <v>A-2839</v>
      </c>
      <c r="X35" s="356" t="str">
        <f>IF('PARTS LIST SC'!$C32="","",'PARTS LIST SC'!$C32)</f>
        <v>stl gasket</v>
      </c>
      <c r="Y35" s="362">
        <f>IF('PARTS LIST SC'!$D32="","",'PARTS LIST SC'!$D32)</f>
        <v>4</v>
      </c>
      <c r="Z35" s="361">
        <f>'PARTS LIST SC'!$X32</f>
        <v>305.45</v>
      </c>
      <c r="AA35" s="356" t="str">
        <f>IF('Information Sales'!$K$7="","",'Information Sales'!$K$7)</f>
        <v/>
      </c>
      <c r="AB35" s="356" t="str">
        <f>IF($T$7="","",$T$7)</f>
        <v/>
      </c>
    </row>
    <row r="36" spans="2:28">
      <c r="B36" s="197">
        <v>20</v>
      </c>
      <c r="C36" s="197" t="str">
        <f>T36</f>
        <v/>
      </c>
      <c r="D36" s="197" t="str">
        <f>U36</f>
        <v>Invoice</v>
      </c>
      <c r="E36" s="214" t="str">
        <f>V36</f>
        <v>Mcclung</v>
      </c>
      <c r="F36" s="343" t="str">
        <f>W36</f>
        <v>A-0724</v>
      </c>
      <c r="G36" s="343"/>
      <c r="H36" s="348" t="str">
        <f>X36</f>
        <v>O-rings</v>
      </c>
      <c r="I36" s="349"/>
      <c r="J36" s="349"/>
      <c r="K36" s="350"/>
      <c r="L36" s="203">
        <f>Y36</f>
        <v>2</v>
      </c>
      <c r="M36" s="352">
        <f>Z36</f>
        <v>14.15</v>
      </c>
      <c r="N36" s="204" t="str">
        <f>AA36</f>
        <v/>
      </c>
      <c r="O36" s="356" t="str">
        <f>AB36</f>
        <v/>
      </c>
      <c r="S36" s="362">
        <v>23</v>
      </c>
      <c r="T36" s="356" t="str">
        <f>IF($T$5="","",$T$5)</f>
        <v/>
      </c>
      <c r="U36" s="356" t="str">
        <f>IF($T$6="","",$T$6)</f>
        <v>Invoice</v>
      </c>
      <c r="V36" s="356" t="str">
        <f>'PARTS LIST SC'!$W33</f>
        <v>Mcclung</v>
      </c>
      <c r="W36" s="356" t="str">
        <f>IF('PARTS LIST SC'!$B33="","",'PARTS LIST SC'!$B33)</f>
        <v>A-0724</v>
      </c>
      <c r="X36" s="356" t="str">
        <f>IF('PARTS LIST SC'!$C33="","",'PARTS LIST SC'!$C33)</f>
        <v>O-rings</v>
      </c>
      <c r="Y36" s="362">
        <f>IF('PARTS LIST SC'!$D33="","",'PARTS LIST SC'!$D33)</f>
        <v>2</v>
      </c>
      <c r="Z36" s="361">
        <f>'PARTS LIST SC'!$X33</f>
        <v>14.15</v>
      </c>
      <c r="AA36" s="356" t="str">
        <f>IF('Information Sales'!$K$7="","",'Information Sales'!$K$7)</f>
        <v/>
      </c>
      <c r="AB36" s="356" t="str">
        <f>IF($T$7="","",$T$7)</f>
        <v/>
      </c>
    </row>
    <row r="37" spans="2:28">
      <c r="B37" s="197">
        <v>21</v>
      </c>
      <c r="C37" s="197" t="str">
        <f>T37</f>
        <v/>
      </c>
      <c r="D37" s="197" t="str">
        <f>U37</f>
        <v>Invoice</v>
      </c>
      <c r="E37" s="214" t="str">
        <f>V37</f>
        <v>Mcclung</v>
      </c>
      <c r="F37" s="343" t="str">
        <f>W37</f>
        <v>A-10754</v>
      </c>
      <c r="G37" s="343"/>
      <c r="H37" s="348" t="str">
        <f>X37</f>
        <v>DNFT</v>
      </c>
      <c r="I37" s="349"/>
      <c r="J37" s="349"/>
      <c r="K37" s="350"/>
      <c r="L37" s="203">
        <f>Y37</f>
        <v>2</v>
      </c>
      <c r="M37" s="352">
        <f>Z37</f>
        <v>1853.2235294117647</v>
      </c>
      <c r="N37" s="204" t="str">
        <f>AA37</f>
        <v/>
      </c>
      <c r="O37" s="356" t="str">
        <f>AB37</f>
        <v/>
      </c>
      <c r="S37" s="362">
        <v>29</v>
      </c>
      <c r="T37" s="356" t="str">
        <f>IF($T$5="","",$T$5)</f>
        <v/>
      </c>
      <c r="U37" s="356" t="str">
        <f>IF($T$6="","",$T$6)</f>
        <v>Invoice</v>
      </c>
      <c r="V37" s="356" t="str">
        <f>'PARTS LIST SC'!$W39</f>
        <v>Mcclung</v>
      </c>
      <c r="W37" s="356" t="str">
        <f>IF('PARTS LIST SC'!$B39="","",'PARTS LIST SC'!$B39)</f>
        <v>A-10754</v>
      </c>
      <c r="X37" s="356" t="str">
        <f>IF('PARTS LIST SC'!$C39="","",'PARTS LIST SC'!$C39)</f>
        <v>DNFT</v>
      </c>
      <c r="Y37" s="362">
        <f>IF('PARTS LIST SC'!$D39="","",'PARTS LIST SC'!$D39)</f>
        <v>2</v>
      </c>
      <c r="Z37" s="361">
        <f>'PARTS LIST SC'!$X39</f>
        <v>1853.2235294117647</v>
      </c>
      <c r="AA37" s="356" t="str">
        <f>IF('Information Sales'!$K$7="","",'Information Sales'!$K$7)</f>
        <v/>
      </c>
      <c r="AB37" s="356" t="str">
        <f>IF($T$7="","",$T$7)</f>
        <v/>
      </c>
    </row>
    <row r="38" spans="2:28">
      <c r="B38" s="197">
        <v>22</v>
      </c>
      <c r="C38" s="197" t="str">
        <f>T38</f>
        <v/>
      </c>
      <c r="D38" s="197" t="str">
        <f>U38</f>
        <v>Invoice</v>
      </c>
      <c r="E38" s="214" t="str">
        <f>V38</f>
        <v>Mcclung</v>
      </c>
      <c r="F38" s="343" t="str">
        <f>W38</f>
        <v>A-17256-A</v>
      </c>
      <c r="G38" s="343"/>
      <c r="H38" s="348" t="str">
        <f>X38</f>
        <v>gauge</v>
      </c>
      <c r="I38" s="349"/>
      <c r="J38" s="349"/>
      <c r="K38" s="350"/>
      <c r="L38" s="203">
        <f>Y38</f>
        <v>2</v>
      </c>
      <c r="M38" s="352">
        <f>Z38</f>
        <v>310.45</v>
      </c>
      <c r="N38" s="204" t="str">
        <f>AA38</f>
        <v/>
      </c>
      <c r="O38" s="356" t="str">
        <f>AB38</f>
        <v/>
      </c>
      <c r="S38" s="362">
        <v>30</v>
      </c>
      <c r="T38" s="356" t="str">
        <f>IF($T$5="","",$T$5)</f>
        <v/>
      </c>
      <c r="U38" s="356" t="str">
        <f>IF($T$6="","",$T$6)</f>
        <v>Invoice</v>
      </c>
      <c r="V38" s="356" t="str">
        <f>'PARTS LIST SC'!$W40</f>
        <v>Mcclung</v>
      </c>
      <c r="W38" s="356" t="str">
        <f>IF('PARTS LIST SC'!$B40="","",'PARTS LIST SC'!$B40)</f>
        <v>A-17256-A</v>
      </c>
      <c r="X38" s="356" t="str">
        <f>IF('PARTS LIST SC'!$C40="","",'PARTS LIST SC'!$C40)</f>
        <v>gauge</v>
      </c>
      <c r="Y38" s="362">
        <f>IF('PARTS LIST SC'!$D40="","",'PARTS LIST SC'!$D40)</f>
        <v>2</v>
      </c>
      <c r="Z38" s="361">
        <f>'PARTS LIST SC'!$X40</f>
        <v>310.45</v>
      </c>
      <c r="AA38" s="356" t="str">
        <f>IF('Information Sales'!$K$7="","",'Information Sales'!$K$7)</f>
        <v/>
      </c>
      <c r="AB38" s="356" t="str">
        <f>IF($T$7="","",$T$7)</f>
        <v/>
      </c>
    </row>
    <row r="39" spans="2:28">
      <c r="B39" s="197">
        <v>23</v>
      </c>
      <c r="C39" s="197" t="str">
        <f>T39</f>
        <v/>
      </c>
      <c r="D39" s="197" t="str">
        <f>U39</f>
        <v>Invoice</v>
      </c>
      <c r="E39" s="214" t="str">
        <f>V39</f>
        <v>Mcclung</v>
      </c>
      <c r="F39" s="343" t="str">
        <f>W39</f>
        <v>A-18527-A</v>
      </c>
      <c r="G39" s="343"/>
      <c r="H39" s="348" t="str">
        <f>X39</f>
        <v>lube pumps</v>
      </c>
      <c r="I39" s="349"/>
      <c r="J39" s="349"/>
      <c r="K39" s="350"/>
      <c r="L39" s="203">
        <f>Y39</f>
        <v>2</v>
      </c>
      <c r="M39" s="352">
        <f>Z39</f>
        <v>446.12499999999994</v>
      </c>
      <c r="N39" s="204" t="str">
        <f>AA39</f>
        <v/>
      </c>
      <c r="O39" s="356" t="str">
        <f>AB39</f>
        <v/>
      </c>
      <c r="S39" s="362">
        <v>31</v>
      </c>
      <c r="T39" s="356" t="str">
        <f>IF($T$5="","",$T$5)</f>
        <v/>
      </c>
      <c r="U39" s="356" t="str">
        <f>IF($T$6="","",$T$6)</f>
        <v>Invoice</v>
      </c>
      <c r="V39" s="356" t="str">
        <f>'PARTS LIST SC'!$W41</f>
        <v>Mcclung</v>
      </c>
      <c r="W39" s="356" t="str">
        <f>IF('PARTS LIST SC'!$B41="","",'PARTS LIST SC'!$B41)</f>
        <v>A-18527-A</v>
      </c>
      <c r="X39" s="356" t="str">
        <f>IF('PARTS LIST SC'!$C41="","",'PARTS LIST SC'!$C41)</f>
        <v>lube pumps</v>
      </c>
      <c r="Y39" s="362">
        <f>IF('PARTS LIST SC'!$D41="","",'PARTS LIST SC'!$D41)</f>
        <v>2</v>
      </c>
      <c r="Z39" s="361">
        <f>'PARTS LIST SC'!$X41</f>
        <v>446.12499999999994</v>
      </c>
      <c r="AA39" s="356" t="str">
        <f>IF('Information Sales'!$K$7="","",'Information Sales'!$K$7)</f>
        <v/>
      </c>
      <c r="AB39" s="356" t="str">
        <f>IF($T$7="","",$T$7)</f>
        <v/>
      </c>
    </row>
    <row r="40" spans="2:28">
      <c r="B40" s="197">
        <v>24</v>
      </c>
      <c r="C40" s="197" t="str">
        <f>T40</f>
        <v/>
      </c>
      <c r="D40" s="197" t="str">
        <f>U40</f>
        <v>Invoice</v>
      </c>
      <c r="E40" s="214" t="str">
        <f>V40</f>
        <v>Mcclung</v>
      </c>
      <c r="F40" s="343" t="str">
        <f>W40</f>
        <v>A-2586</v>
      </c>
      <c r="G40" s="343"/>
      <c r="H40" s="348" t="str">
        <f>X40</f>
        <v xml:space="preserve">6T-9T-12T  throws 1 and 3 </v>
      </c>
      <c r="I40" s="349"/>
      <c r="J40" s="349"/>
      <c r="K40" s="350"/>
      <c r="L40" s="203">
        <f>Y40</f>
        <v>1</v>
      </c>
      <c r="M40" s="352">
        <f>Z40</f>
        <v>474.9</v>
      </c>
      <c r="N40" s="204" t="str">
        <f>AA40</f>
        <v/>
      </c>
      <c r="O40" s="356" t="str">
        <f>AB40</f>
        <v/>
      </c>
      <c r="S40" s="362">
        <v>32</v>
      </c>
      <c r="T40" s="356" t="str">
        <f>IF($T$5="","",$T$5)</f>
        <v/>
      </c>
      <c r="U40" s="356" t="str">
        <f>IF($T$6="","",$T$6)</f>
        <v>Invoice</v>
      </c>
      <c r="V40" s="356" t="str">
        <f>'PARTS LIST SC'!$W42</f>
        <v>Mcclung</v>
      </c>
      <c r="W40" s="356" t="str">
        <f>IF('PARTS LIST SC'!$B42="","",'PARTS LIST SC'!$B42)</f>
        <v>A-2586</v>
      </c>
      <c r="X40" s="356" t="str">
        <f>IF('PARTS LIST SC'!$C42="","",'PARTS LIST SC'!$C42)</f>
        <v xml:space="preserve">6T-9T-12T  throws 1 and 3 </v>
      </c>
      <c r="Y40" s="362">
        <f>IF('PARTS LIST SC'!$D42="","",'PARTS LIST SC'!$D42)</f>
        <v>1</v>
      </c>
      <c r="Z40" s="361">
        <f>'PARTS LIST SC'!$X42</f>
        <v>474.9</v>
      </c>
      <c r="AA40" s="356" t="str">
        <f>IF('Information Sales'!$K$7="","",'Information Sales'!$K$7)</f>
        <v/>
      </c>
      <c r="AB40" s="356" t="str">
        <f>IF($T$7="","",$T$7)</f>
        <v/>
      </c>
    </row>
    <row r="41" spans="2:28">
      <c r="B41" s="197">
        <v>25</v>
      </c>
      <c r="C41" s="197" t="str">
        <f>T41</f>
        <v/>
      </c>
      <c r="D41" s="197" t="str">
        <f>U41</f>
        <v>Invoice</v>
      </c>
      <c r="E41" s="214" t="str">
        <f>V41</f>
        <v>Mcclung</v>
      </c>
      <c r="F41" s="343" t="str">
        <f>W41</f>
        <v>A-8013</v>
      </c>
      <c r="G41" s="343"/>
      <c r="H41" s="348" t="str">
        <f>X41</f>
        <v>6T-12T-12T  throws 2 and 4</v>
      </c>
      <c r="I41" s="349"/>
      <c r="J41" s="349"/>
      <c r="K41" s="350"/>
      <c r="L41" s="203">
        <f>Y41</f>
        <v>1</v>
      </c>
      <c r="M41" s="352">
        <f>Z41</f>
        <v>474.9</v>
      </c>
      <c r="N41" s="204" t="str">
        <f>AA41</f>
        <v/>
      </c>
      <c r="O41" s="356" t="str">
        <f>AB41</f>
        <v/>
      </c>
      <c r="S41" s="362">
        <v>33</v>
      </c>
      <c r="T41" s="356" t="str">
        <f>IF($T$5="","",$T$5)</f>
        <v/>
      </c>
      <c r="U41" s="356" t="str">
        <f>IF($T$6="","",$T$6)</f>
        <v>Invoice</v>
      </c>
      <c r="V41" s="356" t="str">
        <f>'PARTS LIST SC'!$W43</f>
        <v>Mcclung</v>
      </c>
      <c r="W41" s="356" t="str">
        <f>IF('PARTS LIST SC'!$B43="","",'PARTS LIST SC'!$B43)</f>
        <v>A-8013</v>
      </c>
      <c r="X41" s="356" t="str">
        <f>IF('PARTS LIST SC'!$C43="","",'PARTS LIST SC'!$C43)</f>
        <v>6T-12T-12T  throws 2 and 4</v>
      </c>
      <c r="Y41" s="362">
        <f>IF('PARTS LIST SC'!$D43="","",'PARTS LIST SC'!$D43)</f>
        <v>1</v>
      </c>
      <c r="Z41" s="361">
        <f>'PARTS LIST SC'!$X43</f>
        <v>474.9</v>
      </c>
      <c r="AA41" s="356" t="str">
        <f>IF('Information Sales'!$K$7="","",'Information Sales'!$K$7)</f>
        <v/>
      </c>
      <c r="AB41" s="356" t="str">
        <f>IF($T$7="","",$T$7)</f>
        <v/>
      </c>
    </row>
    <row r="42" spans="2:28">
      <c r="B42" s="197">
        <v>26</v>
      </c>
      <c r="C42" s="197" t="str">
        <f>T42</f>
        <v/>
      </c>
      <c r="D42" s="197" t="str">
        <f>U42</f>
        <v>Invoice</v>
      </c>
      <c r="E42" s="214" t="str">
        <f>V42</f>
        <v>Mcclung</v>
      </c>
      <c r="F42" s="343" t="str">
        <f>W42</f>
        <v>A-2399</v>
      </c>
      <c r="G42" s="343"/>
      <c r="H42" s="348" t="str">
        <f>X42</f>
        <v>VVCP Packing</v>
      </c>
      <c r="I42" s="349"/>
      <c r="J42" s="349"/>
      <c r="K42" s="350"/>
      <c r="L42" s="203">
        <f>Y42</f>
        <v>3</v>
      </c>
      <c r="M42" s="352">
        <f>Z42</f>
        <v>80.357142857142861</v>
      </c>
      <c r="N42" s="204" t="str">
        <f>AA42</f>
        <v/>
      </c>
      <c r="O42" s="356" t="str">
        <f>AB42</f>
        <v/>
      </c>
      <c r="S42" s="362">
        <v>34</v>
      </c>
      <c r="T42" s="356" t="str">
        <f>IF($T$5="","",$T$5)</f>
        <v/>
      </c>
      <c r="U42" s="356" t="str">
        <f>IF($T$6="","",$T$6)</f>
        <v>Invoice</v>
      </c>
      <c r="V42" s="356" t="str">
        <f>'PARTS LIST SC'!$W44</f>
        <v>Mcclung</v>
      </c>
      <c r="W42" s="356" t="str">
        <f>IF('PARTS LIST SC'!$B44="","",'PARTS LIST SC'!$B44)</f>
        <v>A-2399</v>
      </c>
      <c r="X42" s="356" t="str">
        <f>IF('PARTS LIST SC'!$C44="","",'PARTS LIST SC'!$C44)</f>
        <v>VVCP Packing</v>
      </c>
      <c r="Y42" s="362">
        <f>IF('PARTS LIST SC'!$D44="","",'PARTS LIST SC'!$D44)</f>
        <v>3</v>
      </c>
      <c r="Z42" s="361">
        <f>'PARTS LIST SC'!$X44</f>
        <v>80.357142857142861</v>
      </c>
      <c r="AA42" s="356" t="str">
        <f>IF('Information Sales'!$K$7="","",'Information Sales'!$K$7)</f>
        <v/>
      </c>
      <c r="AB42" s="356" t="str">
        <f>IF($T$7="","",$T$7)</f>
        <v/>
      </c>
    </row>
    <row r="43" spans="2:28">
      <c r="B43" s="197">
        <v>27</v>
      </c>
      <c r="C43" s="197" t="str">
        <f>T43</f>
        <v/>
      </c>
      <c r="D43" s="197" t="str">
        <f>U43</f>
        <v>Invoice</v>
      </c>
      <c r="E43" s="214" t="str">
        <f>V43</f>
        <v>Mcclung</v>
      </c>
      <c r="F43" s="343" t="str">
        <f>W43</f>
        <v>A-2891</v>
      </c>
      <c r="G43" s="343"/>
      <c r="H43" s="348" t="str">
        <f>X43</f>
        <v>VVCP rings</v>
      </c>
      <c r="I43" s="349"/>
      <c r="J43" s="349"/>
      <c r="K43" s="350"/>
      <c r="L43" s="203">
        <f>Y43</f>
        <v>3</v>
      </c>
      <c r="M43" s="352">
        <f>Z43</f>
        <v>930.52499999999986</v>
      </c>
      <c r="N43" s="204" t="str">
        <f>AA43</f>
        <v/>
      </c>
      <c r="O43" s="356" t="str">
        <f>AB43</f>
        <v/>
      </c>
      <c r="S43" s="362">
        <v>35</v>
      </c>
      <c r="T43" s="356" t="str">
        <f>IF($T$5="","",$T$5)</f>
        <v/>
      </c>
      <c r="U43" s="356" t="str">
        <f>IF($T$6="","",$T$6)</f>
        <v>Invoice</v>
      </c>
      <c r="V43" s="356" t="str">
        <f>'PARTS LIST SC'!$W45</f>
        <v>Mcclung</v>
      </c>
      <c r="W43" s="356" t="str">
        <f>IF('PARTS LIST SC'!$B45="","",'PARTS LIST SC'!$B45)</f>
        <v>A-2891</v>
      </c>
      <c r="X43" s="356" t="str">
        <f>IF('PARTS LIST SC'!$C45="","",'PARTS LIST SC'!$C45)</f>
        <v>VVCP rings</v>
      </c>
      <c r="Y43" s="362">
        <f>IF('PARTS LIST SC'!$D45="","",'PARTS LIST SC'!$D45)</f>
        <v>3</v>
      </c>
      <c r="Z43" s="361">
        <f>'PARTS LIST SC'!$X45</f>
        <v>930.52499999999986</v>
      </c>
      <c r="AA43" s="356" t="str">
        <f>IF('Information Sales'!$K$7="","",'Information Sales'!$K$7)</f>
        <v/>
      </c>
      <c r="AB43" s="356" t="str">
        <f>IF($T$7="","",$T$7)</f>
        <v/>
      </c>
    </row>
    <row r="44" spans="2:28">
      <c r="B44" s="197">
        <v>28</v>
      </c>
      <c r="C44" s="197" t="str">
        <f>T44</f>
        <v/>
      </c>
      <c r="D44" s="197" t="str">
        <f>U44</f>
        <v>Invoice</v>
      </c>
      <c r="E44" s="214" t="str">
        <f>V44</f>
        <v>Mcclung</v>
      </c>
      <c r="F44" s="343" t="str">
        <f>W44</f>
        <v>A-18592</v>
      </c>
      <c r="G44" s="343"/>
      <c r="H44" s="348" t="str">
        <f>X44</f>
        <v>lub pump gasket</v>
      </c>
      <c r="I44" s="349"/>
      <c r="J44" s="349"/>
      <c r="K44" s="350"/>
      <c r="L44" s="203">
        <f>Y44</f>
        <v>2</v>
      </c>
      <c r="M44" s="352">
        <f>Z44</f>
        <v>8.0285714285714285</v>
      </c>
      <c r="N44" s="204" t="str">
        <f>AA44</f>
        <v/>
      </c>
      <c r="O44" s="356" t="str">
        <f>AB44</f>
        <v/>
      </c>
      <c r="S44" s="362">
        <v>15</v>
      </c>
      <c r="T44" s="356" t="str">
        <f>IF($T$5="","",$T$5)</f>
        <v/>
      </c>
      <c r="U44" s="356" t="str">
        <f>IF($T$6="","",$T$6)</f>
        <v>Invoice</v>
      </c>
      <c r="V44" s="356" t="str">
        <f>'PARTS LIST SC'!$W25</f>
        <v>Mcclung</v>
      </c>
      <c r="W44" s="356" t="str">
        <f>IF('PARTS LIST SC'!$B25="","",'PARTS LIST SC'!$B25)</f>
        <v>A-18592</v>
      </c>
      <c r="X44" s="356" t="str">
        <f>IF('PARTS LIST SC'!$C25="","",'PARTS LIST SC'!$C25)</f>
        <v>lub pump gasket</v>
      </c>
      <c r="Y44" s="362">
        <f>IF('PARTS LIST SC'!$D25="","",'PARTS LIST SC'!$D25)</f>
        <v>2</v>
      </c>
      <c r="Z44" s="361">
        <f>'PARTS LIST SC'!$X25</f>
        <v>8.0285714285714285</v>
      </c>
      <c r="AA44" s="356" t="str">
        <f>IF('Information Sales'!$K$7="","",'Information Sales'!$K$7)</f>
        <v/>
      </c>
      <c r="AB44" s="356" t="str">
        <f>IF($T$7="","",$T$7)</f>
        <v/>
      </c>
    </row>
    <row r="45" spans="2:28">
      <c r="B45" s="197">
        <v>29</v>
      </c>
      <c r="C45" s="197" t="str">
        <f>T45</f>
        <v/>
      </c>
      <c r="D45" s="197" t="str">
        <f>U45</f>
        <v>Invoice</v>
      </c>
      <c r="E45" s="214" t="str">
        <f>V45</f>
        <v>MATA</v>
      </c>
      <c r="F45" s="343" t="str">
        <f>W45</f>
        <v>A-21136</v>
      </c>
      <c r="G45" s="343"/>
      <c r="H45" s="348" t="str">
        <f>X45</f>
        <v>rider bands</v>
      </c>
      <c r="I45" s="349"/>
      <c r="J45" s="349"/>
      <c r="K45" s="350"/>
      <c r="L45" s="203">
        <f>Y45</f>
        <v>2</v>
      </c>
      <c r="M45" s="352">
        <f>Z45</f>
        <v>1121.6249999999998</v>
      </c>
      <c r="N45" s="204" t="str">
        <f>AA45</f>
        <v/>
      </c>
      <c r="O45" s="356" t="str">
        <f>AB45</f>
        <v/>
      </c>
      <c r="S45" s="362">
        <v>24</v>
      </c>
      <c r="T45" s="356" t="str">
        <f>IF($T$5="","",$T$5)</f>
        <v/>
      </c>
      <c r="U45" s="356" t="str">
        <f>IF($T$6="","",$T$6)</f>
        <v>Invoice</v>
      </c>
      <c r="V45" s="356" t="str">
        <f>'PARTS LIST SC'!$W34</f>
        <v>MATA</v>
      </c>
      <c r="W45" s="356" t="str">
        <f>IF('PARTS LIST SC'!$B34="","",'PARTS LIST SC'!$B34)</f>
        <v>A-21136</v>
      </c>
      <c r="X45" s="356" t="str">
        <f>IF('PARTS LIST SC'!$C34="","",'PARTS LIST SC'!$C34)</f>
        <v>rider bands</v>
      </c>
      <c r="Y45" s="362">
        <f>IF('PARTS LIST SC'!$D34="","",'PARTS LIST SC'!$D34)</f>
        <v>2</v>
      </c>
      <c r="Z45" s="361">
        <f>'PARTS LIST SC'!$X34</f>
        <v>1121.6249999999998</v>
      </c>
      <c r="AA45" s="356" t="str">
        <f>IF('Information Sales'!$K$7="","",'Information Sales'!$K$7)</f>
        <v/>
      </c>
      <c r="AB45" s="356" t="str">
        <f>IF($T$7="","",$T$7)</f>
        <v/>
      </c>
    </row>
    <row r="46" spans="2:28">
      <c r="B46" s="197">
        <v>30</v>
      </c>
      <c r="C46" s="197" t="str">
        <f>T46</f>
        <v/>
      </c>
      <c r="D46" s="197" t="str">
        <f>U46</f>
        <v>Invoice</v>
      </c>
      <c r="E46" s="214" t="str">
        <f>V46</f>
        <v>MATA</v>
      </c>
      <c r="F46" s="343" t="str">
        <f>W46</f>
        <v>A-2835</v>
      </c>
      <c r="G46" s="343"/>
      <c r="H46" s="348" t="str">
        <f>X46</f>
        <v>piston rings</v>
      </c>
      <c r="I46" s="349"/>
      <c r="J46" s="349"/>
      <c r="K46" s="350"/>
      <c r="L46" s="203">
        <f>Y46</f>
        <v>4</v>
      </c>
      <c r="M46" s="352">
        <f>Z46</f>
        <v>552.64</v>
      </c>
      <c r="N46" s="204" t="str">
        <f>AA46</f>
        <v/>
      </c>
      <c r="O46" s="356" t="str">
        <f>AB46</f>
        <v/>
      </c>
      <c r="S46" s="362">
        <v>27</v>
      </c>
      <c r="T46" s="356" t="str">
        <f>IF($T$5="","",$T$5)</f>
        <v/>
      </c>
      <c r="U46" s="356" t="str">
        <f>IF($T$6="","",$T$6)</f>
        <v>Invoice</v>
      </c>
      <c r="V46" s="356" t="str">
        <f>'PARTS LIST SC'!$W37</f>
        <v>MATA</v>
      </c>
      <c r="W46" s="356" t="str">
        <f>IF('PARTS LIST SC'!$B37="","",'PARTS LIST SC'!$B37)</f>
        <v>A-2835</v>
      </c>
      <c r="X46" s="356" t="str">
        <f>IF('PARTS LIST SC'!$C37="","",'PARTS LIST SC'!$C37)</f>
        <v>piston rings</v>
      </c>
      <c r="Y46" s="362">
        <f>IF('PARTS LIST SC'!$D37="","",'PARTS LIST SC'!$D37)</f>
        <v>4</v>
      </c>
      <c r="Z46" s="361">
        <f>'PARTS LIST SC'!$X37</f>
        <v>552.64</v>
      </c>
      <c r="AA46" s="356" t="str">
        <f>IF('Information Sales'!$K$7="","",'Information Sales'!$K$7)</f>
        <v/>
      </c>
      <c r="AB46" s="356" t="str">
        <f>IF($T$7="","",$T$7)</f>
        <v/>
      </c>
    </row>
    <row r="47" spans="2:28">
      <c r="B47" s="197">
        <v>31</v>
      </c>
      <c r="C47" s="197" t="str">
        <f>T47</f>
        <v/>
      </c>
      <c r="D47" s="197" t="str">
        <f>U47</f>
        <v>Invoice</v>
      </c>
      <c r="E47" s="214" t="str">
        <f>V47</f>
        <v>MATA</v>
      </c>
      <c r="F47" s="343" t="str">
        <f>W47</f>
        <v>A-2834</v>
      </c>
      <c r="G47" s="343"/>
      <c r="H47" s="348" t="str">
        <f>X47</f>
        <v>piston rings</v>
      </c>
      <c r="I47" s="349"/>
      <c r="J47" s="349"/>
      <c r="K47" s="350"/>
      <c r="L47" s="203">
        <f>Y47</f>
        <v>2</v>
      </c>
      <c r="M47" s="352">
        <f>Z47</f>
        <v>249.17499999999998</v>
      </c>
      <c r="N47" s="204" t="str">
        <f>AA47</f>
        <v/>
      </c>
      <c r="O47" s="356" t="str">
        <f>AB47</f>
        <v/>
      </c>
      <c r="S47" s="362">
        <v>28</v>
      </c>
      <c r="T47" s="356" t="str">
        <f>IF($T$5="","",$T$5)</f>
        <v/>
      </c>
      <c r="U47" s="356" t="str">
        <f>IF($T$6="","",$T$6)</f>
        <v>Invoice</v>
      </c>
      <c r="V47" s="356" t="str">
        <f>'PARTS LIST SC'!$W38</f>
        <v>MATA</v>
      </c>
      <c r="W47" s="356" t="str">
        <f>IF('PARTS LIST SC'!$B38="","",'PARTS LIST SC'!$B38)</f>
        <v>A-2834</v>
      </c>
      <c r="X47" s="356" t="str">
        <f>IF('PARTS LIST SC'!$C38="","",'PARTS LIST SC'!$C38)</f>
        <v>piston rings</v>
      </c>
      <c r="Y47" s="362">
        <f>IF('PARTS LIST SC'!$D38="","",'PARTS LIST SC'!$D38)</f>
        <v>2</v>
      </c>
      <c r="Z47" s="361">
        <f>'PARTS LIST SC'!$X38</f>
        <v>249.17499999999998</v>
      </c>
      <c r="AA47" s="356" t="str">
        <f>IF('Information Sales'!$K$7="","",'Information Sales'!$K$7)</f>
        <v/>
      </c>
      <c r="AB47" s="356" t="str">
        <f>IF($T$7="","",$T$7)</f>
        <v/>
      </c>
    </row>
    <row r="48" spans="2:28">
      <c r="B48" s="197">
        <v>32</v>
      </c>
      <c r="C48" s="197" t="str">
        <f>T48</f>
        <v/>
      </c>
      <c r="D48" s="197" t="str">
        <f>U48</f>
        <v>Invoice</v>
      </c>
      <c r="E48" s="214" t="str">
        <f>V48</f>
        <v>MATA</v>
      </c>
      <c r="F48" s="343" t="str">
        <f>W48</f>
        <v>B-1582-K</v>
      </c>
      <c r="G48" s="343"/>
      <c r="H48" s="348" t="str">
        <f>X48</f>
        <v>pressure packing</v>
      </c>
      <c r="I48" s="349"/>
      <c r="J48" s="349"/>
      <c r="K48" s="350"/>
      <c r="L48" s="203">
        <f>Y48</f>
        <v>3</v>
      </c>
      <c r="M48" s="352">
        <f>Z48</f>
        <v>674.96249999999998</v>
      </c>
      <c r="N48" s="204" t="str">
        <f>AA48</f>
        <v/>
      </c>
      <c r="O48" s="356" t="str">
        <f>AB48</f>
        <v/>
      </c>
      <c r="S48" s="362">
        <v>36</v>
      </c>
      <c r="T48" s="356" t="str">
        <f>IF($T$5="","",$T$5)</f>
        <v/>
      </c>
      <c r="U48" s="356" t="str">
        <f>IF($T$6="","",$T$6)</f>
        <v>Invoice</v>
      </c>
      <c r="V48" s="356" t="str">
        <f>'PARTS LIST SC'!$W46</f>
        <v>MATA</v>
      </c>
      <c r="W48" s="356" t="str">
        <f>IF('PARTS LIST SC'!$B46="","",'PARTS LIST SC'!$B46)</f>
        <v>B-1582-K</v>
      </c>
      <c r="X48" s="356" t="str">
        <f>IF('PARTS LIST SC'!$C46="","",'PARTS LIST SC'!$C46)</f>
        <v>pressure packing</v>
      </c>
      <c r="Y48" s="362">
        <f>IF('PARTS LIST SC'!$D46="","",'PARTS LIST SC'!$D46)</f>
        <v>3</v>
      </c>
      <c r="Z48" s="361">
        <f>'PARTS LIST SC'!$X46</f>
        <v>674.96249999999998</v>
      </c>
      <c r="AA48" s="356" t="str">
        <f>IF('Information Sales'!$K$7="","",'Information Sales'!$K$7)</f>
        <v/>
      </c>
      <c r="AB48" s="356" t="str">
        <f>IF($T$7="","",$T$7)</f>
        <v/>
      </c>
    </row>
    <row r="49" spans="2:28">
      <c r="B49" s="197">
        <v>33</v>
      </c>
      <c r="C49" s="197" t="str">
        <f>T49</f>
        <v/>
      </c>
      <c r="D49" s="197" t="str">
        <f>U49</f>
        <v>Invoice</v>
      </c>
      <c r="E49" s="214" t="str">
        <f>V49</f>
        <v>MATA</v>
      </c>
      <c r="F49" s="343" t="str">
        <f>W49</f>
        <v>B-1584-K</v>
      </c>
      <c r="G49" s="343"/>
      <c r="H49" s="348" t="str">
        <f>X49</f>
        <v>pressure packing</v>
      </c>
      <c r="I49" s="349"/>
      <c r="J49" s="349"/>
      <c r="K49" s="350"/>
      <c r="L49" s="203">
        <f>Y49</f>
        <v>1</v>
      </c>
      <c r="M49" s="352">
        <f>Z49</f>
        <v>300.56249999999994</v>
      </c>
      <c r="N49" s="204" t="str">
        <f>AA49</f>
        <v/>
      </c>
      <c r="O49" s="356" t="str">
        <f>AB49</f>
        <v/>
      </c>
      <c r="S49" s="362">
        <v>37</v>
      </c>
      <c r="T49" s="356" t="str">
        <f>IF($T$5="","",$T$5)</f>
        <v/>
      </c>
      <c r="U49" s="356" t="str">
        <f>IF($T$6="","",$T$6)</f>
        <v>Invoice</v>
      </c>
      <c r="V49" s="356" t="str">
        <f>'PARTS LIST SC'!$W47</f>
        <v>MATA</v>
      </c>
      <c r="W49" s="356" t="str">
        <f>IF('PARTS LIST SC'!$B47="","",'PARTS LIST SC'!$B47)</f>
        <v>B-1584-K</v>
      </c>
      <c r="X49" s="356" t="str">
        <f>IF('PARTS LIST SC'!$C47="","",'PARTS LIST SC'!$C47)</f>
        <v>pressure packing</v>
      </c>
      <c r="Y49" s="362">
        <f>IF('PARTS LIST SC'!$D47="","",'PARTS LIST SC'!$D47)</f>
        <v>1</v>
      </c>
      <c r="Z49" s="361">
        <f>'PARTS LIST SC'!$X47</f>
        <v>300.56249999999994</v>
      </c>
      <c r="AA49" s="356" t="str">
        <f>IF('Information Sales'!$K$7="","",'Information Sales'!$K$7)</f>
        <v/>
      </c>
      <c r="AB49" s="356" t="str">
        <f>IF($T$7="","",$T$7)</f>
        <v/>
      </c>
    </row>
    <row r="50" spans="2:28">
      <c r="B50" s="197">
        <v>34</v>
      </c>
      <c r="C50" s="197" t="str">
        <f>T50</f>
        <v/>
      </c>
      <c r="D50" s="197" t="str">
        <f>U50</f>
        <v>Invoice</v>
      </c>
      <c r="E50" s="214" t="str">
        <f>V50</f>
        <v>MATA</v>
      </c>
      <c r="F50" s="343" t="str">
        <f>W50</f>
        <v>B-6470-K</v>
      </c>
      <c r="G50" s="343"/>
      <c r="H50" s="348" t="str">
        <f>X50</f>
        <v>wiper packing</v>
      </c>
      <c r="I50" s="349"/>
      <c r="J50" s="349"/>
      <c r="K50" s="350"/>
      <c r="L50" s="203">
        <f>Y50</f>
        <v>4</v>
      </c>
      <c r="M50" s="352">
        <f>Z50</f>
        <v>525.91999999999996</v>
      </c>
      <c r="N50" s="204" t="str">
        <f>AA50</f>
        <v/>
      </c>
      <c r="O50" s="356" t="str">
        <f>AB50</f>
        <v/>
      </c>
      <c r="S50" s="362">
        <v>38</v>
      </c>
      <c r="T50" s="356" t="str">
        <f>IF($T$5="","",$T$5)</f>
        <v/>
      </c>
      <c r="U50" s="356" t="str">
        <f>IF($T$6="","",$T$6)</f>
        <v>Invoice</v>
      </c>
      <c r="V50" s="356" t="str">
        <f>'PARTS LIST SC'!$W48</f>
        <v>MATA</v>
      </c>
      <c r="W50" s="356" t="str">
        <f>IF('PARTS LIST SC'!$B48="","",'PARTS LIST SC'!$B48)</f>
        <v>B-6470-K</v>
      </c>
      <c r="X50" s="356" t="str">
        <f>IF('PARTS LIST SC'!$C48="","",'PARTS LIST SC'!$C48)</f>
        <v>wiper packing</v>
      </c>
      <c r="Y50" s="362">
        <f>IF('PARTS LIST SC'!$D48="","",'PARTS LIST SC'!$D48)</f>
        <v>4</v>
      </c>
      <c r="Z50" s="361">
        <f>'PARTS LIST SC'!$X48</f>
        <v>525.91999999999996</v>
      </c>
      <c r="AA50" s="356" t="str">
        <f>IF('Information Sales'!$K$7="","",'Information Sales'!$K$7)</f>
        <v/>
      </c>
      <c r="AB50" s="356" t="str">
        <f>IF($T$7="","",$T$7)</f>
        <v/>
      </c>
    </row>
    <row r="51" spans="2:28">
      <c r="B51" s="197">
        <v>35</v>
      </c>
      <c r="C51" s="197" t="str">
        <f>T51</f>
        <v/>
      </c>
      <c r="D51" s="197" t="str">
        <f>U51</f>
        <v>Invoice</v>
      </c>
      <c r="E51" s="214" t="str">
        <f>V51</f>
        <v>CAT</v>
      </c>
      <c r="F51" s="343" t="str">
        <f>W51</f>
        <v>C-0645</v>
      </c>
      <c r="G51" s="343"/>
      <c r="H51" s="348" t="str">
        <f>X51</f>
        <v>Gasket</v>
      </c>
      <c r="I51" s="349"/>
      <c r="J51" s="349"/>
      <c r="K51" s="350"/>
      <c r="L51" s="203">
        <f>Y51</f>
        <v>1</v>
      </c>
      <c r="M51" s="352">
        <f>Z51</f>
        <v>26.349999999999998</v>
      </c>
      <c r="N51" s="204" t="str">
        <f>AA51</f>
        <v/>
      </c>
      <c r="O51" s="356" t="str">
        <f>AB51</f>
        <v/>
      </c>
      <c r="S51" s="362">
        <v>13</v>
      </c>
      <c r="T51" s="356" t="str">
        <f>IF($T$5="","",$T$5)</f>
        <v/>
      </c>
      <c r="U51" s="356" t="str">
        <f>IF($T$6="","",$T$6)</f>
        <v>Invoice</v>
      </c>
      <c r="V51" s="356" t="str">
        <f>'PARTS LIST SC'!$W23</f>
        <v>CAT</v>
      </c>
      <c r="W51" s="356" t="str">
        <f>IF('PARTS LIST SC'!$B23="","",'PARTS LIST SC'!$B23)</f>
        <v>C-0645</v>
      </c>
      <c r="X51" s="356" t="str">
        <f>IF('PARTS LIST SC'!$C23="","",'PARTS LIST SC'!$C23)</f>
        <v>Gasket</v>
      </c>
      <c r="Y51" s="362">
        <f>IF('PARTS LIST SC'!$D23="","",'PARTS LIST SC'!$D23)</f>
        <v>1</v>
      </c>
      <c r="Z51" s="361">
        <f>'PARTS LIST SC'!$X23</f>
        <v>26.349999999999998</v>
      </c>
      <c r="AA51" s="356" t="str">
        <f>IF('Information Sales'!$K$7="","",'Information Sales'!$K$7)</f>
        <v/>
      </c>
      <c r="AB51" s="356" t="str">
        <f>IF($T$7="","",$T$7)</f>
        <v/>
      </c>
    </row>
    <row r="52" spans="2:28">
      <c r="B52" s="197">
        <v>36</v>
      </c>
      <c r="C52" s="197" t="str">
        <f>T52</f>
        <v/>
      </c>
      <c r="D52" s="197" t="str">
        <f>U52</f>
        <v>Invoice</v>
      </c>
      <c r="E52" s="214" t="str">
        <f>V52</f>
        <v>CAT</v>
      </c>
      <c r="F52" s="343" t="str">
        <f>W52</f>
        <v>A-8723-K</v>
      </c>
      <c r="G52" s="343"/>
      <c r="H52" s="348" t="str">
        <f>X52</f>
        <v xml:space="preserve">filter kit </v>
      </c>
      <c r="I52" s="349"/>
      <c r="J52" s="349"/>
      <c r="K52" s="350"/>
      <c r="L52" s="203">
        <f>Y52</f>
        <v>1</v>
      </c>
      <c r="M52" s="352">
        <f>Z52</f>
        <v>13.342857142857143</v>
      </c>
      <c r="N52" s="204" t="str">
        <f>AA52</f>
        <v/>
      </c>
      <c r="O52" s="356" t="str">
        <f>AB52</f>
        <v/>
      </c>
      <c r="S52" s="362">
        <v>14</v>
      </c>
      <c r="T52" s="356" t="str">
        <f>IF($T$5="","",$T$5)</f>
        <v/>
      </c>
      <c r="U52" s="356" t="str">
        <f>IF($T$6="","",$T$6)</f>
        <v>Invoice</v>
      </c>
      <c r="V52" s="356" t="str">
        <f>'PARTS LIST SC'!$W24</f>
        <v>CAT</v>
      </c>
      <c r="W52" s="356" t="str">
        <f>IF('PARTS LIST SC'!$B24="","",'PARTS LIST SC'!$B24)</f>
        <v>A-8723-K</v>
      </c>
      <c r="X52" s="356" t="str">
        <f>IF('PARTS LIST SC'!$C24="","",'PARTS LIST SC'!$C24)</f>
        <v xml:space="preserve">filter kit </v>
      </c>
      <c r="Y52" s="362">
        <f>IF('PARTS LIST SC'!$D24="","",'PARTS LIST SC'!$D24)</f>
        <v>1</v>
      </c>
      <c r="Z52" s="361">
        <f>'PARTS LIST SC'!$X24</f>
        <v>13.342857142857143</v>
      </c>
      <c r="AA52" s="356" t="str">
        <f>IF('Information Sales'!$K$7="","",'Information Sales'!$K$7)</f>
        <v/>
      </c>
      <c r="AB52" s="356" t="str">
        <f>IF($T$7="","",$T$7)</f>
        <v/>
      </c>
    </row>
    <row r="53" spans="2:28">
      <c r="B53" s="197">
        <v>37</v>
      </c>
      <c r="C53" s="197" t="str">
        <f>T53</f>
        <v/>
      </c>
      <c r="D53" s="197" t="str">
        <f>U53</f>
        <v>Invoice</v>
      </c>
      <c r="E53" s="214" t="str">
        <f>V53</f>
        <v>CAT</v>
      </c>
      <c r="F53" s="343" t="str">
        <f>W53</f>
        <v>A-4359</v>
      </c>
      <c r="G53" s="343"/>
      <c r="H53" s="348" t="str">
        <f>X53</f>
        <v>rider bands</v>
      </c>
      <c r="I53" s="349"/>
      <c r="J53" s="349"/>
      <c r="K53" s="350"/>
      <c r="L53" s="203">
        <f>Y53</f>
        <v>1</v>
      </c>
      <c r="M53" s="352">
        <f>Z53</f>
        <v>536.78750000000002</v>
      </c>
      <c r="N53" s="204" t="str">
        <f>AA53</f>
        <v/>
      </c>
      <c r="O53" s="356" t="str">
        <f>AB53</f>
        <v/>
      </c>
      <c r="S53" s="362">
        <v>25</v>
      </c>
      <c r="T53" s="356" t="str">
        <f>IF($T$5="","",$T$5)</f>
        <v/>
      </c>
      <c r="U53" s="356" t="str">
        <f>IF($T$6="","",$T$6)</f>
        <v>Invoice</v>
      </c>
      <c r="V53" s="356" t="str">
        <f>'PARTS LIST SC'!$W35</f>
        <v>CAT</v>
      </c>
      <c r="W53" s="356" t="str">
        <f>IF('PARTS LIST SC'!$B35="","",'PARTS LIST SC'!$B35)</f>
        <v>A-4359</v>
      </c>
      <c r="X53" s="356" t="str">
        <f>IF('PARTS LIST SC'!$C35="","",'PARTS LIST SC'!$C35)</f>
        <v>rider bands</v>
      </c>
      <c r="Y53" s="362">
        <f>IF('PARTS LIST SC'!$D35="","",'PARTS LIST SC'!$D35)</f>
        <v>1</v>
      </c>
      <c r="Z53" s="361">
        <f>'PARTS LIST SC'!$X35</f>
        <v>536.78750000000002</v>
      </c>
      <c r="AA53" s="356" t="str">
        <f>IF('Information Sales'!$K$7="","",'Information Sales'!$K$7)</f>
        <v/>
      </c>
      <c r="AB53" s="356" t="str">
        <f>IF($T$7="","",$T$7)</f>
        <v/>
      </c>
    </row>
    <row r="54" spans="2:28">
      <c r="B54" s="197">
        <v>38</v>
      </c>
      <c r="C54" s="197" t="str">
        <f>T54</f>
        <v/>
      </c>
      <c r="D54" s="197" t="str">
        <f>U54</f>
        <v>Invoice</v>
      </c>
      <c r="E54" s="214" t="str">
        <f>V54</f>
        <v>CAT</v>
      </c>
      <c r="F54" s="343" t="str">
        <f>W54</f>
        <v>A-2076</v>
      </c>
      <c r="G54" s="343"/>
      <c r="H54" s="348" t="str">
        <f>X54</f>
        <v>piston rings</v>
      </c>
      <c r="I54" s="349"/>
      <c r="J54" s="349"/>
      <c r="K54" s="350"/>
      <c r="L54" s="203">
        <f>Y54</f>
        <v>4</v>
      </c>
      <c r="M54" s="352">
        <f>Z54</f>
        <v>268.57142857142861</v>
      </c>
      <c r="N54" s="204" t="str">
        <f>AA54</f>
        <v/>
      </c>
      <c r="O54" s="356" t="str">
        <f>AB54</f>
        <v/>
      </c>
      <c r="S54" s="362">
        <v>26</v>
      </c>
      <c r="T54" s="356" t="str">
        <f>IF($T$5="","",$T$5)</f>
        <v/>
      </c>
      <c r="U54" s="356" t="str">
        <f>IF($T$6="","",$T$6)</f>
        <v>Invoice</v>
      </c>
      <c r="V54" s="356" t="str">
        <f>'PARTS LIST SC'!$W36</f>
        <v>CAT</v>
      </c>
      <c r="W54" s="356" t="str">
        <f>IF('PARTS LIST SC'!$B36="","",'PARTS LIST SC'!$B36)</f>
        <v>A-2076</v>
      </c>
      <c r="X54" s="356" t="str">
        <f>IF('PARTS LIST SC'!$C36="","",'PARTS LIST SC'!$C36)</f>
        <v>piston rings</v>
      </c>
      <c r="Y54" s="362">
        <f>IF('PARTS LIST SC'!$D36="","",'PARTS LIST SC'!$D36)</f>
        <v>4</v>
      </c>
      <c r="Z54" s="361">
        <f>'PARTS LIST SC'!$X36</f>
        <v>268.57142857142861</v>
      </c>
      <c r="AA54" s="356" t="str">
        <f>IF('Information Sales'!$K$7="","",'Information Sales'!$K$7)</f>
        <v/>
      </c>
      <c r="AB54" s="356" t="str">
        <f>IF($T$7="","",$T$7)</f>
        <v/>
      </c>
    </row>
    <row r="55" spans="2:28">
      <c r="B55" s="197">
        <v>39</v>
      </c>
      <c r="C55" s="197" t="str">
        <f>T55</f>
        <v/>
      </c>
      <c r="D55" s="197" t="str">
        <f>U55</f>
        <v>Invoice</v>
      </c>
      <c r="E55" s="214" t="str">
        <f>V55</f>
        <v/>
      </c>
      <c r="F55" s="343" t="str">
        <f>W55</f>
        <v/>
      </c>
      <c r="G55" s="343"/>
      <c r="H55" s="348" t="str">
        <f>X55</f>
        <v/>
      </c>
      <c r="I55" s="349"/>
      <c r="J55" s="349"/>
      <c r="K55" s="350"/>
      <c r="L55" s="203" t="str">
        <f>Y55</f>
        <v/>
      </c>
      <c r="M55" s="352" t="str">
        <f>Z55</f>
        <v/>
      </c>
      <c r="N55" s="204" t="str">
        <f>AA55</f>
        <v/>
      </c>
      <c r="O55" s="356" t="str">
        <f>AB55</f>
        <v/>
      </c>
      <c r="S55" s="362">
        <v>39</v>
      </c>
      <c r="T55" s="356" t="str">
        <f>IF($T$5="","",$T$5)</f>
        <v/>
      </c>
      <c r="U55" s="356" t="str">
        <f>IF($T$6="","",$T$6)</f>
        <v>Invoice</v>
      </c>
      <c r="V55" s="356" t="str">
        <f>'PARTS LIST SC'!$W49</f>
        <v/>
      </c>
      <c r="W55" s="356" t="str">
        <f>IF('PARTS LIST SC'!$B49="","",'PARTS LIST SC'!$B49)</f>
        <v/>
      </c>
      <c r="X55" s="356" t="str">
        <f>IF('PARTS LIST SC'!$C49="","",'PARTS LIST SC'!$C49)</f>
        <v/>
      </c>
      <c r="Y55" s="362" t="str">
        <f>IF('PARTS LIST SC'!$D49="","",'PARTS LIST SC'!$D49)</f>
        <v/>
      </c>
      <c r="Z55" s="361" t="str">
        <f>'PARTS LIST SC'!$X49</f>
        <v/>
      </c>
      <c r="AA55" s="356" t="str">
        <f>IF('Information Sales'!$K$7="","",'Information Sales'!$K$7)</f>
        <v/>
      </c>
      <c r="AB55" s="356" t="str">
        <f>IF($T$7="","",$T$7)</f>
        <v/>
      </c>
    </row>
    <row r="56" spans="2:28">
      <c r="B56" s="197">
        <v>40</v>
      </c>
      <c r="C56" s="197" t="str">
        <f>T56</f>
        <v/>
      </c>
      <c r="D56" s="197" t="str">
        <f>U56</f>
        <v>Invoice</v>
      </c>
      <c r="E56" s="214" t="str">
        <f>V56</f>
        <v/>
      </c>
      <c r="F56" s="343" t="str">
        <f>W56</f>
        <v/>
      </c>
      <c r="G56" s="343"/>
      <c r="H56" s="348" t="str">
        <f>X56</f>
        <v/>
      </c>
      <c r="I56" s="349"/>
      <c r="J56" s="349"/>
      <c r="K56" s="350"/>
      <c r="L56" s="203" t="str">
        <f>Y56</f>
        <v/>
      </c>
      <c r="M56" s="352" t="str">
        <f>Z56</f>
        <v/>
      </c>
      <c r="N56" s="204" t="str">
        <f>AA56</f>
        <v/>
      </c>
      <c r="O56" s="356" t="str">
        <f>AB56</f>
        <v/>
      </c>
      <c r="S56" s="362">
        <v>40</v>
      </c>
      <c r="T56" s="356" t="str">
        <f>IF($T$5="","",$T$5)</f>
        <v/>
      </c>
      <c r="U56" s="356" t="str">
        <f>IF($T$6="","",$T$6)</f>
        <v>Invoice</v>
      </c>
      <c r="V56" s="356" t="str">
        <f>'PARTS LIST SC'!$W50</f>
        <v/>
      </c>
      <c r="W56" s="356" t="str">
        <f>IF('PARTS LIST SC'!$B50="","",'PARTS LIST SC'!$B50)</f>
        <v/>
      </c>
      <c r="X56" s="356" t="str">
        <f>IF('PARTS LIST SC'!$C50="","",'PARTS LIST SC'!$C50)</f>
        <v/>
      </c>
      <c r="Y56" s="362" t="str">
        <f>IF('PARTS LIST SC'!$D50="","",'PARTS LIST SC'!$D50)</f>
        <v/>
      </c>
      <c r="Z56" s="361" t="str">
        <f>'PARTS LIST SC'!$X50</f>
        <v/>
      </c>
      <c r="AA56" s="356" t="str">
        <f>IF('Information Sales'!$K$7="","",'Information Sales'!$K$7)</f>
        <v/>
      </c>
      <c r="AB56" s="356" t="str">
        <f>IF($T$7="","",$T$7)</f>
        <v/>
      </c>
    </row>
    <row r="57" spans="2:28">
      <c r="B57" s="197">
        <v>41</v>
      </c>
      <c r="C57" s="197" t="str">
        <f>T57</f>
        <v/>
      </c>
      <c r="D57" s="197" t="str">
        <f>U57</f>
        <v>Invoice</v>
      </c>
      <c r="E57" s="214" t="str">
        <f>V57</f>
        <v/>
      </c>
      <c r="F57" s="343" t="str">
        <f>W57</f>
        <v/>
      </c>
      <c r="G57" s="343"/>
      <c r="H57" s="348" t="str">
        <f>X57</f>
        <v/>
      </c>
      <c r="I57" s="349"/>
      <c r="J57" s="349"/>
      <c r="K57" s="350"/>
      <c r="L57" s="203" t="str">
        <f>Y57</f>
        <v/>
      </c>
      <c r="M57" s="352" t="str">
        <f>Z57</f>
        <v/>
      </c>
      <c r="N57" s="204" t="str">
        <f>AA57</f>
        <v/>
      </c>
      <c r="O57" s="356" t="str">
        <f>AB57</f>
        <v/>
      </c>
      <c r="S57" s="362">
        <v>41</v>
      </c>
      <c r="T57" s="356" t="str">
        <f>IF($T$5="","",$T$5)</f>
        <v/>
      </c>
      <c r="U57" s="356" t="str">
        <f>IF($T$6="","",$T$6)</f>
        <v>Invoice</v>
      </c>
      <c r="V57" s="356" t="str">
        <f>'PARTS LIST SC'!$W51</f>
        <v/>
      </c>
      <c r="W57" s="356" t="str">
        <f>IF('PARTS LIST SC'!$B51="","",'PARTS LIST SC'!$B51)</f>
        <v/>
      </c>
      <c r="X57" s="356" t="str">
        <f>IF('PARTS LIST SC'!$C51="","",'PARTS LIST SC'!$C51)</f>
        <v/>
      </c>
      <c r="Y57" s="362" t="str">
        <f>IF('PARTS LIST SC'!$D51="","",'PARTS LIST SC'!$D51)</f>
        <v/>
      </c>
      <c r="Z57" s="361" t="str">
        <f>'PARTS LIST SC'!$X51</f>
        <v/>
      </c>
      <c r="AA57" s="356" t="str">
        <f>IF('Information Sales'!$K$7="","",'Information Sales'!$K$7)</f>
        <v/>
      </c>
      <c r="AB57" s="356" t="str">
        <f>IF($T$7="","",$T$7)</f>
        <v/>
      </c>
    </row>
    <row r="58" spans="2:28">
      <c r="B58" s="197">
        <v>42</v>
      </c>
      <c r="C58" s="197" t="str">
        <f>T58</f>
        <v/>
      </c>
      <c r="D58" s="197" t="str">
        <f>U58</f>
        <v>Invoice</v>
      </c>
      <c r="E58" s="214" t="str">
        <f>V58</f>
        <v/>
      </c>
      <c r="F58" s="343" t="str">
        <f>W58</f>
        <v/>
      </c>
      <c r="G58" s="343"/>
      <c r="H58" s="348" t="str">
        <f>X58</f>
        <v/>
      </c>
      <c r="I58" s="349"/>
      <c r="J58" s="349"/>
      <c r="K58" s="350"/>
      <c r="L58" s="203" t="str">
        <f>Y58</f>
        <v/>
      </c>
      <c r="M58" s="352" t="str">
        <f>Z58</f>
        <v/>
      </c>
      <c r="N58" s="204" t="str">
        <f>AA58</f>
        <v/>
      </c>
      <c r="O58" s="356" t="str">
        <f>AB58</f>
        <v/>
      </c>
      <c r="S58" s="362">
        <v>42</v>
      </c>
      <c r="T58" s="356" t="str">
        <f>IF($T$5="","",$T$5)</f>
        <v/>
      </c>
      <c r="U58" s="356" t="str">
        <f>IF($T$6="","",$T$6)</f>
        <v>Invoice</v>
      </c>
      <c r="V58" s="356" t="str">
        <f>'PARTS LIST SC'!$W52</f>
        <v/>
      </c>
      <c r="W58" s="356" t="str">
        <f>IF('PARTS LIST SC'!$B52="","",'PARTS LIST SC'!$B52)</f>
        <v/>
      </c>
      <c r="X58" s="356" t="str">
        <f>IF('PARTS LIST SC'!$C52="","",'PARTS LIST SC'!$C52)</f>
        <v/>
      </c>
      <c r="Y58" s="362" t="str">
        <f>IF('PARTS LIST SC'!$D52="","",'PARTS LIST SC'!$D52)</f>
        <v/>
      </c>
      <c r="Z58" s="361" t="str">
        <f>'PARTS LIST SC'!$X52</f>
        <v/>
      </c>
      <c r="AA58" s="356" t="str">
        <f>IF('Information Sales'!$K$7="","",'Information Sales'!$K$7)</f>
        <v/>
      </c>
      <c r="AB58" s="356" t="str">
        <f>IF($T$7="","",$T$7)</f>
        <v/>
      </c>
    </row>
    <row r="59" spans="2:28">
      <c r="B59" s="197">
        <v>43</v>
      </c>
      <c r="C59" s="197" t="str">
        <f>T59</f>
        <v/>
      </c>
      <c r="D59" s="197" t="str">
        <f>U59</f>
        <v>Invoice</v>
      </c>
      <c r="E59" s="214" t="str">
        <f>V59</f>
        <v/>
      </c>
      <c r="F59" s="343" t="str">
        <f>W59</f>
        <v/>
      </c>
      <c r="G59" s="343"/>
      <c r="H59" s="348" t="str">
        <f>X59</f>
        <v/>
      </c>
      <c r="I59" s="349"/>
      <c r="J59" s="349"/>
      <c r="K59" s="350"/>
      <c r="L59" s="203" t="str">
        <f>Y59</f>
        <v/>
      </c>
      <c r="M59" s="352" t="str">
        <f>Z59</f>
        <v/>
      </c>
      <c r="N59" s="204" t="str">
        <f>AA59</f>
        <v/>
      </c>
      <c r="O59" s="356" t="str">
        <f>AB59</f>
        <v/>
      </c>
      <c r="S59" s="362">
        <v>43</v>
      </c>
      <c r="T59" s="356" t="str">
        <f>IF($T$5="","",$T$5)</f>
        <v/>
      </c>
      <c r="U59" s="356" t="str">
        <f>IF($T$6="","",$T$6)</f>
        <v>Invoice</v>
      </c>
      <c r="V59" s="356" t="str">
        <f>'PARTS LIST SC'!$W53</f>
        <v/>
      </c>
      <c r="W59" s="356" t="str">
        <f>IF('PARTS LIST SC'!$B53="","",'PARTS LIST SC'!$B53)</f>
        <v/>
      </c>
      <c r="X59" s="356" t="str">
        <f>IF('PARTS LIST SC'!$C53="","",'PARTS LIST SC'!$C53)</f>
        <v/>
      </c>
      <c r="Y59" s="362" t="str">
        <f>IF('PARTS LIST SC'!$D53="","",'PARTS LIST SC'!$D53)</f>
        <v/>
      </c>
      <c r="Z59" s="361" t="str">
        <f>'PARTS LIST SC'!$X53</f>
        <v/>
      </c>
      <c r="AA59" s="356" t="str">
        <f>IF('Information Sales'!$K$7="","",'Information Sales'!$K$7)</f>
        <v/>
      </c>
      <c r="AB59" s="356" t="str">
        <f>IF($T$7="","",$T$7)</f>
        <v/>
      </c>
    </row>
    <row r="60" spans="2:28">
      <c r="B60" s="197">
        <v>44</v>
      </c>
      <c r="C60" s="197" t="str">
        <f>T60</f>
        <v/>
      </c>
      <c r="D60" s="197" t="str">
        <f>U60</f>
        <v>Invoice</v>
      </c>
      <c r="E60" s="214" t="str">
        <f>V60</f>
        <v/>
      </c>
      <c r="F60" s="343" t="str">
        <f>W60</f>
        <v/>
      </c>
      <c r="G60" s="343"/>
      <c r="H60" s="348" t="str">
        <f>X60</f>
        <v/>
      </c>
      <c r="I60" s="349"/>
      <c r="J60" s="349"/>
      <c r="K60" s="350"/>
      <c r="L60" s="203" t="str">
        <f>Y60</f>
        <v/>
      </c>
      <c r="M60" s="352" t="str">
        <f>Z60</f>
        <v/>
      </c>
      <c r="N60" s="204" t="str">
        <f>AA60</f>
        <v/>
      </c>
      <c r="O60" s="356" t="str">
        <f>AB60</f>
        <v/>
      </c>
      <c r="S60" s="362">
        <v>44</v>
      </c>
      <c r="T60" s="356" t="str">
        <f>IF($T$5="","",$T$5)</f>
        <v/>
      </c>
      <c r="U60" s="356" t="str">
        <f>IF($T$6="","",$T$6)</f>
        <v>Invoice</v>
      </c>
      <c r="V60" s="356" t="str">
        <f>'PARTS LIST SC'!$W54</f>
        <v/>
      </c>
      <c r="W60" s="356" t="str">
        <f>IF('PARTS LIST SC'!$B54="","",'PARTS LIST SC'!$B54)</f>
        <v/>
      </c>
      <c r="X60" s="356" t="str">
        <f>IF('PARTS LIST SC'!$C54="","",'PARTS LIST SC'!$C54)</f>
        <v/>
      </c>
      <c r="Y60" s="362" t="str">
        <f>IF('PARTS LIST SC'!$D54="","",'PARTS LIST SC'!$D54)</f>
        <v/>
      </c>
      <c r="Z60" s="361" t="str">
        <f>'PARTS LIST SC'!$X54</f>
        <v/>
      </c>
      <c r="AA60" s="356" t="str">
        <f>IF('Information Sales'!$K$7="","",'Information Sales'!$K$7)</f>
        <v/>
      </c>
      <c r="AB60" s="356" t="str">
        <f>IF($T$7="","",$T$7)</f>
        <v/>
      </c>
    </row>
    <row r="61" spans="2:28">
      <c r="B61" s="197">
        <v>45</v>
      </c>
      <c r="C61" s="197" t="str">
        <f>T61</f>
        <v/>
      </c>
      <c r="D61" s="197" t="str">
        <f>U61</f>
        <v>Invoice</v>
      </c>
      <c r="E61" s="214" t="str">
        <f>V61</f>
        <v/>
      </c>
      <c r="F61" s="343" t="str">
        <f>W61</f>
        <v/>
      </c>
      <c r="G61" s="343"/>
      <c r="H61" s="348" t="str">
        <f>X61</f>
        <v/>
      </c>
      <c r="I61" s="349"/>
      <c r="J61" s="349"/>
      <c r="K61" s="350"/>
      <c r="L61" s="203" t="str">
        <f>Y61</f>
        <v/>
      </c>
      <c r="M61" s="352" t="str">
        <f>Z61</f>
        <v/>
      </c>
      <c r="N61" s="204" t="str">
        <f>AA61</f>
        <v/>
      </c>
      <c r="O61" s="356" t="str">
        <f>AB61</f>
        <v/>
      </c>
      <c r="S61" s="362">
        <v>45</v>
      </c>
      <c r="T61" s="356" t="str">
        <f>IF($T$5="","",$T$5)</f>
        <v/>
      </c>
      <c r="U61" s="356" t="str">
        <f>IF($T$6="","",$T$6)</f>
        <v>Invoice</v>
      </c>
      <c r="V61" s="356" t="str">
        <f>'PARTS LIST SC'!$W55</f>
        <v/>
      </c>
      <c r="W61" s="356" t="str">
        <f>IF('PARTS LIST SC'!$B55="","",'PARTS LIST SC'!$B55)</f>
        <v/>
      </c>
      <c r="X61" s="356" t="str">
        <f>IF('PARTS LIST SC'!$C55="","",'PARTS LIST SC'!$C55)</f>
        <v/>
      </c>
      <c r="Y61" s="362" t="str">
        <f>IF('PARTS LIST SC'!$D55="","",'PARTS LIST SC'!$D55)</f>
        <v/>
      </c>
      <c r="Z61" s="361" t="str">
        <f>'PARTS LIST SC'!$X55</f>
        <v/>
      </c>
      <c r="AA61" s="356" t="str">
        <f>IF('Information Sales'!$K$7="","",'Information Sales'!$K$7)</f>
        <v/>
      </c>
      <c r="AB61" s="356" t="str">
        <f>IF($T$7="","",$T$7)</f>
        <v/>
      </c>
    </row>
    <row r="62" spans="2:28">
      <c r="B62" s="197">
        <v>46</v>
      </c>
      <c r="C62" s="197" t="str">
        <f>T62</f>
        <v/>
      </c>
      <c r="D62" s="197" t="str">
        <f>U62</f>
        <v>Invoice</v>
      </c>
      <c r="E62" s="214" t="str">
        <f>V62</f>
        <v/>
      </c>
      <c r="F62" s="343" t="str">
        <f>W62</f>
        <v/>
      </c>
      <c r="G62" s="343"/>
      <c r="H62" s="348" t="str">
        <f>X62</f>
        <v/>
      </c>
      <c r="I62" s="349"/>
      <c r="J62" s="349"/>
      <c r="K62" s="350"/>
      <c r="L62" s="203" t="str">
        <f>Y62</f>
        <v/>
      </c>
      <c r="M62" s="352" t="str">
        <f>Z62</f>
        <v/>
      </c>
      <c r="N62" s="204" t="str">
        <f>AA62</f>
        <v/>
      </c>
      <c r="O62" s="356" t="str">
        <f>AB62</f>
        <v/>
      </c>
      <c r="S62" s="362">
        <v>46</v>
      </c>
      <c r="T62" s="356" t="str">
        <f>IF($T$5="","",$T$5)</f>
        <v/>
      </c>
      <c r="U62" s="356" t="str">
        <f>IF($T$6="","",$T$6)</f>
        <v>Invoice</v>
      </c>
      <c r="V62" s="356" t="str">
        <f>'PARTS LIST SC'!$W56</f>
        <v/>
      </c>
      <c r="W62" s="356" t="str">
        <f>IF('PARTS LIST SC'!$B56="","",'PARTS LIST SC'!$B56)</f>
        <v/>
      </c>
      <c r="X62" s="356" t="str">
        <f>IF('PARTS LIST SC'!$C56="","",'PARTS LIST SC'!$C56)</f>
        <v/>
      </c>
      <c r="Y62" s="362" t="str">
        <f>IF('PARTS LIST SC'!$D56="","",'PARTS LIST SC'!$D56)</f>
        <v/>
      </c>
      <c r="Z62" s="361" t="str">
        <f>'PARTS LIST SC'!$X56</f>
        <v/>
      </c>
      <c r="AA62" s="356" t="str">
        <f>IF('Information Sales'!$K$7="","",'Information Sales'!$K$7)</f>
        <v/>
      </c>
      <c r="AB62" s="356" t="str">
        <f>IF($T$7="","",$T$7)</f>
        <v/>
      </c>
    </row>
    <row r="63" spans="2:28">
      <c r="B63" s="197">
        <v>47</v>
      </c>
      <c r="C63" s="197" t="str">
        <f>T63</f>
        <v/>
      </c>
      <c r="D63" s="197" t="str">
        <f>U63</f>
        <v>Invoice</v>
      </c>
      <c r="E63" s="214" t="str">
        <f>V63</f>
        <v/>
      </c>
      <c r="F63" s="343" t="str">
        <f>W63</f>
        <v/>
      </c>
      <c r="G63" s="343"/>
      <c r="H63" s="348" t="str">
        <f>X63</f>
        <v/>
      </c>
      <c r="I63" s="349"/>
      <c r="J63" s="349"/>
      <c r="K63" s="350"/>
      <c r="L63" s="203" t="str">
        <f>Y63</f>
        <v/>
      </c>
      <c r="M63" s="352" t="str">
        <f>Z63</f>
        <v/>
      </c>
      <c r="N63" s="204" t="str">
        <f>AA63</f>
        <v/>
      </c>
      <c r="O63" s="356" t="str">
        <f>AB63</f>
        <v/>
      </c>
      <c r="S63" s="362">
        <v>47</v>
      </c>
      <c r="T63" s="356" t="str">
        <f>IF($T$5="","",$T$5)</f>
        <v/>
      </c>
      <c r="U63" s="356" t="str">
        <f>IF($T$6="","",$T$6)</f>
        <v>Invoice</v>
      </c>
      <c r="V63" s="356" t="str">
        <f>'PARTS LIST SC'!$W57</f>
        <v/>
      </c>
      <c r="W63" s="356" t="str">
        <f>IF('PARTS LIST SC'!$B57="","",'PARTS LIST SC'!$B57)</f>
        <v/>
      </c>
      <c r="X63" s="356" t="str">
        <f>IF('PARTS LIST SC'!$C57="","",'PARTS LIST SC'!$C57)</f>
        <v/>
      </c>
      <c r="Y63" s="362" t="str">
        <f>IF('PARTS LIST SC'!$D57="","",'PARTS LIST SC'!$D57)</f>
        <v/>
      </c>
      <c r="Z63" s="361" t="str">
        <f>'PARTS LIST SC'!$X57</f>
        <v/>
      </c>
      <c r="AA63" s="356" t="str">
        <f>IF('Information Sales'!$K$7="","",'Information Sales'!$K$7)</f>
        <v/>
      </c>
      <c r="AB63" s="356" t="str">
        <f>IF($T$7="","",$T$7)</f>
        <v/>
      </c>
    </row>
    <row r="64" spans="2:28">
      <c r="B64" s="197">
        <v>48</v>
      </c>
      <c r="C64" s="197" t="str">
        <f>T64</f>
        <v/>
      </c>
      <c r="D64" s="197" t="str">
        <f>U64</f>
        <v>Invoice</v>
      </c>
      <c r="E64" s="214" t="str">
        <f>V64</f>
        <v/>
      </c>
      <c r="F64" s="343" t="str">
        <f>W64</f>
        <v/>
      </c>
      <c r="G64" s="343"/>
      <c r="H64" s="348" t="str">
        <f>X64</f>
        <v/>
      </c>
      <c r="I64" s="349"/>
      <c r="J64" s="349"/>
      <c r="K64" s="350"/>
      <c r="L64" s="203" t="str">
        <f>Y64</f>
        <v/>
      </c>
      <c r="M64" s="352" t="str">
        <f>Z64</f>
        <v/>
      </c>
      <c r="N64" s="204" t="str">
        <f>AA64</f>
        <v/>
      </c>
      <c r="O64" s="356" t="str">
        <f>AB64</f>
        <v/>
      </c>
      <c r="S64" s="362">
        <v>48</v>
      </c>
      <c r="T64" s="356" t="str">
        <f>IF($T$5="","",$T$5)</f>
        <v/>
      </c>
      <c r="U64" s="356" t="str">
        <f>IF($T$6="","",$T$6)</f>
        <v>Invoice</v>
      </c>
      <c r="V64" s="356" t="str">
        <f>'PARTS LIST SC'!$W58</f>
        <v/>
      </c>
      <c r="W64" s="356" t="str">
        <f>IF('PARTS LIST SC'!$B58="","",'PARTS LIST SC'!$B58)</f>
        <v/>
      </c>
      <c r="X64" s="356" t="str">
        <f>IF('PARTS LIST SC'!$C58="","",'PARTS LIST SC'!$C58)</f>
        <v/>
      </c>
      <c r="Y64" s="362" t="str">
        <f>IF('PARTS LIST SC'!$D58="","",'PARTS LIST SC'!$D58)</f>
        <v/>
      </c>
      <c r="Z64" s="361" t="str">
        <f>'PARTS LIST SC'!$X58</f>
        <v/>
      </c>
      <c r="AA64" s="356" t="str">
        <f>IF('Information Sales'!$K$7="","",'Information Sales'!$K$7)</f>
        <v/>
      </c>
      <c r="AB64" s="356" t="str">
        <f>IF($T$7="","",$T$7)</f>
        <v/>
      </c>
    </row>
    <row r="65" spans="2:28">
      <c r="B65" s="197">
        <v>49</v>
      </c>
      <c r="C65" s="197" t="str">
        <f>T65</f>
        <v/>
      </c>
      <c r="D65" s="197" t="str">
        <f>U65</f>
        <v>Invoice</v>
      </c>
      <c r="E65" s="214" t="str">
        <f>V65</f>
        <v/>
      </c>
      <c r="F65" s="343" t="str">
        <f>W65</f>
        <v/>
      </c>
      <c r="G65" s="343"/>
      <c r="H65" s="348" t="str">
        <f>X65</f>
        <v/>
      </c>
      <c r="I65" s="349"/>
      <c r="J65" s="349"/>
      <c r="K65" s="350"/>
      <c r="L65" s="203" t="str">
        <f>Y65</f>
        <v/>
      </c>
      <c r="M65" s="352" t="str">
        <f>Z65</f>
        <v/>
      </c>
      <c r="N65" s="204" t="str">
        <f>AA65</f>
        <v/>
      </c>
      <c r="O65" s="356" t="str">
        <f>AB65</f>
        <v/>
      </c>
      <c r="S65" s="362">
        <v>49</v>
      </c>
      <c r="T65" s="356" t="str">
        <f>IF($T$5="","",$T$5)</f>
        <v/>
      </c>
      <c r="U65" s="356" t="str">
        <f>IF($T$6="","",$T$6)</f>
        <v>Invoice</v>
      </c>
      <c r="V65" s="356" t="str">
        <f>'PARTS LIST SC'!$W59</f>
        <v/>
      </c>
      <c r="W65" s="356" t="str">
        <f>IF('PARTS LIST SC'!$B59="","",'PARTS LIST SC'!$B59)</f>
        <v/>
      </c>
      <c r="X65" s="356" t="str">
        <f>IF('PARTS LIST SC'!$C59="","",'PARTS LIST SC'!$C59)</f>
        <v/>
      </c>
      <c r="Y65" s="362" t="str">
        <f>IF('PARTS LIST SC'!$D59="","",'PARTS LIST SC'!$D59)</f>
        <v/>
      </c>
      <c r="Z65" s="361" t="str">
        <f>'PARTS LIST SC'!$X59</f>
        <v/>
      </c>
      <c r="AA65" s="356" t="str">
        <f>IF('Information Sales'!$K$7="","",'Information Sales'!$K$7)</f>
        <v/>
      </c>
      <c r="AB65" s="356" t="str">
        <f>IF($T$7="","",$T$7)</f>
        <v/>
      </c>
    </row>
    <row r="66" spans="2:28">
      <c r="B66" s="197">
        <v>50</v>
      </c>
      <c r="C66" s="197" t="str">
        <f>T66</f>
        <v/>
      </c>
      <c r="D66" s="197" t="str">
        <f>U66</f>
        <v>Invoice</v>
      </c>
      <c r="E66" s="214" t="str">
        <f>V66</f>
        <v/>
      </c>
      <c r="F66" s="343" t="str">
        <f>W66</f>
        <v/>
      </c>
      <c r="G66" s="343"/>
      <c r="H66" s="348" t="str">
        <f>X66</f>
        <v/>
      </c>
      <c r="I66" s="349"/>
      <c r="J66" s="349"/>
      <c r="K66" s="350"/>
      <c r="L66" s="203" t="str">
        <f>Y66</f>
        <v/>
      </c>
      <c r="M66" s="352" t="str">
        <f>Z66</f>
        <v/>
      </c>
      <c r="N66" s="204" t="str">
        <f>AA66</f>
        <v/>
      </c>
      <c r="O66" s="356" t="str">
        <f>AB66</f>
        <v/>
      </c>
      <c r="S66" s="362">
        <v>50</v>
      </c>
      <c r="T66" s="356" t="str">
        <f>IF($T$5="","",$T$5)</f>
        <v/>
      </c>
      <c r="U66" s="356" t="str">
        <f>IF($T$6="","",$T$6)</f>
        <v>Invoice</v>
      </c>
      <c r="V66" s="356" t="str">
        <f>'PARTS LIST SC'!$W60</f>
        <v/>
      </c>
      <c r="W66" s="356" t="str">
        <f>IF('PARTS LIST SC'!$B60="","",'PARTS LIST SC'!$B60)</f>
        <v/>
      </c>
      <c r="X66" s="356" t="str">
        <f>IF('PARTS LIST SC'!$C60="","",'PARTS LIST SC'!$C60)</f>
        <v/>
      </c>
      <c r="Y66" s="362" t="str">
        <f>IF('PARTS LIST SC'!$D60="","",'PARTS LIST SC'!$D60)</f>
        <v/>
      </c>
      <c r="Z66" s="361" t="str">
        <f>'PARTS LIST SC'!$X60</f>
        <v/>
      </c>
      <c r="AA66" s="356" t="str">
        <f>IF('Information Sales'!$K$7="","",'Information Sales'!$K$7)</f>
        <v/>
      </c>
      <c r="AB66" s="356" t="str">
        <f>IF($T$7="","",$T$7)</f>
        <v/>
      </c>
    </row>
    <row r="67" spans="2:28">
      <c r="B67" s="197">
        <v>51</v>
      </c>
      <c r="C67" s="197" t="str">
        <f>T67</f>
        <v/>
      </c>
      <c r="D67" s="197" t="str">
        <f>U67</f>
        <v>Invoice</v>
      </c>
      <c r="E67" s="214" t="str">
        <f>V67</f>
        <v/>
      </c>
      <c r="F67" s="343" t="str">
        <f>W67</f>
        <v/>
      </c>
      <c r="G67" s="343"/>
      <c r="H67" s="348" t="str">
        <f>X67</f>
        <v/>
      </c>
      <c r="I67" s="349"/>
      <c r="J67" s="349"/>
      <c r="K67" s="350"/>
      <c r="L67" s="203" t="str">
        <f>Y67</f>
        <v/>
      </c>
      <c r="M67" s="352" t="str">
        <f>Z67</f>
        <v/>
      </c>
      <c r="N67" s="204" t="str">
        <f>AA67</f>
        <v/>
      </c>
      <c r="O67" s="356" t="str">
        <f>AB67</f>
        <v/>
      </c>
      <c r="S67" s="362">
        <v>51</v>
      </c>
      <c r="T67" s="356" t="str">
        <f>IF($T$5="","",$T$5)</f>
        <v/>
      </c>
      <c r="U67" s="356" t="str">
        <f>IF($T$6="","",$T$6)</f>
        <v>Invoice</v>
      </c>
      <c r="V67" s="356" t="str">
        <f>'PARTS LIST SC'!$W61</f>
        <v/>
      </c>
      <c r="W67" s="356" t="str">
        <f>IF('PARTS LIST SC'!$B61="","",'PARTS LIST SC'!$B61)</f>
        <v/>
      </c>
      <c r="X67" s="356" t="str">
        <f>IF('PARTS LIST SC'!$C61="","",'PARTS LIST SC'!$C61)</f>
        <v/>
      </c>
      <c r="Y67" s="362" t="str">
        <f>IF('PARTS LIST SC'!$D61="","",'PARTS LIST SC'!$D61)</f>
        <v/>
      </c>
      <c r="Z67" s="361" t="str">
        <f>'PARTS LIST SC'!$X61</f>
        <v/>
      </c>
      <c r="AA67" s="356" t="str">
        <f>IF('Information Sales'!$K$7="","",'Information Sales'!$K$7)</f>
        <v/>
      </c>
      <c r="AB67" s="356" t="str">
        <f>IF($T$7="","",$T$7)</f>
        <v/>
      </c>
    </row>
    <row r="68" spans="2:28">
      <c r="B68" s="197">
        <v>52</v>
      </c>
      <c r="C68" s="197" t="str">
        <f>T68</f>
        <v/>
      </c>
      <c r="D68" s="197" t="str">
        <f>U68</f>
        <v>Invoice</v>
      </c>
      <c r="E68" s="214" t="str">
        <f>V68</f>
        <v/>
      </c>
      <c r="F68" s="343" t="str">
        <f>W68</f>
        <v/>
      </c>
      <c r="G68" s="343"/>
      <c r="H68" s="348" t="str">
        <f>X68</f>
        <v/>
      </c>
      <c r="I68" s="349"/>
      <c r="J68" s="349"/>
      <c r="K68" s="350"/>
      <c r="L68" s="203" t="str">
        <f>Y68</f>
        <v/>
      </c>
      <c r="M68" s="352" t="str">
        <f>Z68</f>
        <v/>
      </c>
      <c r="N68" s="204" t="str">
        <f>AA68</f>
        <v/>
      </c>
      <c r="O68" s="356" t="str">
        <f>AB68</f>
        <v/>
      </c>
      <c r="S68" s="362">
        <v>52</v>
      </c>
      <c r="T68" s="356" t="str">
        <f>IF($T$5="","",$T$5)</f>
        <v/>
      </c>
      <c r="U68" s="356" t="str">
        <f>IF($T$6="","",$T$6)</f>
        <v>Invoice</v>
      </c>
      <c r="V68" s="356" t="str">
        <f>'PARTS LIST SC'!$W62</f>
        <v/>
      </c>
      <c r="W68" s="356" t="str">
        <f>IF('PARTS LIST SC'!$B62="","",'PARTS LIST SC'!$B62)</f>
        <v/>
      </c>
      <c r="X68" s="356" t="str">
        <f>IF('PARTS LIST SC'!$C62="","",'PARTS LIST SC'!$C62)</f>
        <v/>
      </c>
      <c r="Y68" s="362" t="str">
        <f>IF('PARTS LIST SC'!$D62="","",'PARTS LIST SC'!$D62)</f>
        <v/>
      </c>
      <c r="Z68" s="361" t="str">
        <f>'PARTS LIST SC'!$X62</f>
        <v/>
      </c>
      <c r="AA68" s="356" t="str">
        <f>IF('Information Sales'!$K$7="","",'Information Sales'!$K$7)</f>
        <v/>
      </c>
      <c r="AB68" s="356" t="str">
        <f>IF($T$7="","",$T$7)</f>
        <v/>
      </c>
    </row>
    <row r="69" spans="2:28">
      <c r="B69" s="197">
        <v>53</v>
      </c>
      <c r="C69" s="197" t="str">
        <f>T69</f>
        <v/>
      </c>
      <c r="D69" s="197" t="str">
        <f>U69</f>
        <v>Invoice</v>
      </c>
      <c r="E69" s="214" t="str">
        <f>V69</f>
        <v/>
      </c>
      <c r="F69" s="343" t="str">
        <f>W69</f>
        <v/>
      </c>
      <c r="G69" s="343"/>
      <c r="H69" s="348" t="str">
        <f>X69</f>
        <v/>
      </c>
      <c r="I69" s="349"/>
      <c r="J69" s="349"/>
      <c r="K69" s="350"/>
      <c r="L69" s="203" t="str">
        <f>Y69</f>
        <v/>
      </c>
      <c r="M69" s="352" t="str">
        <f>Z69</f>
        <v/>
      </c>
      <c r="N69" s="204" t="str">
        <f>AA69</f>
        <v/>
      </c>
      <c r="O69" s="356" t="str">
        <f>AB69</f>
        <v/>
      </c>
      <c r="S69" s="362">
        <v>53</v>
      </c>
      <c r="T69" s="356" t="str">
        <f>IF($T$5="","",$T$5)</f>
        <v/>
      </c>
      <c r="U69" s="356" t="str">
        <f>IF($T$6="","",$T$6)</f>
        <v>Invoice</v>
      </c>
      <c r="V69" s="356" t="str">
        <f>'PARTS LIST SC'!$W63</f>
        <v/>
      </c>
      <c r="W69" s="356" t="str">
        <f>IF('PARTS LIST SC'!$B63="","",'PARTS LIST SC'!$B63)</f>
        <v/>
      </c>
      <c r="X69" s="356" t="str">
        <f>IF('PARTS LIST SC'!$C63="","",'PARTS LIST SC'!$C63)</f>
        <v/>
      </c>
      <c r="Y69" s="362" t="str">
        <f>IF('PARTS LIST SC'!$D63="","",'PARTS LIST SC'!$D63)</f>
        <v/>
      </c>
      <c r="Z69" s="361" t="str">
        <f>'PARTS LIST SC'!$X63</f>
        <v/>
      </c>
      <c r="AA69" s="356" t="str">
        <f>IF('Information Sales'!$K$7="","",'Information Sales'!$K$7)</f>
        <v/>
      </c>
      <c r="AB69" s="356" t="str">
        <f>IF($T$7="","",$T$7)</f>
        <v/>
      </c>
    </row>
    <row r="70" spans="2:28">
      <c r="B70" s="197">
        <v>54</v>
      </c>
      <c r="C70" s="197" t="str">
        <f>T70</f>
        <v/>
      </c>
      <c r="D70" s="197" t="str">
        <f>U70</f>
        <v>Invoice</v>
      </c>
      <c r="E70" s="214" t="str">
        <f>V70</f>
        <v/>
      </c>
      <c r="F70" s="343" t="str">
        <f>W70</f>
        <v/>
      </c>
      <c r="G70" s="343"/>
      <c r="H70" s="348" t="str">
        <f>X70</f>
        <v/>
      </c>
      <c r="I70" s="349"/>
      <c r="J70" s="349"/>
      <c r="K70" s="350"/>
      <c r="L70" s="203" t="str">
        <f>Y70</f>
        <v/>
      </c>
      <c r="M70" s="352" t="str">
        <f>Z70</f>
        <v/>
      </c>
      <c r="N70" s="204" t="str">
        <f>AA70</f>
        <v/>
      </c>
      <c r="O70" s="356" t="str">
        <f>AB70</f>
        <v/>
      </c>
      <c r="S70" s="362">
        <v>54</v>
      </c>
      <c r="T70" s="356" t="str">
        <f>IF($T$5="","",$T$5)</f>
        <v/>
      </c>
      <c r="U70" s="356" t="str">
        <f>IF($T$6="","",$T$6)</f>
        <v>Invoice</v>
      </c>
      <c r="V70" s="356" t="str">
        <f>'PARTS LIST SC'!$W64</f>
        <v/>
      </c>
      <c r="W70" s="356" t="str">
        <f>IF('PARTS LIST SC'!$B64="","",'PARTS LIST SC'!$B64)</f>
        <v/>
      </c>
      <c r="X70" s="356" t="str">
        <f>IF('PARTS LIST SC'!$C64="","",'PARTS LIST SC'!$C64)</f>
        <v/>
      </c>
      <c r="Y70" s="362" t="str">
        <f>IF('PARTS LIST SC'!$D64="","",'PARTS LIST SC'!$D64)</f>
        <v/>
      </c>
      <c r="Z70" s="361" t="str">
        <f>'PARTS LIST SC'!$X64</f>
        <v/>
      </c>
      <c r="AA70" s="356" t="str">
        <f>IF('Information Sales'!$K$7="","",'Information Sales'!$K$7)</f>
        <v/>
      </c>
      <c r="AB70" s="356" t="str">
        <f>IF($T$7="","",$T$7)</f>
        <v/>
      </c>
    </row>
    <row r="71" spans="2:28">
      <c r="B71" s="197">
        <v>55</v>
      </c>
      <c r="C71" s="197" t="str">
        <f>T71</f>
        <v/>
      </c>
      <c r="D71" s="197" t="str">
        <f>U71</f>
        <v>Invoice</v>
      </c>
      <c r="E71" s="214" t="str">
        <f>V71</f>
        <v/>
      </c>
      <c r="F71" s="343" t="str">
        <f>W71</f>
        <v/>
      </c>
      <c r="G71" s="343"/>
      <c r="H71" s="348" t="str">
        <f>X71</f>
        <v/>
      </c>
      <c r="I71" s="349"/>
      <c r="J71" s="349"/>
      <c r="K71" s="350"/>
      <c r="L71" s="203" t="str">
        <f>Y71</f>
        <v/>
      </c>
      <c r="M71" s="352" t="str">
        <f>Z71</f>
        <v/>
      </c>
      <c r="N71" s="204" t="str">
        <f>AA71</f>
        <v/>
      </c>
      <c r="O71" s="356" t="str">
        <f>AB71</f>
        <v/>
      </c>
      <c r="S71" s="362">
        <v>55</v>
      </c>
      <c r="T71" s="356" t="str">
        <f>IF($T$5="","",$T$5)</f>
        <v/>
      </c>
      <c r="U71" s="356" t="str">
        <f>IF($T$6="","",$T$6)</f>
        <v>Invoice</v>
      </c>
      <c r="V71" s="356" t="str">
        <f>'PARTS LIST SC'!$W65</f>
        <v/>
      </c>
      <c r="W71" s="356" t="str">
        <f>IF('PARTS LIST SC'!$B65="","",'PARTS LIST SC'!$B65)</f>
        <v/>
      </c>
      <c r="X71" s="356" t="str">
        <f>IF('PARTS LIST SC'!$C65="","",'PARTS LIST SC'!$C65)</f>
        <v/>
      </c>
      <c r="Y71" s="362" t="str">
        <f>IF('PARTS LIST SC'!$D65="","",'PARTS LIST SC'!$D65)</f>
        <v/>
      </c>
      <c r="Z71" s="361" t="str">
        <f>'PARTS LIST SC'!$X65</f>
        <v/>
      </c>
      <c r="AA71" s="356" t="str">
        <f>IF('Information Sales'!$K$7="","",'Information Sales'!$K$7)</f>
        <v/>
      </c>
      <c r="AB71" s="356" t="str">
        <f>IF($T$7="","",$T$7)</f>
        <v/>
      </c>
    </row>
    <row r="72" spans="2:28">
      <c r="B72" s="197">
        <v>56</v>
      </c>
      <c r="C72" s="197" t="str">
        <f>T72</f>
        <v/>
      </c>
      <c r="D72" s="197" t="str">
        <f>U72</f>
        <v>Invoice</v>
      </c>
      <c r="E72" s="214" t="str">
        <f>V72</f>
        <v/>
      </c>
      <c r="F72" s="343" t="str">
        <f>W72</f>
        <v/>
      </c>
      <c r="G72" s="343"/>
      <c r="H72" s="348" t="str">
        <f>X72</f>
        <v/>
      </c>
      <c r="I72" s="349"/>
      <c r="J72" s="349"/>
      <c r="K72" s="350"/>
      <c r="L72" s="203" t="str">
        <f>Y72</f>
        <v/>
      </c>
      <c r="M72" s="352" t="str">
        <f>Z72</f>
        <v/>
      </c>
      <c r="N72" s="204" t="str">
        <f>AA72</f>
        <v/>
      </c>
      <c r="O72" s="356" t="str">
        <f>AB72</f>
        <v/>
      </c>
      <c r="S72" s="362">
        <v>56</v>
      </c>
      <c r="T72" s="356" t="str">
        <f>IF($T$5="","",$T$5)</f>
        <v/>
      </c>
      <c r="U72" s="356" t="str">
        <f>IF($T$6="","",$T$6)</f>
        <v>Invoice</v>
      </c>
      <c r="V72" s="356" t="str">
        <f>'PARTS LIST SC'!$W66</f>
        <v/>
      </c>
      <c r="W72" s="356" t="str">
        <f>IF('PARTS LIST SC'!$B66="","",'PARTS LIST SC'!$B66)</f>
        <v/>
      </c>
      <c r="X72" s="356" t="str">
        <f>IF('PARTS LIST SC'!$C66="","",'PARTS LIST SC'!$C66)</f>
        <v/>
      </c>
      <c r="Y72" s="362" t="str">
        <f>IF('PARTS LIST SC'!$D66="","",'PARTS LIST SC'!$D66)</f>
        <v/>
      </c>
      <c r="Z72" s="361" t="str">
        <f>'PARTS LIST SC'!$X66</f>
        <v/>
      </c>
      <c r="AA72" s="356" t="str">
        <f>IF('Information Sales'!$K$7="","",'Information Sales'!$K$7)</f>
        <v/>
      </c>
      <c r="AB72" s="356" t="str">
        <f>IF($T$7="","",$T$7)</f>
        <v/>
      </c>
    </row>
    <row r="73" spans="2:28">
      <c r="B73" s="197">
        <v>57</v>
      </c>
      <c r="C73" s="197" t="str">
        <f>T73</f>
        <v/>
      </c>
      <c r="D73" s="197" t="str">
        <f>U73</f>
        <v>Invoice</v>
      </c>
      <c r="E73" s="214" t="str">
        <f>V73</f>
        <v/>
      </c>
      <c r="F73" s="343" t="str">
        <f>W73</f>
        <v/>
      </c>
      <c r="G73" s="343"/>
      <c r="H73" s="348" t="str">
        <f>X73</f>
        <v/>
      </c>
      <c r="I73" s="349"/>
      <c r="J73" s="349"/>
      <c r="K73" s="350"/>
      <c r="L73" s="203" t="str">
        <f>Y73</f>
        <v/>
      </c>
      <c r="M73" s="352" t="str">
        <f>Z73</f>
        <v/>
      </c>
      <c r="N73" s="204" t="str">
        <f>AA73</f>
        <v/>
      </c>
      <c r="O73" s="356" t="str">
        <f>AB73</f>
        <v/>
      </c>
      <c r="S73" s="362">
        <v>57</v>
      </c>
      <c r="T73" s="356" t="str">
        <f>IF($T$5="","",$T$5)</f>
        <v/>
      </c>
      <c r="U73" s="356" t="str">
        <f>IF($T$6="","",$T$6)</f>
        <v>Invoice</v>
      </c>
      <c r="V73" s="356" t="str">
        <f>'PARTS LIST SC'!$W67</f>
        <v/>
      </c>
      <c r="W73" s="356" t="str">
        <f>IF('PARTS LIST SC'!$B67="","",'PARTS LIST SC'!$B67)</f>
        <v/>
      </c>
      <c r="X73" s="356" t="str">
        <f>IF('PARTS LIST SC'!$C67="","",'PARTS LIST SC'!$C67)</f>
        <v/>
      </c>
      <c r="Y73" s="362" t="str">
        <f>IF('PARTS LIST SC'!$D67="","",'PARTS LIST SC'!$D67)</f>
        <v/>
      </c>
      <c r="Z73" s="361" t="str">
        <f>'PARTS LIST SC'!$X67</f>
        <v/>
      </c>
      <c r="AA73" s="356" t="str">
        <f>IF('Information Sales'!$K$7="","",'Information Sales'!$K$7)</f>
        <v/>
      </c>
      <c r="AB73" s="356" t="str">
        <f>IF($T$7="","",$T$7)</f>
        <v/>
      </c>
    </row>
    <row r="74" spans="2:28">
      <c r="B74" s="197">
        <v>58</v>
      </c>
      <c r="C74" s="197" t="str">
        <f>T74</f>
        <v/>
      </c>
      <c r="D74" s="197" t="str">
        <f>U74</f>
        <v>Invoice</v>
      </c>
      <c r="E74" s="214" t="str">
        <f>V74</f>
        <v/>
      </c>
      <c r="F74" s="343" t="str">
        <f>W74</f>
        <v/>
      </c>
      <c r="G74" s="343"/>
      <c r="H74" s="348" t="str">
        <f>X74</f>
        <v/>
      </c>
      <c r="I74" s="349"/>
      <c r="J74" s="349"/>
      <c r="K74" s="350"/>
      <c r="L74" s="203" t="str">
        <f>Y74</f>
        <v/>
      </c>
      <c r="M74" s="352" t="str">
        <f>Z74</f>
        <v/>
      </c>
      <c r="N74" s="204" t="str">
        <f>AA74</f>
        <v/>
      </c>
      <c r="O74" s="356" t="str">
        <f>AB74</f>
        <v/>
      </c>
      <c r="S74" s="362">
        <v>58</v>
      </c>
      <c r="T74" s="356" t="str">
        <f>IF($T$5="","",$T$5)</f>
        <v/>
      </c>
      <c r="U74" s="356" t="str">
        <f>IF($T$6="","",$T$6)</f>
        <v>Invoice</v>
      </c>
      <c r="V74" s="356" t="str">
        <f>'PARTS LIST SC'!$W68</f>
        <v/>
      </c>
      <c r="W74" s="356" t="str">
        <f>IF('PARTS LIST SC'!$B68="","",'PARTS LIST SC'!$B68)</f>
        <v/>
      </c>
      <c r="X74" s="356" t="str">
        <f>IF('PARTS LIST SC'!$C68="","",'PARTS LIST SC'!$C68)</f>
        <v/>
      </c>
      <c r="Y74" s="362" t="str">
        <f>IF('PARTS LIST SC'!$D68="","",'PARTS LIST SC'!$D68)</f>
        <v/>
      </c>
      <c r="Z74" s="361" t="str">
        <f>'PARTS LIST SC'!$X68</f>
        <v/>
      </c>
      <c r="AA74" s="356" t="str">
        <f>IF('Information Sales'!$K$7="","",'Information Sales'!$K$7)</f>
        <v/>
      </c>
      <c r="AB74" s="356" t="str">
        <f>IF($T$7="","",$T$7)</f>
        <v/>
      </c>
    </row>
    <row r="75" spans="2:28">
      <c r="B75" s="197">
        <v>59</v>
      </c>
      <c r="C75" s="197" t="str">
        <f>T75</f>
        <v/>
      </c>
      <c r="D75" s="197" t="str">
        <f>U75</f>
        <v>Invoice</v>
      </c>
      <c r="E75" s="214" t="str">
        <f>V75</f>
        <v/>
      </c>
      <c r="F75" s="343" t="str">
        <f>W75</f>
        <v/>
      </c>
      <c r="G75" s="343"/>
      <c r="H75" s="348" t="str">
        <f>X75</f>
        <v/>
      </c>
      <c r="I75" s="349"/>
      <c r="J75" s="349"/>
      <c r="K75" s="350"/>
      <c r="L75" s="203" t="str">
        <f>Y75</f>
        <v/>
      </c>
      <c r="M75" s="352" t="str">
        <f>Z75</f>
        <v/>
      </c>
      <c r="N75" s="204" t="str">
        <f>AA75</f>
        <v/>
      </c>
      <c r="O75" s="356" t="str">
        <f>AB75</f>
        <v/>
      </c>
      <c r="S75" s="362">
        <v>59</v>
      </c>
      <c r="T75" s="356" t="str">
        <f>IF($T$5="","",$T$5)</f>
        <v/>
      </c>
      <c r="U75" s="356" t="str">
        <f>IF($T$6="","",$T$6)</f>
        <v>Invoice</v>
      </c>
      <c r="V75" s="356" t="str">
        <f>'PARTS LIST SC'!$W69</f>
        <v/>
      </c>
      <c r="W75" s="356" t="str">
        <f>IF('PARTS LIST SC'!$B69="","",'PARTS LIST SC'!$B69)</f>
        <v/>
      </c>
      <c r="X75" s="356" t="str">
        <f>IF('PARTS LIST SC'!$C69="","",'PARTS LIST SC'!$C69)</f>
        <v/>
      </c>
      <c r="Y75" s="362" t="str">
        <f>IF('PARTS LIST SC'!$D69="","",'PARTS LIST SC'!$D69)</f>
        <v/>
      </c>
      <c r="Z75" s="361" t="str">
        <f>'PARTS LIST SC'!$X69</f>
        <v/>
      </c>
      <c r="AA75" s="356" t="str">
        <f>IF('Information Sales'!$K$7="","",'Information Sales'!$K$7)</f>
        <v/>
      </c>
      <c r="AB75" s="356" t="str">
        <f>IF($T$7="","",$T$7)</f>
        <v/>
      </c>
    </row>
    <row r="76" spans="2:28">
      <c r="B76" s="197">
        <v>60</v>
      </c>
      <c r="C76" s="197" t="str">
        <f>T76</f>
        <v/>
      </c>
      <c r="D76" s="197" t="str">
        <f>U76</f>
        <v>Invoice</v>
      </c>
      <c r="E76" s="214" t="str">
        <f>V76</f>
        <v/>
      </c>
      <c r="F76" s="343" t="str">
        <f>W76</f>
        <v/>
      </c>
      <c r="G76" s="343"/>
      <c r="H76" s="348" t="str">
        <f>X76</f>
        <v/>
      </c>
      <c r="I76" s="349"/>
      <c r="J76" s="349"/>
      <c r="K76" s="350"/>
      <c r="L76" s="203" t="str">
        <f>Y76</f>
        <v/>
      </c>
      <c r="M76" s="352" t="str">
        <f>Z76</f>
        <v/>
      </c>
      <c r="N76" s="204" t="str">
        <f>AA76</f>
        <v/>
      </c>
      <c r="O76" s="356" t="str">
        <f>AB76</f>
        <v/>
      </c>
      <c r="S76" s="362">
        <v>60</v>
      </c>
      <c r="T76" s="356" t="str">
        <f>IF($T$5="","",$T$5)</f>
        <v/>
      </c>
      <c r="U76" s="356" t="str">
        <f>IF($T$6="","",$T$6)</f>
        <v>Invoice</v>
      </c>
      <c r="V76" s="356" t="str">
        <f>'PARTS LIST SC'!$W70</f>
        <v/>
      </c>
      <c r="W76" s="356" t="str">
        <f>IF('PARTS LIST SC'!$B70="","",'PARTS LIST SC'!$B70)</f>
        <v/>
      </c>
      <c r="X76" s="356" t="str">
        <f>IF('PARTS LIST SC'!$C70="","",'PARTS LIST SC'!$C70)</f>
        <v/>
      </c>
      <c r="Y76" s="362" t="str">
        <f>IF('PARTS LIST SC'!$D70="","",'PARTS LIST SC'!$D70)</f>
        <v/>
      </c>
      <c r="Z76" s="361" t="str">
        <f>'PARTS LIST SC'!$X70</f>
        <v/>
      </c>
      <c r="AA76" s="356" t="str">
        <f>IF('Information Sales'!$K$7="","",'Information Sales'!$K$7)</f>
        <v/>
      </c>
      <c r="AB76" s="356" t="str">
        <f>IF($T$7="","",$T$7)</f>
        <v/>
      </c>
    </row>
    <row r="77" spans="2:28">
      <c r="B77" s="197">
        <v>61</v>
      </c>
      <c r="C77" s="197" t="str">
        <f>T77</f>
        <v/>
      </c>
      <c r="D77" s="197" t="str">
        <f>U77</f>
        <v>Invoice</v>
      </c>
      <c r="E77" s="214" t="str">
        <f>V77</f>
        <v/>
      </c>
      <c r="F77" s="343" t="str">
        <f>W77</f>
        <v/>
      </c>
      <c r="G77" s="343"/>
      <c r="H77" s="348" t="str">
        <f>X77</f>
        <v/>
      </c>
      <c r="I77" s="349"/>
      <c r="J77" s="349"/>
      <c r="K77" s="350"/>
      <c r="L77" s="203" t="str">
        <f>Y77</f>
        <v/>
      </c>
      <c r="M77" s="352" t="str">
        <f>Z77</f>
        <v/>
      </c>
      <c r="N77" s="204" t="str">
        <f>AA77</f>
        <v/>
      </c>
      <c r="O77" s="356" t="str">
        <f>AB77</f>
        <v/>
      </c>
      <c r="S77" s="362">
        <v>61</v>
      </c>
      <c r="T77" s="356" t="str">
        <f>IF($T$5="","",$T$5)</f>
        <v/>
      </c>
      <c r="U77" s="356" t="str">
        <f>IF($T$6="","",$T$6)</f>
        <v>Invoice</v>
      </c>
      <c r="V77" s="356" t="str">
        <f>'PARTS LIST SC'!$W71</f>
        <v/>
      </c>
      <c r="W77" s="356" t="str">
        <f>IF('PARTS LIST SC'!$B71="","",'PARTS LIST SC'!$B71)</f>
        <v/>
      </c>
      <c r="X77" s="356" t="str">
        <f>IF('PARTS LIST SC'!$C71="","",'PARTS LIST SC'!$C71)</f>
        <v/>
      </c>
      <c r="Y77" s="362" t="str">
        <f>IF('PARTS LIST SC'!$D71="","",'PARTS LIST SC'!$D71)</f>
        <v/>
      </c>
      <c r="Z77" s="361" t="str">
        <f>'PARTS LIST SC'!$X71</f>
        <v/>
      </c>
      <c r="AA77" s="356" t="str">
        <f>IF('Information Sales'!$K$7="","",'Information Sales'!$K$7)</f>
        <v/>
      </c>
      <c r="AB77" s="356" t="str">
        <f>IF($T$7="","",$T$7)</f>
        <v/>
      </c>
    </row>
    <row r="78" spans="2:28">
      <c r="B78" s="197">
        <v>62</v>
      </c>
      <c r="C78" s="197" t="str">
        <f>T78</f>
        <v/>
      </c>
      <c r="D78" s="197" t="str">
        <f>U78</f>
        <v>Invoice</v>
      </c>
      <c r="E78" s="214" t="str">
        <f>V78</f>
        <v/>
      </c>
      <c r="F78" s="343" t="str">
        <f>W78</f>
        <v/>
      </c>
      <c r="G78" s="343"/>
      <c r="H78" s="348" t="str">
        <f>X78</f>
        <v/>
      </c>
      <c r="I78" s="349"/>
      <c r="J78" s="349"/>
      <c r="K78" s="350"/>
      <c r="L78" s="203" t="str">
        <f>Y78</f>
        <v/>
      </c>
      <c r="M78" s="352" t="str">
        <f>Z78</f>
        <v/>
      </c>
      <c r="N78" s="204" t="str">
        <f>AA78</f>
        <v/>
      </c>
      <c r="O78" s="356" t="str">
        <f>AB78</f>
        <v/>
      </c>
      <c r="S78" s="362">
        <v>62</v>
      </c>
      <c r="T78" s="356" t="str">
        <f>IF($T$5="","",$T$5)</f>
        <v/>
      </c>
      <c r="U78" s="356" t="str">
        <f>IF($T$6="","",$T$6)</f>
        <v>Invoice</v>
      </c>
      <c r="V78" s="356" t="str">
        <f>'PARTS LIST SC'!$W72</f>
        <v/>
      </c>
      <c r="W78" s="356" t="str">
        <f>IF('PARTS LIST SC'!$B72="","",'PARTS LIST SC'!$B72)</f>
        <v/>
      </c>
      <c r="X78" s="356" t="str">
        <f>IF('PARTS LIST SC'!$C72="","",'PARTS LIST SC'!$C72)</f>
        <v/>
      </c>
      <c r="Y78" s="362" t="str">
        <f>IF('PARTS LIST SC'!$D72="","",'PARTS LIST SC'!$D72)</f>
        <v/>
      </c>
      <c r="Z78" s="361" t="str">
        <f>'PARTS LIST SC'!$X72</f>
        <v/>
      </c>
      <c r="AA78" s="356" t="str">
        <f>IF('Information Sales'!$K$7="","",'Information Sales'!$K$7)</f>
        <v/>
      </c>
      <c r="AB78" s="356" t="str">
        <f>IF($T$7="","",$T$7)</f>
        <v/>
      </c>
    </row>
    <row r="79" spans="2:28">
      <c r="B79" s="197">
        <v>63</v>
      </c>
      <c r="C79" s="197" t="str">
        <f>T79</f>
        <v/>
      </c>
      <c r="D79" s="197" t="str">
        <f>U79</f>
        <v>Invoice</v>
      </c>
      <c r="E79" s="214" t="str">
        <f>V79</f>
        <v/>
      </c>
      <c r="F79" s="343" t="str">
        <f>W79</f>
        <v/>
      </c>
      <c r="G79" s="343"/>
      <c r="H79" s="348" t="str">
        <f>X79</f>
        <v/>
      </c>
      <c r="I79" s="349"/>
      <c r="J79" s="349"/>
      <c r="K79" s="350"/>
      <c r="L79" s="203" t="str">
        <f>Y79</f>
        <v/>
      </c>
      <c r="M79" s="352" t="str">
        <f>Z79</f>
        <v/>
      </c>
      <c r="N79" s="204" t="str">
        <f>AA79</f>
        <v/>
      </c>
      <c r="O79" s="356" t="str">
        <f>AB79</f>
        <v/>
      </c>
      <c r="S79" s="362">
        <v>63</v>
      </c>
      <c r="T79" s="356" t="str">
        <f>IF($T$5="","",$T$5)</f>
        <v/>
      </c>
      <c r="U79" s="356" t="str">
        <f>IF($T$6="","",$T$6)</f>
        <v>Invoice</v>
      </c>
      <c r="V79" s="356" t="str">
        <f>'PARTS LIST SC'!$W73</f>
        <v/>
      </c>
      <c r="W79" s="356" t="str">
        <f>IF('PARTS LIST SC'!$B73="","",'PARTS LIST SC'!$B73)</f>
        <v/>
      </c>
      <c r="X79" s="356" t="str">
        <f>IF('PARTS LIST SC'!$C73="","",'PARTS LIST SC'!$C73)</f>
        <v/>
      </c>
      <c r="Y79" s="362" t="str">
        <f>IF('PARTS LIST SC'!$D73="","",'PARTS LIST SC'!$D73)</f>
        <v/>
      </c>
      <c r="Z79" s="361" t="str">
        <f>'PARTS LIST SC'!$X73</f>
        <v/>
      </c>
      <c r="AA79" s="356" t="str">
        <f>IF('Information Sales'!$K$7="","",'Information Sales'!$K$7)</f>
        <v/>
      </c>
      <c r="AB79" s="356" t="str">
        <f>IF($T$7="","",$T$7)</f>
        <v/>
      </c>
    </row>
    <row r="80" spans="2:28">
      <c r="B80" s="197">
        <v>64</v>
      </c>
      <c r="C80" s="197" t="str">
        <f>T80</f>
        <v/>
      </c>
      <c r="D80" s="197" t="str">
        <f>U80</f>
        <v>Invoice</v>
      </c>
      <c r="E80" s="214" t="str">
        <f>V80</f>
        <v/>
      </c>
      <c r="F80" s="343" t="str">
        <f>W80</f>
        <v/>
      </c>
      <c r="G80" s="343"/>
      <c r="H80" s="348" t="str">
        <f>X80</f>
        <v/>
      </c>
      <c r="I80" s="349"/>
      <c r="J80" s="349"/>
      <c r="K80" s="350"/>
      <c r="L80" s="203" t="str">
        <f>Y80</f>
        <v/>
      </c>
      <c r="M80" s="352" t="str">
        <f>Z80</f>
        <v/>
      </c>
      <c r="N80" s="204" t="str">
        <f>AA80</f>
        <v/>
      </c>
      <c r="O80" s="356" t="str">
        <f>AB80</f>
        <v/>
      </c>
      <c r="S80" s="362">
        <v>64</v>
      </c>
      <c r="T80" s="356" t="str">
        <f>IF($T$5="","",$T$5)</f>
        <v/>
      </c>
      <c r="U80" s="356" t="str">
        <f>IF($T$6="","",$T$6)</f>
        <v>Invoice</v>
      </c>
      <c r="V80" s="356" t="str">
        <f>'PARTS LIST SC'!$W74</f>
        <v/>
      </c>
      <c r="W80" s="356" t="str">
        <f>IF('PARTS LIST SC'!$B74="","",'PARTS LIST SC'!$B74)</f>
        <v/>
      </c>
      <c r="X80" s="356" t="str">
        <f>IF('PARTS LIST SC'!$C74="","",'PARTS LIST SC'!$C74)</f>
        <v/>
      </c>
      <c r="Y80" s="362" t="str">
        <f>IF('PARTS LIST SC'!$D74="","",'PARTS LIST SC'!$D74)</f>
        <v/>
      </c>
      <c r="Z80" s="361" t="str">
        <f>'PARTS LIST SC'!$X74</f>
        <v/>
      </c>
      <c r="AA80" s="356" t="str">
        <f>IF('Information Sales'!$K$7="","",'Information Sales'!$K$7)</f>
        <v/>
      </c>
      <c r="AB80" s="356" t="str">
        <f>IF($T$7="","",$T$7)</f>
        <v/>
      </c>
    </row>
    <row r="81" spans="2:28">
      <c r="B81" s="197">
        <v>65</v>
      </c>
      <c r="C81" s="197" t="str">
        <f>T81</f>
        <v/>
      </c>
      <c r="D81" s="197" t="str">
        <f>U81</f>
        <v>Invoice</v>
      </c>
      <c r="E81" s="214" t="str">
        <f>V81</f>
        <v/>
      </c>
      <c r="F81" s="343" t="str">
        <f>W81</f>
        <v/>
      </c>
      <c r="G81" s="343"/>
      <c r="H81" s="348" t="str">
        <f>X81</f>
        <v/>
      </c>
      <c r="I81" s="349"/>
      <c r="J81" s="349"/>
      <c r="K81" s="350"/>
      <c r="L81" s="203" t="str">
        <f>Y81</f>
        <v/>
      </c>
      <c r="M81" s="352" t="str">
        <f>Z81</f>
        <v/>
      </c>
      <c r="N81" s="204" t="str">
        <f>AA81</f>
        <v/>
      </c>
      <c r="O81" s="356" t="str">
        <f>AB81</f>
        <v/>
      </c>
      <c r="S81" s="362">
        <v>65</v>
      </c>
      <c r="T81" s="356" t="str">
        <f>IF($T$5="","",$T$5)</f>
        <v/>
      </c>
      <c r="U81" s="356" t="str">
        <f>IF($T$6="","",$T$6)</f>
        <v>Invoice</v>
      </c>
      <c r="V81" s="356" t="str">
        <f>'PARTS LIST SC'!$W75</f>
        <v/>
      </c>
      <c r="W81" s="356" t="str">
        <f>IF('PARTS LIST SC'!$B75="","",'PARTS LIST SC'!$B75)</f>
        <v/>
      </c>
      <c r="X81" s="356" t="str">
        <f>IF('PARTS LIST SC'!$C75="","",'PARTS LIST SC'!$C75)</f>
        <v/>
      </c>
      <c r="Y81" s="362" t="str">
        <f>IF('PARTS LIST SC'!$D75="","",'PARTS LIST SC'!$D75)</f>
        <v/>
      </c>
      <c r="Z81" s="361" t="str">
        <f>'PARTS LIST SC'!$X75</f>
        <v/>
      </c>
      <c r="AA81" s="356" t="str">
        <f>IF('Information Sales'!$K$7="","",'Information Sales'!$K$7)</f>
        <v/>
      </c>
      <c r="AB81" s="356" t="str">
        <f>IF($T$7="","",$T$7)</f>
        <v/>
      </c>
    </row>
    <row r="82" spans="2:28">
      <c r="B82" s="197">
        <v>66</v>
      </c>
      <c r="C82" s="197" t="str">
        <f>T82</f>
        <v/>
      </c>
      <c r="D82" s="197" t="str">
        <f>U82</f>
        <v>Invoice</v>
      </c>
      <c r="E82" s="214" t="str">
        <f>V82</f>
        <v/>
      </c>
      <c r="F82" s="343" t="str">
        <f>W82</f>
        <v/>
      </c>
      <c r="G82" s="343"/>
      <c r="H82" s="348" t="str">
        <f>X82</f>
        <v/>
      </c>
      <c r="I82" s="349"/>
      <c r="J82" s="349"/>
      <c r="K82" s="350"/>
      <c r="L82" s="203" t="str">
        <f>Y82</f>
        <v/>
      </c>
      <c r="M82" s="352" t="str">
        <f>Z82</f>
        <v/>
      </c>
      <c r="N82" s="204" t="str">
        <f>AA82</f>
        <v/>
      </c>
      <c r="O82" s="356" t="str">
        <f>AB82</f>
        <v/>
      </c>
      <c r="S82" s="362">
        <v>66</v>
      </c>
      <c r="T82" s="356" t="str">
        <f>IF($T$5="","",$T$5)</f>
        <v/>
      </c>
      <c r="U82" s="356" t="str">
        <f>IF($T$6="","",$T$6)</f>
        <v>Invoice</v>
      </c>
      <c r="V82" s="356" t="str">
        <f>'PARTS LIST SC'!$W76</f>
        <v/>
      </c>
      <c r="W82" s="356" t="str">
        <f>IF('PARTS LIST SC'!$B76="","",'PARTS LIST SC'!$B76)</f>
        <v/>
      </c>
      <c r="X82" s="356" t="str">
        <f>IF('PARTS LIST SC'!$C76="","",'PARTS LIST SC'!$C76)</f>
        <v/>
      </c>
      <c r="Y82" s="362" t="str">
        <f>IF('PARTS LIST SC'!$D76="","",'PARTS LIST SC'!$D76)</f>
        <v/>
      </c>
      <c r="Z82" s="361" t="str">
        <f>'PARTS LIST SC'!$X76</f>
        <v/>
      </c>
      <c r="AA82" s="356" t="str">
        <f>IF('Information Sales'!$K$7="","",'Information Sales'!$K$7)</f>
        <v/>
      </c>
      <c r="AB82" s="356" t="str">
        <f>IF($T$7="","",$T$7)</f>
        <v/>
      </c>
    </row>
    <row r="83" spans="2:28">
      <c r="B83" s="197">
        <v>67</v>
      </c>
      <c r="C83" s="197" t="str">
        <f>T83</f>
        <v/>
      </c>
      <c r="D83" s="197" t="str">
        <f>U83</f>
        <v>Invoice</v>
      </c>
      <c r="E83" s="214" t="str">
        <f>V83</f>
        <v/>
      </c>
      <c r="F83" s="343" t="str">
        <f>W83</f>
        <v/>
      </c>
      <c r="G83" s="343"/>
      <c r="H83" s="348" t="str">
        <f>X83</f>
        <v/>
      </c>
      <c r="I83" s="349"/>
      <c r="J83" s="349"/>
      <c r="K83" s="350"/>
      <c r="L83" s="203" t="str">
        <f>Y83</f>
        <v/>
      </c>
      <c r="M83" s="352" t="str">
        <f>Z83</f>
        <v/>
      </c>
      <c r="N83" s="204" t="str">
        <f>AA83</f>
        <v/>
      </c>
      <c r="O83" s="356" t="str">
        <f>AB83</f>
        <v/>
      </c>
      <c r="S83" s="362">
        <v>67</v>
      </c>
      <c r="T83" s="356" t="str">
        <f>IF($T$5="","",$T$5)</f>
        <v/>
      </c>
      <c r="U83" s="356" t="str">
        <f>IF($T$6="","",$T$6)</f>
        <v>Invoice</v>
      </c>
      <c r="V83" s="356" t="str">
        <f>'PARTS LIST SC'!$W77</f>
        <v/>
      </c>
      <c r="W83" s="356" t="str">
        <f>IF('PARTS LIST SC'!$B77="","",'PARTS LIST SC'!$B77)</f>
        <v/>
      </c>
      <c r="X83" s="356" t="str">
        <f>IF('PARTS LIST SC'!$C77="","",'PARTS LIST SC'!$C77)</f>
        <v/>
      </c>
      <c r="Y83" s="362" t="str">
        <f>IF('PARTS LIST SC'!$D77="","",'PARTS LIST SC'!$D77)</f>
        <v/>
      </c>
      <c r="Z83" s="361" t="str">
        <f>'PARTS LIST SC'!$X77</f>
        <v/>
      </c>
      <c r="AA83" s="356" t="str">
        <f>IF('Information Sales'!$K$7="","",'Information Sales'!$K$7)</f>
        <v/>
      </c>
      <c r="AB83" s="356" t="str">
        <f>IF($T$7="","",$T$7)</f>
        <v/>
      </c>
    </row>
    <row r="84" spans="2:28">
      <c r="B84" s="197">
        <v>68</v>
      </c>
      <c r="C84" s="197" t="str">
        <f>T84</f>
        <v/>
      </c>
      <c r="D84" s="197" t="str">
        <f>U84</f>
        <v>Invoice</v>
      </c>
      <c r="E84" s="214" t="str">
        <f>V84</f>
        <v/>
      </c>
      <c r="F84" s="343" t="str">
        <f>W84</f>
        <v/>
      </c>
      <c r="G84" s="343"/>
      <c r="H84" s="348" t="str">
        <f>X84</f>
        <v/>
      </c>
      <c r="I84" s="349"/>
      <c r="J84" s="349"/>
      <c r="K84" s="350"/>
      <c r="L84" s="203" t="str">
        <f>Y84</f>
        <v/>
      </c>
      <c r="M84" s="352" t="str">
        <f>Z84</f>
        <v/>
      </c>
      <c r="N84" s="204" t="str">
        <f>AA84</f>
        <v/>
      </c>
      <c r="O84" s="356" t="str">
        <f>AB84</f>
        <v/>
      </c>
      <c r="S84" s="362">
        <v>68</v>
      </c>
      <c r="T84" s="356" t="str">
        <f>IF($T$5="","",$T$5)</f>
        <v/>
      </c>
      <c r="U84" s="356" t="str">
        <f>IF($T$6="","",$T$6)</f>
        <v>Invoice</v>
      </c>
      <c r="V84" s="356" t="str">
        <f>'PARTS LIST SC'!$W78</f>
        <v/>
      </c>
      <c r="W84" s="356" t="str">
        <f>IF('PARTS LIST SC'!$B78="","",'PARTS LIST SC'!$B78)</f>
        <v/>
      </c>
      <c r="X84" s="356" t="str">
        <f>IF('PARTS LIST SC'!$C78="","",'PARTS LIST SC'!$C78)</f>
        <v/>
      </c>
      <c r="Y84" s="362" t="str">
        <f>IF('PARTS LIST SC'!$D78="","",'PARTS LIST SC'!$D78)</f>
        <v/>
      </c>
      <c r="Z84" s="361" t="str">
        <f>'PARTS LIST SC'!$X78</f>
        <v/>
      </c>
      <c r="AA84" s="356" t="str">
        <f>IF('Information Sales'!$K$7="","",'Information Sales'!$K$7)</f>
        <v/>
      </c>
      <c r="AB84" s="356" t="str">
        <f>IF($T$7="","",$T$7)</f>
        <v/>
      </c>
    </row>
    <row r="85" spans="2:28">
      <c r="B85" s="197">
        <v>69</v>
      </c>
      <c r="C85" s="197" t="str">
        <f>T85</f>
        <v/>
      </c>
      <c r="D85" s="197" t="str">
        <f>U85</f>
        <v>Invoice</v>
      </c>
      <c r="E85" s="214" t="str">
        <f>V85</f>
        <v/>
      </c>
      <c r="F85" s="343" t="str">
        <f>W85</f>
        <v/>
      </c>
      <c r="G85" s="343"/>
      <c r="H85" s="348" t="str">
        <f>X85</f>
        <v/>
      </c>
      <c r="I85" s="349"/>
      <c r="J85" s="349"/>
      <c r="K85" s="350"/>
      <c r="L85" s="203" t="str">
        <f>Y85</f>
        <v/>
      </c>
      <c r="M85" s="352" t="str">
        <f>Z85</f>
        <v/>
      </c>
      <c r="N85" s="204" t="str">
        <f>AA85</f>
        <v/>
      </c>
      <c r="O85" s="356" t="str">
        <f>AB85</f>
        <v/>
      </c>
      <c r="S85" s="362">
        <v>69</v>
      </c>
      <c r="T85" s="356" t="str">
        <f>IF($T$5="","",$T$5)</f>
        <v/>
      </c>
      <c r="U85" s="356" t="str">
        <f>IF($T$6="","",$T$6)</f>
        <v>Invoice</v>
      </c>
      <c r="V85" s="356" t="str">
        <f>'PARTS LIST SC'!$W79</f>
        <v/>
      </c>
      <c r="W85" s="356" t="str">
        <f>IF('PARTS LIST SC'!$B79="","",'PARTS LIST SC'!$B79)</f>
        <v/>
      </c>
      <c r="X85" s="356" t="str">
        <f>IF('PARTS LIST SC'!$C79="","",'PARTS LIST SC'!$C79)</f>
        <v/>
      </c>
      <c r="Y85" s="362" t="str">
        <f>IF('PARTS LIST SC'!$D79="","",'PARTS LIST SC'!$D79)</f>
        <v/>
      </c>
      <c r="Z85" s="361" t="str">
        <f>'PARTS LIST SC'!$X79</f>
        <v/>
      </c>
      <c r="AA85" s="356" t="str">
        <f>IF('Information Sales'!$K$7="","",'Information Sales'!$K$7)</f>
        <v/>
      </c>
      <c r="AB85" s="356" t="str">
        <f>IF($T$7="","",$T$7)</f>
        <v/>
      </c>
    </row>
    <row r="86" spans="2:28">
      <c r="B86" s="197">
        <v>70</v>
      </c>
      <c r="C86" s="197" t="str">
        <f>T86</f>
        <v/>
      </c>
      <c r="D86" s="197" t="str">
        <f>U86</f>
        <v>Invoice</v>
      </c>
      <c r="E86" s="214" t="str">
        <f>V86</f>
        <v/>
      </c>
      <c r="F86" s="343" t="str">
        <f>W86</f>
        <v/>
      </c>
      <c r="G86" s="343"/>
      <c r="H86" s="348" t="str">
        <f>X86</f>
        <v/>
      </c>
      <c r="I86" s="349"/>
      <c r="J86" s="349"/>
      <c r="K86" s="350"/>
      <c r="L86" s="203" t="str">
        <f>Y86</f>
        <v/>
      </c>
      <c r="M86" s="352" t="str">
        <f>Z86</f>
        <v/>
      </c>
      <c r="N86" s="204" t="str">
        <f>AA86</f>
        <v/>
      </c>
      <c r="O86" s="356" t="str">
        <f>AB86</f>
        <v/>
      </c>
      <c r="S86" s="362">
        <v>70</v>
      </c>
      <c r="T86" s="356" t="str">
        <f>IF($T$5="","",$T$5)</f>
        <v/>
      </c>
      <c r="U86" s="356" t="str">
        <f>IF($T$6="","",$T$6)</f>
        <v>Invoice</v>
      </c>
      <c r="V86" s="356" t="str">
        <f>'PARTS LIST SC'!$W80</f>
        <v/>
      </c>
      <c r="W86" s="356" t="str">
        <f>IF('PARTS LIST SC'!$B80="","",'PARTS LIST SC'!$B80)</f>
        <v/>
      </c>
      <c r="X86" s="356" t="str">
        <f>IF('PARTS LIST SC'!$C80="","",'PARTS LIST SC'!$C80)</f>
        <v/>
      </c>
      <c r="Y86" s="362" t="str">
        <f>IF('PARTS LIST SC'!$D80="","",'PARTS LIST SC'!$D80)</f>
        <v/>
      </c>
      <c r="Z86" s="361" t="str">
        <f>'PARTS LIST SC'!$X80</f>
        <v/>
      </c>
      <c r="AA86" s="356" t="str">
        <f>IF('Information Sales'!$K$7="","",'Information Sales'!$K$7)</f>
        <v/>
      </c>
      <c r="AB86" s="356" t="str">
        <f>IF($T$7="","",$T$7)</f>
        <v/>
      </c>
    </row>
    <row r="87" spans="2:28">
      <c r="B87" s="197">
        <v>71</v>
      </c>
      <c r="C87" s="197" t="str">
        <f>T87</f>
        <v/>
      </c>
      <c r="D87" s="197" t="str">
        <f>U87</f>
        <v>Invoice</v>
      </c>
      <c r="E87" s="214" t="str">
        <f>V87</f>
        <v/>
      </c>
      <c r="F87" s="343" t="str">
        <f>W87</f>
        <v/>
      </c>
      <c r="G87" s="343"/>
      <c r="H87" s="348" t="str">
        <f>X87</f>
        <v/>
      </c>
      <c r="I87" s="349"/>
      <c r="J87" s="349"/>
      <c r="K87" s="350"/>
      <c r="L87" s="203" t="str">
        <f>Y87</f>
        <v/>
      </c>
      <c r="M87" s="352" t="str">
        <f>Z87</f>
        <v/>
      </c>
      <c r="N87" s="204" t="str">
        <f>AA87</f>
        <v/>
      </c>
      <c r="O87" s="356" t="str">
        <f>AB87</f>
        <v/>
      </c>
      <c r="S87" s="362">
        <v>71</v>
      </c>
      <c r="T87" s="356" t="str">
        <f>IF($T$5="","",$T$5)</f>
        <v/>
      </c>
      <c r="U87" s="356" t="str">
        <f>IF($T$6="","",$T$6)</f>
        <v>Invoice</v>
      </c>
      <c r="V87" s="356" t="str">
        <f>'PARTS LIST SC'!$W81</f>
        <v/>
      </c>
      <c r="W87" s="356" t="str">
        <f>IF('PARTS LIST SC'!$B81="","",'PARTS LIST SC'!$B81)</f>
        <v/>
      </c>
      <c r="X87" s="356" t="str">
        <f>IF('PARTS LIST SC'!$C81="","",'PARTS LIST SC'!$C81)</f>
        <v/>
      </c>
      <c r="Y87" s="362" t="str">
        <f>IF('PARTS LIST SC'!$D81="","",'PARTS LIST SC'!$D81)</f>
        <v/>
      </c>
      <c r="Z87" s="361" t="str">
        <f>'PARTS LIST SC'!$X81</f>
        <v/>
      </c>
      <c r="AA87" s="356" t="str">
        <f>IF('Information Sales'!$K$7="","",'Information Sales'!$K$7)</f>
        <v/>
      </c>
      <c r="AB87" s="356" t="str">
        <f>IF($T$7="","",$T$7)</f>
        <v/>
      </c>
    </row>
    <row r="88" spans="2:28">
      <c r="B88" s="197">
        <v>72</v>
      </c>
      <c r="C88" s="197" t="str">
        <f>T88</f>
        <v/>
      </c>
      <c r="D88" s="197" t="str">
        <f>U88</f>
        <v>Invoice</v>
      </c>
      <c r="E88" s="214" t="str">
        <f>V88</f>
        <v/>
      </c>
      <c r="F88" s="343" t="str">
        <f>W88</f>
        <v/>
      </c>
      <c r="G88" s="343"/>
      <c r="H88" s="348" t="str">
        <f>X88</f>
        <v/>
      </c>
      <c r="I88" s="349"/>
      <c r="J88" s="349"/>
      <c r="K88" s="350"/>
      <c r="L88" s="203" t="str">
        <f>Y88</f>
        <v/>
      </c>
      <c r="M88" s="352" t="str">
        <f>Z88</f>
        <v/>
      </c>
      <c r="N88" s="204" t="str">
        <f>AA88</f>
        <v/>
      </c>
      <c r="O88" s="356" t="str">
        <f>AB88</f>
        <v/>
      </c>
      <c r="S88" s="362">
        <v>72</v>
      </c>
      <c r="T88" s="356" t="str">
        <f>IF($T$5="","",$T$5)</f>
        <v/>
      </c>
      <c r="U88" s="356" t="str">
        <f>IF($T$6="","",$T$6)</f>
        <v>Invoice</v>
      </c>
      <c r="V88" s="356" t="str">
        <f>'PARTS LIST SC'!$W82</f>
        <v/>
      </c>
      <c r="W88" s="356" t="str">
        <f>IF('PARTS LIST SC'!$B82="","",'PARTS LIST SC'!$B82)</f>
        <v/>
      </c>
      <c r="X88" s="356" t="str">
        <f>IF('PARTS LIST SC'!$C82="","",'PARTS LIST SC'!$C82)</f>
        <v/>
      </c>
      <c r="Y88" s="362" t="str">
        <f>IF('PARTS LIST SC'!$D82="","",'PARTS LIST SC'!$D82)</f>
        <v/>
      </c>
      <c r="Z88" s="361" t="str">
        <f>'PARTS LIST SC'!$X82</f>
        <v/>
      </c>
      <c r="AA88" s="356" t="str">
        <f>IF('Information Sales'!$K$7="","",'Information Sales'!$K$7)</f>
        <v/>
      </c>
      <c r="AB88" s="356" t="str">
        <f>IF($T$7="","",$T$7)</f>
        <v/>
      </c>
    </row>
    <row r="89" spans="2:28">
      <c r="B89" s="197">
        <v>73</v>
      </c>
      <c r="C89" s="197" t="str">
        <f>T89</f>
        <v/>
      </c>
      <c r="D89" s="197" t="str">
        <f>U89</f>
        <v>Invoice</v>
      </c>
      <c r="E89" s="214" t="str">
        <f>V89</f>
        <v/>
      </c>
      <c r="F89" s="343" t="str">
        <f>W89</f>
        <v/>
      </c>
      <c r="G89" s="343"/>
      <c r="H89" s="348" t="str">
        <f>X89</f>
        <v/>
      </c>
      <c r="I89" s="349"/>
      <c r="J89" s="349"/>
      <c r="K89" s="350"/>
      <c r="L89" s="203" t="str">
        <f>Y89</f>
        <v/>
      </c>
      <c r="M89" s="352" t="str">
        <f>Z89</f>
        <v/>
      </c>
      <c r="N89" s="204" t="str">
        <f>AA89</f>
        <v/>
      </c>
      <c r="O89" s="356" t="str">
        <f>AB89</f>
        <v/>
      </c>
      <c r="S89" s="362">
        <v>73</v>
      </c>
      <c r="T89" s="356" t="str">
        <f>IF($T$5="","",$T$5)</f>
        <v/>
      </c>
      <c r="U89" s="356" t="str">
        <f>IF($T$6="","",$T$6)</f>
        <v>Invoice</v>
      </c>
      <c r="V89" s="356" t="str">
        <f>'PARTS LIST SC'!$W83</f>
        <v/>
      </c>
      <c r="W89" s="356" t="str">
        <f>IF('PARTS LIST SC'!$B83="","",'PARTS LIST SC'!$B83)</f>
        <v/>
      </c>
      <c r="X89" s="356" t="str">
        <f>IF('PARTS LIST SC'!$C83="","",'PARTS LIST SC'!$C83)</f>
        <v/>
      </c>
      <c r="Y89" s="362" t="str">
        <f>IF('PARTS LIST SC'!$D83="","",'PARTS LIST SC'!$D83)</f>
        <v/>
      </c>
      <c r="Z89" s="361" t="str">
        <f>'PARTS LIST SC'!$X83</f>
        <v/>
      </c>
      <c r="AA89" s="356" t="str">
        <f>IF('Information Sales'!$K$7="","",'Information Sales'!$K$7)</f>
        <v/>
      </c>
      <c r="AB89" s="356" t="str">
        <f>IF($T$7="","",$T$7)</f>
        <v/>
      </c>
    </row>
    <row r="90" spans="2:28">
      <c r="B90" s="197">
        <v>74</v>
      </c>
      <c r="C90" s="197" t="str">
        <f>T90</f>
        <v/>
      </c>
      <c r="D90" s="197" t="str">
        <f>U90</f>
        <v>Invoice</v>
      </c>
      <c r="E90" s="214" t="str">
        <f>V90</f>
        <v/>
      </c>
      <c r="F90" s="343" t="str">
        <f>W90</f>
        <v/>
      </c>
      <c r="G90" s="343"/>
      <c r="H90" s="348" t="str">
        <f>X90</f>
        <v/>
      </c>
      <c r="I90" s="349"/>
      <c r="J90" s="349"/>
      <c r="K90" s="350"/>
      <c r="L90" s="203" t="str">
        <f>Y90</f>
        <v/>
      </c>
      <c r="M90" s="352" t="str">
        <f>Z90</f>
        <v/>
      </c>
      <c r="N90" s="204" t="str">
        <f>AA90</f>
        <v/>
      </c>
      <c r="O90" s="356" t="str">
        <f>AB90</f>
        <v/>
      </c>
      <c r="S90" s="362">
        <v>74</v>
      </c>
      <c r="T90" s="356" t="str">
        <f>IF($T$5="","",$T$5)</f>
        <v/>
      </c>
      <c r="U90" s="356" t="str">
        <f>IF($T$6="","",$T$6)</f>
        <v>Invoice</v>
      </c>
      <c r="V90" s="356" t="str">
        <f>'PARTS LIST SC'!$W84</f>
        <v/>
      </c>
      <c r="W90" s="356" t="str">
        <f>IF('PARTS LIST SC'!$B84="","",'PARTS LIST SC'!$B84)</f>
        <v/>
      </c>
      <c r="X90" s="356" t="str">
        <f>IF('PARTS LIST SC'!$C84="","",'PARTS LIST SC'!$C84)</f>
        <v/>
      </c>
      <c r="Y90" s="362" t="str">
        <f>IF('PARTS LIST SC'!$D84="","",'PARTS LIST SC'!$D84)</f>
        <v/>
      </c>
      <c r="Z90" s="361" t="str">
        <f>'PARTS LIST SC'!$X84</f>
        <v/>
      </c>
      <c r="AA90" s="356" t="str">
        <f>IF('Information Sales'!$K$7="","",'Information Sales'!$K$7)</f>
        <v/>
      </c>
      <c r="AB90" s="356" t="str">
        <f>IF($T$7="","",$T$7)</f>
        <v/>
      </c>
    </row>
    <row r="91" spans="2:28">
      <c r="B91" s="197">
        <v>75</v>
      </c>
      <c r="C91" s="197" t="str">
        <f>T91</f>
        <v/>
      </c>
      <c r="D91" s="197" t="str">
        <f>U91</f>
        <v>Invoice</v>
      </c>
      <c r="E91" s="214" t="str">
        <f>V91</f>
        <v/>
      </c>
      <c r="F91" s="343" t="str">
        <f>W91</f>
        <v/>
      </c>
      <c r="G91" s="343"/>
      <c r="H91" s="348" t="str">
        <f>X91</f>
        <v/>
      </c>
      <c r="I91" s="349"/>
      <c r="J91" s="349"/>
      <c r="K91" s="350"/>
      <c r="L91" s="203" t="str">
        <f>Y91</f>
        <v/>
      </c>
      <c r="M91" s="352" t="str">
        <f>Z91</f>
        <v/>
      </c>
      <c r="N91" s="204" t="str">
        <f>AA91</f>
        <v/>
      </c>
      <c r="O91" s="356" t="str">
        <f>AB91</f>
        <v/>
      </c>
      <c r="S91" s="362">
        <v>75</v>
      </c>
      <c r="T91" s="356" t="str">
        <f>IF($T$5="","",$T$5)</f>
        <v/>
      </c>
      <c r="U91" s="356" t="str">
        <f>IF($T$6="","",$T$6)</f>
        <v>Invoice</v>
      </c>
      <c r="V91" s="356" t="str">
        <f>'PARTS LIST SC'!$W85</f>
        <v/>
      </c>
      <c r="W91" s="356" t="str">
        <f>IF('PARTS LIST SC'!$B85="","",'PARTS LIST SC'!$B85)</f>
        <v/>
      </c>
      <c r="X91" s="356" t="str">
        <f>IF('PARTS LIST SC'!$C85="","",'PARTS LIST SC'!$C85)</f>
        <v/>
      </c>
      <c r="Y91" s="362" t="str">
        <f>IF('PARTS LIST SC'!$D85="","",'PARTS LIST SC'!$D85)</f>
        <v/>
      </c>
      <c r="Z91" s="361" t="str">
        <f>'PARTS LIST SC'!$X85</f>
        <v/>
      </c>
      <c r="AA91" s="356" t="str">
        <f>IF('Information Sales'!$K$7="","",'Information Sales'!$K$7)</f>
        <v/>
      </c>
      <c r="AB91" s="356" t="str">
        <f>IF($T$7="","",$T$7)</f>
        <v/>
      </c>
    </row>
    <row r="92" spans="2:28">
      <c r="B92" s="197">
        <v>76</v>
      </c>
      <c r="C92" s="197" t="str">
        <f>T92</f>
        <v/>
      </c>
      <c r="D92" s="197" t="str">
        <f>U92</f>
        <v>Invoice</v>
      </c>
      <c r="E92" s="214" t="str">
        <f>V92</f>
        <v/>
      </c>
      <c r="F92" s="343" t="str">
        <f>W92</f>
        <v/>
      </c>
      <c r="G92" s="343"/>
      <c r="H92" s="348" t="str">
        <f>X92</f>
        <v/>
      </c>
      <c r="I92" s="349"/>
      <c r="J92" s="349"/>
      <c r="K92" s="350"/>
      <c r="L92" s="203" t="str">
        <f>Y92</f>
        <v/>
      </c>
      <c r="M92" s="352" t="str">
        <f>Z92</f>
        <v/>
      </c>
      <c r="N92" s="204" t="str">
        <f>AA92</f>
        <v/>
      </c>
      <c r="O92" s="356" t="str">
        <f>AB92</f>
        <v/>
      </c>
      <c r="S92" s="362">
        <v>76</v>
      </c>
      <c r="T92" s="356" t="str">
        <f>IF($T$5="","",$T$5)</f>
        <v/>
      </c>
      <c r="U92" s="356" t="str">
        <f>IF($T$6="","",$T$6)</f>
        <v>Invoice</v>
      </c>
      <c r="V92" s="356" t="str">
        <f>'PARTS LIST SC'!$W86</f>
        <v/>
      </c>
      <c r="W92" s="356" t="str">
        <f>IF('PARTS LIST SC'!$B86="","",'PARTS LIST SC'!$B86)</f>
        <v/>
      </c>
      <c r="X92" s="356" t="str">
        <f>IF('PARTS LIST SC'!$C86="","",'PARTS LIST SC'!$C86)</f>
        <v/>
      </c>
      <c r="Y92" s="362" t="str">
        <f>IF('PARTS LIST SC'!$D86="","",'PARTS LIST SC'!$D86)</f>
        <v/>
      </c>
      <c r="Z92" s="361" t="str">
        <f>'PARTS LIST SC'!$X86</f>
        <v/>
      </c>
      <c r="AA92" s="356" t="str">
        <f>IF('Information Sales'!$K$7="","",'Information Sales'!$K$7)</f>
        <v/>
      </c>
      <c r="AB92" s="356" t="str">
        <f>IF($T$7="","",$T$7)</f>
        <v/>
      </c>
    </row>
    <row r="93" spans="2:28">
      <c r="B93" s="197">
        <v>77</v>
      </c>
      <c r="C93" s="197" t="str">
        <f>T93</f>
        <v/>
      </c>
      <c r="D93" s="197" t="str">
        <f>U93</f>
        <v>Invoice</v>
      </c>
      <c r="E93" s="214" t="str">
        <f>V93</f>
        <v/>
      </c>
      <c r="F93" s="343" t="str">
        <f>W93</f>
        <v/>
      </c>
      <c r="G93" s="343"/>
      <c r="H93" s="348" t="str">
        <f>X93</f>
        <v/>
      </c>
      <c r="I93" s="349"/>
      <c r="J93" s="349"/>
      <c r="K93" s="350"/>
      <c r="L93" s="203" t="str">
        <f>Y93</f>
        <v/>
      </c>
      <c r="M93" s="352" t="str">
        <f>Z93</f>
        <v/>
      </c>
      <c r="N93" s="204" t="str">
        <f>AA93</f>
        <v/>
      </c>
      <c r="O93" s="356" t="str">
        <f>AB93</f>
        <v/>
      </c>
      <c r="S93" s="362">
        <v>77</v>
      </c>
      <c r="T93" s="356" t="str">
        <f>IF($T$5="","",$T$5)</f>
        <v/>
      </c>
      <c r="U93" s="356" t="str">
        <f>IF($T$6="","",$T$6)</f>
        <v>Invoice</v>
      </c>
      <c r="V93" s="356" t="str">
        <f>'PARTS LIST SC'!$W87</f>
        <v/>
      </c>
      <c r="W93" s="356" t="str">
        <f>IF('PARTS LIST SC'!$B87="","",'PARTS LIST SC'!$B87)</f>
        <v/>
      </c>
      <c r="X93" s="356" t="str">
        <f>IF('PARTS LIST SC'!$C87="","",'PARTS LIST SC'!$C87)</f>
        <v/>
      </c>
      <c r="Y93" s="362" t="str">
        <f>IF('PARTS LIST SC'!$D87="","",'PARTS LIST SC'!$D87)</f>
        <v/>
      </c>
      <c r="Z93" s="361" t="str">
        <f>'PARTS LIST SC'!$X87</f>
        <v/>
      </c>
      <c r="AA93" s="356" t="str">
        <f>IF('Information Sales'!$K$7="","",'Information Sales'!$K$7)</f>
        <v/>
      </c>
      <c r="AB93" s="356" t="str">
        <f>IF($T$7="","",$T$7)</f>
        <v/>
      </c>
    </row>
    <row r="94" spans="2:28">
      <c r="B94" s="197">
        <v>78</v>
      </c>
      <c r="C94" s="197" t="str">
        <f>T94</f>
        <v/>
      </c>
      <c r="D94" s="197" t="str">
        <f>U94</f>
        <v>Invoice</v>
      </c>
      <c r="E94" s="214" t="str">
        <f>V94</f>
        <v/>
      </c>
      <c r="F94" s="343" t="str">
        <f>W94</f>
        <v/>
      </c>
      <c r="G94" s="343"/>
      <c r="H94" s="348" t="str">
        <f>X94</f>
        <v/>
      </c>
      <c r="I94" s="349"/>
      <c r="J94" s="349"/>
      <c r="K94" s="350"/>
      <c r="L94" s="203" t="str">
        <f>Y94</f>
        <v/>
      </c>
      <c r="M94" s="352" t="str">
        <f>Z94</f>
        <v/>
      </c>
      <c r="N94" s="204" t="str">
        <f>AA94</f>
        <v/>
      </c>
      <c r="O94" s="356" t="str">
        <f>AB94</f>
        <v/>
      </c>
      <c r="S94" s="362">
        <v>78</v>
      </c>
      <c r="T94" s="356" t="str">
        <f>IF($T$5="","",$T$5)</f>
        <v/>
      </c>
      <c r="U94" s="356" t="str">
        <f>IF($T$6="","",$T$6)</f>
        <v>Invoice</v>
      </c>
      <c r="V94" s="356" t="str">
        <f>'PARTS LIST SC'!$W88</f>
        <v/>
      </c>
      <c r="W94" s="356" t="str">
        <f>IF('PARTS LIST SC'!$B88="","",'PARTS LIST SC'!$B88)</f>
        <v/>
      </c>
      <c r="X94" s="356" t="str">
        <f>IF('PARTS LIST SC'!$C88="","",'PARTS LIST SC'!$C88)</f>
        <v/>
      </c>
      <c r="Y94" s="362" t="str">
        <f>IF('PARTS LIST SC'!$D88="","",'PARTS LIST SC'!$D88)</f>
        <v/>
      </c>
      <c r="Z94" s="361" t="str">
        <f>'PARTS LIST SC'!$X88</f>
        <v/>
      </c>
      <c r="AA94" s="356" t="str">
        <f>IF('Information Sales'!$K$7="","",'Information Sales'!$K$7)</f>
        <v/>
      </c>
      <c r="AB94" s="356" t="str">
        <f>IF($T$7="","",$T$7)</f>
        <v/>
      </c>
    </row>
    <row r="95" spans="2:28">
      <c r="B95" s="197">
        <v>79</v>
      </c>
      <c r="C95" s="197" t="str">
        <f>T95</f>
        <v/>
      </c>
      <c r="D95" s="197" t="str">
        <f>U95</f>
        <v>Invoice</v>
      </c>
      <c r="E95" s="214" t="str">
        <f>V95</f>
        <v/>
      </c>
      <c r="F95" s="343" t="str">
        <f>W95</f>
        <v/>
      </c>
      <c r="G95" s="343"/>
      <c r="H95" s="348" t="str">
        <f>X95</f>
        <v/>
      </c>
      <c r="I95" s="349"/>
      <c r="J95" s="349"/>
      <c r="K95" s="350"/>
      <c r="L95" s="203" t="str">
        <f>Y95</f>
        <v/>
      </c>
      <c r="M95" s="352" t="str">
        <f>Z95</f>
        <v/>
      </c>
      <c r="N95" s="204" t="str">
        <f>AA95</f>
        <v/>
      </c>
      <c r="O95" s="356" t="str">
        <f>AB95</f>
        <v/>
      </c>
      <c r="S95" s="362">
        <v>79</v>
      </c>
      <c r="T95" s="356" t="str">
        <f>IF($T$5="","",$T$5)</f>
        <v/>
      </c>
      <c r="U95" s="356" t="str">
        <f>IF($T$6="","",$T$6)</f>
        <v>Invoice</v>
      </c>
      <c r="V95" s="356" t="str">
        <f>'PARTS LIST SC'!$W89</f>
        <v/>
      </c>
      <c r="W95" s="356" t="str">
        <f>IF('PARTS LIST SC'!$B89="","",'PARTS LIST SC'!$B89)</f>
        <v/>
      </c>
      <c r="X95" s="356" t="str">
        <f>IF('PARTS LIST SC'!$C89="","",'PARTS LIST SC'!$C89)</f>
        <v/>
      </c>
      <c r="Y95" s="362" t="str">
        <f>IF('PARTS LIST SC'!$D89="","",'PARTS LIST SC'!$D89)</f>
        <v/>
      </c>
      <c r="Z95" s="361" t="str">
        <f>'PARTS LIST SC'!$X89</f>
        <v/>
      </c>
      <c r="AA95" s="356" t="str">
        <f>IF('Information Sales'!$K$7="","",'Information Sales'!$K$7)</f>
        <v/>
      </c>
      <c r="AB95" s="356" t="str">
        <f>IF($T$7="","",$T$7)</f>
        <v/>
      </c>
    </row>
    <row r="96" spans="2:28">
      <c r="B96" s="197">
        <v>80</v>
      </c>
      <c r="C96" s="197" t="str">
        <f>T96</f>
        <v/>
      </c>
      <c r="D96" s="197" t="str">
        <f>U96</f>
        <v>Invoice</v>
      </c>
      <c r="E96" s="214" t="str">
        <f>V96</f>
        <v/>
      </c>
      <c r="F96" s="343" t="str">
        <f>W96</f>
        <v/>
      </c>
      <c r="G96" s="343"/>
      <c r="H96" s="348" t="str">
        <f>X96</f>
        <v/>
      </c>
      <c r="I96" s="349"/>
      <c r="J96" s="349"/>
      <c r="K96" s="350"/>
      <c r="L96" s="203" t="str">
        <f>Y96</f>
        <v/>
      </c>
      <c r="M96" s="352" t="str">
        <f>Z96</f>
        <v/>
      </c>
      <c r="N96" s="204" t="str">
        <f>AA96</f>
        <v/>
      </c>
      <c r="O96" s="356" t="str">
        <f>AB96</f>
        <v/>
      </c>
      <c r="S96" s="362">
        <v>80</v>
      </c>
      <c r="T96" s="356" t="str">
        <f>IF($T$5="","",$T$5)</f>
        <v/>
      </c>
      <c r="U96" s="356" t="str">
        <f>IF($T$6="","",$T$6)</f>
        <v>Invoice</v>
      </c>
      <c r="V96" s="356" t="str">
        <f>'PARTS LIST SC'!$W90</f>
        <v/>
      </c>
      <c r="W96" s="356" t="str">
        <f>IF('PARTS LIST SC'!$B90="","",'PARTS LIST SC'!$B90)</f>
        <v/>
      </c>
      <c r="X96" s="356" t="str">
        <f>IF('PARTS LIST SC'!$C90="","",'PARTS LIST SC'!$C90)</f>
        <v/>
      </c>
      <c r="Y96" s="362" t="str">
        <f>IF('PARTS LIST SC'!$D90="","",'PARTS LIST SC'!$D90)</f>
        <v/>
      </c>
      <c r="Z96" s="361" t="str">
        <f>'PARTS LIST SC'!$X90</f>
        <v/>
      </c>
      <c r="AA96" s="356" t="str">
        <f>IF('Information Sales'!$K$7="","",'Information Sales'!$K$7)</f>
        <v/>
      </c>
      <c r="AB96" s="356" t="str">
        <f>IF($T$7="","",$T$7)</f>
        <v/>
      </c>
    </row>
    <row r="97" spans="2:28">
      <c r="B97" s="197">
        <v>81</v>
      </c>
      <c r="C97" s="197" t="str">
        <f>T97</f>
        <v/>
      </c>
      <c r="D97" s="197" t="str">
        <f>U97</f>
        <v>Invoice</v>
      </c>
      <c r="E97" s="214" t="str">
        <f>V97</f>
        <v/>
      </c>
      <c r="F97" s="343" t="str">
        <f>W97</f>
        <v/>
      </c>
      <c r="G97" s="343"/>
      <c r="H97" s="348" t="str">
        <f>X97</f>
        <v/>
      </c>
      <c r="I97" s="349"/>
      <c r="J97" s="349"/>
      <c r="K97" s="350"/>
      <c r="L97" s="203" t="str">
        <f>Y97</f>
        <v/>
      </c>
      <c r="M97" s="352" t="str">
        <f>Z97</f>
        <v/>
      </c>
      <c r="N97" s="204" t="str">
        <f>AA97</f>
        <v/>
      </c>
      <c r="O97" s="356" t="str">
        <f>AB97</f>
        <v/>
      </c>
      <c r="S97" s="362">
        <v>81</v>
      </c>
      <c r="T97" s="356" t="str">
        <f>IF($T$5="","",$T$5)</f>
        <v/>
      </c>
      <c r="U97" s="356" t="str">
        <f>IF($T$6="","",$T$6)</f>
        <v>Invoice</v>
      </c>
      <c r="V97" s="356" t="str">
        <f>'PARTS LIST SC'!$W91</f>
        <v/>
      </c>
      <c r="W97" s="356" t="str">
        <f>IF('PARTS LIST SC'!$B91="","",'PARTS LIST SC'!$B91)</f>
        <v/>
      </c>
      <c r="X97" s="356" t="str">
        <f>IF('PARTS LIST SC'!$C91="","",'PARTS LIST SC'!$C91)</f>
        <v/>
      </c>
      <c r="Y97" s="362" t="str">
        <f>IF('PARTS LIST SC'!$D91="","",'PARTS LIST SC'!$D91)</f>
        <v/>
      </c>
      <c r="Z97" s="361" t="str">
        <f>'PARTS LIST SC'!$X91</f>
        <v/>
      </c>
      <c r="AA97" s="356" t="str">
        <f>IF('Information Sales'!$K$7="","",'Information Sales'!$K$7)</f>
        <v/>
      </c>
      <c r="AB97" s="356" t="str">
        <f>IF($T$7="","",$T$7)</f>
        <v/>
      </c>
    </row>
    <row r="98" spans="2:28">
      <c r="B98" s="197">
        <v>82</v>
      </c>
      <c r="C98" s="197" t="str">
        <f>T98</f>
        <v/>
      </c>
      <c r="D98" s="197" t="str">
        <f>U98</f>
        <v>Invoice</v>
      </c>
      <c r="E98" s="214" t="str">
        <f>V98</f>
        <v/>
      </c>
      <c r="F98" s="343" t="str">
        <f>W98</f>
        <v/>
      </c>
      <c r="G98" s="343"/>
      <c r="H98" s="348" t="str">
        <f>X98</f>
        <v/>
      </c>
      <c r="I98" s="349"/>
      <c r="J98" s="349"/>
      <c r="K98" s="350"/>
      <c r="L98" s="203" t="str">
        <f>Y98</f>
        <v/>
      </c>
      <c r="M98" s="352" t="str">
        <f>Z98</f>
        <v/>
      </c>
      <c r="N98" s="204" t="str">
        <f>AA98</f>
        <v/>
      </c>
      <c r="O98" s="356" t="str">
        <f>AB98</f>
        <v/>
      </c>
      <c r="S98" s="362">
        <v>82</v>
      </c>
      <c r="T98" s="356" t="str">
        <f>IF($T$5="","",$T$5)</f>
        <v/>
      </c>
      <c r="U98" s="356" t="str">
        <f>IF($T$6="","",$T$6)</f>
        <v>Invoice</v>
      </c>
      <c r="V98" s="356" t="str">
        <f>'PARTS LIST SC'!$W92</f>
        <v/>
      </c>
      <c r="W98" s="356" t="str">
        <f>IF('PARTS LIST SC'!$B92="","",'PARTS LIST SC'!$B92)</f>
        <v/>
      </c>
      <c r="X98" s="356" t="str">
        <f>IF('PARTS LIST SC'!$C92="","",'PARTS LIST SC'!$C92)</f>
        <v/>
      </c>
      <c r="Y98" s="362" t="str">
        <f>IF('PARTS LIST SC'!$D92="","",'PARTS LIST SC'!$D92)</f>
        <v/>
      </c>
      <c r="Z98" s="361" t="str">
        <f>'PARTS LIST SC'!$X92</f>
        <v/>
      </c>
      <c r="AA98" s="356" t="str">
        <f>IF('Information Sales'!$K$7="","",'Information Sales'!$K$7)</f>
        <v/>
      </c>
      <c r="AB98" s="356" t="str">
        <f>IF($T$7="","",$T$7)</f>
        <v/>
      </c>
    </row>
    <row r="99" spans="2:28">
      <c r="B99" s="197">
        <v>83</v>
      </c>
      <c r="C99" s="197" t="str">
        <f>T99</f>
        <v/>
      </c>
      <c r="D99" s="197" t="str">
        <f>U99</f>
        <v>Invoice</v>
      </c>
      <c r="E99" s="214" t="str">
        <f>V99</f>
        <v/>
      </c>
      <c r="F99" s="343" t="str">
        <f>W99</f>
        <v/>
      </c>
      <c r="G99" s="343"/>
      <c r="H99" s="348" t="str">
        <f>X99</f>
        <v/>
      </c>
      <c r="I99" s="349"/>
      <c r="J99" s="349"/>
      <c r="K99" s="350"/>
      <c r="L99" s="203" t="str">
        <f>Y99</f>
        <v/>
      </c>
      <c r="M99" s="352" t="str">
        <f>Z99</f>
        <v/>
      </c>
      <c r="N99" s="204" t="str">
        <f>AA99</f>
        <v/>
      </c>
      <c r="O99" s="356" t="str">
        <f>AB99</f>
        <v/>
      </c>
      <c r="S99" s="362">
        <v>83</v>
      </c>
      <c r="T99" s="356" t="str">
        <f>IF($T$5="","",$T$5)</f>
        <v/>
      </c>
      <c r="U99" s="356" t="str">
        <f>IF($T$6="","",$T$6)</f>
        <v>Invoice</v>
      </c>
      <c r="V99" s="356" t="str">
        <f>'PARTS LIST SC'!$W93</f>
        <v/>
      </c>
      <c r="W99" s="356" t="str">
        <f>IF('PARTS LIST SC'!$B93="","",'PARTS LIST SC'!$B93)</f>
        <v/>
      </c>
      <c r="X99" s="356" t="str">
        <f>IF('PARTS LIST SC'!$C93="","",'PARTS LIST SC'!$C93)</f>
        <v/>
      </c>
      <c r="Y99" s="362" t="str">
        <f>IF('PARTS LIST SC'!$D93="","",'PARTS LIST SC'!$D93)</f>
        <v/>
      </c>
      <c r="Z99" s="361" t="str">
        <f>'PARTS LIST SC'!$X93</f>
        <v/>
      </c>
      <c r="AA99" s="356" t="str">
        <f>IF('Information Sales'!$K$7="","",'Information Sales'!$K$7)</f>
        <v/>
      </c>
      <c r="AB99" s="356" t="str">
        <f>IF($T$7="","",$T$7)</f>
        <v/>
      </c>
    </row>
    <row r="100" spans="2:28">
      <c r="B100" s="197">
        <v>84</v>
      </c>
      <c r="C100" s="197" t="str">
        <f>T100</f>
        <v/>
      </c>
      <c r="D100" s="197" t="str">
        <f>U100</f>
        <v>Invoice</v>
      </c>
      <c r="E100" s="214" t="str">
        <f>V100</f>
        <v/>
      </c>
      <c r="F100" s="343" t="str">
        <f>W100</f>
        <v/>
      </c>
      <c r="G100" s="343"/>
      <c r="H100" s="348" t="str">
        <f>X100</f>
        <v/>
      </c>
      <c r="I100" s="349"/>
      <c r="J100" s="349"/>
      <c r="K100" s="350"/>
      <c r="L100" s="203" t="str">
        <f>Y100</f>
        <v/>
      </c>
      <c r="M100" s="352" t="str">
        <f>Z100</f>
        <v/>
      </c>
      <c r="N100" s="204" t="str">
        <f>AA100</f>
        <v/>
      </c>
      <c r="O100" s="356" t="str">
        <f>AB100</f>
        <v/>
      </c>
      <c r="S100" s="362">
        <v>84</v>
      </c>
      <c r="T100" s="356" t="str">
        <f>IF($T$5="","",$T$5)</f>
        <v/>
      </c>
      <c r="U100" s="356" t="str">
        <f>IF($T$6="","",$T$6)</f>
        <v>Invoice</v>
      </c>
      <c r="V100" s="356" t="str">
        <f>'PARTS LIST SC'!$W94</f>
        <v/>
      </c>
      <c r="W100" s="356" t="str">
        <f>IF('PARTS LIST SC'!$B94="","",'PARTS LIST SC'!$B94)</f>
        <v/>
      </c>
      <c r="X100" s="356" t="str">
        <f>IF('PARTS LIST SC'!$C94="","",'PARTS LIST SC'!$C94)</f>
        <v/>
      </c>
      <c r="Y100" s="362" t="str">
        <f>IF('PARTS LIST SC'!$D94="","",'PARTS LIST SC'!$D94)</f>
        <v/>
      </c>
      <c r="Z100" s="361" t="str">
        <f>'PARTS LIST SC'!$X94</f>
        <v/>
      </c>
      <c r="AA100" s="356" t="str">
        <f>IF('Information Sales'!$K$7="","",'Information Sales'!$K$7)</f>
        <v/>
      </c>
      <c r="AB100" s="356" t="str">
        <f>IF($T$7="","",$T$7)</f>
        <v/>
      </c>
    </row>
    <row r="101" spans="2:28">
      <c r="B101" s="197">
        <v>85</v>
      </c>
      <c r="C101" s="197" t="str">
        <f>T101</f>
        <v/>
      </c>
      <c r="D101" s="197" t="str">
        <f>U101</f>
        <v>Invoice</v>
      </c>
      <c r="E101" s="214" t="str">
        <f>V101</f>
        <v/>
      </c>
      <c r="F101" s="343" t="str">
        <f>W101</f>
        <v/>
      </c>
      <c r="G101" s="343"/>
      <c r="H101" s="348" t="str">
        <f>X101</f>
        <v/>
      </c>
      <c r="I101" s="349"/>
      <c r="J101" s="349"/>
      <c r="K101" s="350"/>
      <c r="L101" s="203" t="str">
        <f>Y101</f>
        <v/>
      </c>
      <c r="M101" s="352" t="str">
        <f>Z101</f>
        <v/>
      </c>
      <c r="N101" s="204" t="str">
        <f>AA101</f>
        <v/>
      </c>
      <c r="O101" s="356" t="str">
        <f>AB101</f>
        <v/>
      </c>
      <c r="S101" s="362">
        <v>85</v>
      </c>
      <c r="T101" s="356" t="str">
        <f>IF($T$5="","",$T$5)</f>
        <v/>
      </c>
      <c r="U101" s="356" t="str">
        <f>IF($T$6="","",$T$6)</f>
        <v>Invoice</v>
      </c>
      <c r="V101" s="356" t="str">
        <f>'PARTS LIST SC'!$W95</f>
        <v/>
      </c>
      <c r="W101" s="356" t="str">
        <f>IF('PARTS LIST SC'!$B95="","",'PARTS LIST SC'!$B95)</f>
        <v/>
      </c>
      <c r="X101" s="356" t="str">
        <f>IF('PARTS LIST SC'!$C95="","",'PARTS LIST SC'!$C95)</f>
        <v/>
      </c>
      <c r="Y101" s="362" t="str">
        <f>IF('PARTS LIST SC'!$D95="","",'PARTS LIST SC'!$D95)</f>
        <v/>
      </c>
      <c r="Z101" s="361" t="str">
        <f>'PARTS LIST SC'!$X95</f>
        <v/>
      </c>
      <c r="AA101" s="356" t="str">
        <f>IF('Information Sales'!$K$7="","",'Information Sales'!$K$7)</f>
        <v/>
      </c>
      <c r="AB101" s="356" t="str">
        <f>IF($T$7="","",$T$7)</f>
        <v/>
      </c>
    </row>
    <row r="102" spans="2:28">
      <c r="B102" s="197">
        <v>86</v>
      </c>
      <c r="C102" s="197" t="str">
        <f>T102</f>
        <v/>
      </c>
      <c r="D102" s="197" t="str">
        <f>U102</f>
        <v>Invoice</v>
      </c>
      <c r="E102" s="214" t="str">
        <f>V102</f>
        <v/>
      </c>
      <c r="F102" s="343" t="str">
        <f>W102</f>
        <v/>
      </c>
      <c r="G102" s="343"/>
      <c r="H102" s="348" t="str">
        <f>X102</f>
        <v/>
      </c>
      <c r="I102" s="349"/>
      <c r="J102" s="349"/>
      <c r="K102" s="350"/>
      <c r="L102" s="203" t="str">
        <f>Y102</f>
        <v/>
      </c>
      <c r="M102" s="352" t="str">
        <f>Z102</f>
        <v/>
      </c>
      <c r="N102" s="204" t="str">
        <f>AA102</f>
        <v/>
      </c>
      <c r="O102" s="356" t="str">
        <f>AB102</f>
        <v/>
      </c>
      <c r="S102" s="362">
        <v>86</v>
      </c>
      <c r="T102" s="356" t="str">
        <f>IF($T$5="","",$T$5)</f>
        <v/>
      </c>
      <c r="U102" s="356" t="str">
        <f>IF($T$6="","",$T$6)</f>
        <v>Invoice</v>
      </c>
      <c r="V102" s="356" t="str">
        <f>'PARTS LIST SC'!$W96</f>
        <v/>
      </c>
      <c r="W102" s="356" t="str">
        <f>IF('PARTS LIST SC'!$B96="","",'PARTS LIST SC'!$B96)</f>
        <v/>
      </c>
      <c r="X102" s="356" t="str">
        <f>IF('PARTS LIST SC'!$C96="","",'PARTS LIST SC'!$C96)</f>
        <v/>
      </c>
      <c r="Y102" s="362" t="str">
        <f>IF('PARTS LIST SC'!$D96="","",'PARTS LIST SC'!$D96)</f>
        <v/>
      </c>
      <c r="Z102" s="361" t="str">
        <f>'PARTS LIST SC'!$X96</f>
        <v/>
      </c>
      <c r="AA102" s="356" t="str">
        <f>IF('Information Sales'!$K$7="","",'Information Sales'!$K$7)</f>
        <v/>
      </c>
      <c r="AB102" s="356" t="str">
        <f>IF($T$7="","",$T$7)</f>
        <v/>
      </c>
    </row>
    <row r="103" spans="2:28">
      <c r="B103" s="197">
        <v>87</v>
      </c>
      <c r="C103" s="197" t="str">
        <f>T103</f>
        <v/>
      </c>
      <c r="D103" s="197" t="str">
        <f>U103</f>
        <v>Invoice</v>
      </c>
      <c r="E103" s="214" t="str">
        <f>V103</f>
        <v/>
      </c>
      <c r="F103" s="343" t="str">
        <f>W103</f>
        <v/>
      </c>
      <c r="G103" s="343"/>
      <c r="H103" s="348" t="str">
        <f>X103</f>
        <v/>
      </c>
      <c r="I103" s="349"/>
      <c r="J103" s="349"/>
      <c r="K103" s="350"/>
      <c r="L103" s="203" t="str">
        <f>Y103</f>
        <v/>
      </c>
      <c r="M103" s="352" t="str">
        <f>Z103</f>
        <v/>
      </c>
      <c r="N103" s="204" t="str">
        <f>AA103</f>
        <v/>
      </c>
      <c r="O103" s="356" t="str">
        <f>AB103</f>
        <v/>
      </c>
      <c r="S103" s="362">
        <v>87</v>
      </c>
      <c r="T103" s="356" t="str">
        <f>IF($T$5="","",$T$5)</f>
        <v/>
      </c>
      <c r="U103" s="356" t="str">
        <f>IF($T$6="","",$T$6)</f>
        <v>Invoice</v>
      </c>
      <c r="V103" s="356" t="str">
        <f>'PARTS LIST SC'!$W97</f>
        <v/>
      </c>
      <c r="W103" s="356" t="str">
        <f>IF('PARTS LIST SC'!$B97="","",'PARTS LIST SC'!$B97)</f>
        <v/>
      </c>
      <c r="X103" s="356" t="str">
        <f>IF('PARTS LIST SC'!$C97="","",'PARTS LIST SC'!$C97)</f>
        <v/>
      </c>
      <c r="Y103" s="362" t="str">
        <f>IF('PARTS LIST SC'!$D97="","",'PARTS LIST SC'!$D97)</f>
        <v/>
      </c>
      <c r="Z103" s="361" t="str">
        <f>'PARTS LIST SC'!$X97</f>
        <v/>
      </c>
      <c r="AA103" s="356" t="str">
        <f>IF('Information Sales'!$K$7="","",'Information Sales'!$K$7)</f>
        <v/>
      </c>
      <c r="AB103" s="356" t="str">
        <f>IF($T$7="","",$T$7)</f>
        <v/>
      </c>
    </row>
    <row r="104" spans="2:28">
      <c r="B104" s="197">
        <v>88</v>
      </c>
      <c r="C104" s="197" t="str">
        <f>T104</f>
        <v/>
      </c>
      <c r="D104" s="197" t="str">
        <f>U104</f>
        <v>Invoice</v>
      </c>
      <c r="E104" s="214" t="str">
        <f>V104</f>
        <v/>
      </c>
      <c r="F104" s="343" t="str">
        <f>W104</f>
        <v/>
      </c>
      <c r="G104" s="343"/>
      <c r="H104" s="348" t="str">
        <f>X104</f>
        <v/>
      </c>
      <c r="I104" s="349"/>
      <c r="J104" s="349"/>
      <c r="K104" s="350"/>
      <c r="L104" s="203" t="str">
        <f>Y104</f>
        <v/>
      </c>
      <c r="M104" s="352" t="str">
        <f>Z104</f>
        <v/>
      </c>
      <c r="N104" s="204" t="str">
        <f>AA104</f>
        <v/>
      </c>
      <c r="O104" s="356" t="str">
        <f>AB104</f>
        <v/>
      </c>
      <c r="S104" s="362">
        <v>88</v>
      </c>
      <c r="T104" s="356" t="str">
        <f>IF($T$5="","",$T$5)</f>
        <v/>
      </c>
      <c r="U104" s="356" t="str">
        <f>IF($T$6="","",$T$6)</f>
        <v>Invoice</v>
      </c>
      <c r="V104" s="356" t="str">
        <f>'PARTS LIST SC'!$W98</f>
        <v/>
      </c>
      <c r="W104" s="356" t="str">
        <f>IF('PARTS LIST SC'!$B98="","",'PARTS LIST SC'!$B98)</f>
        <v/>
      </c>
      <c r="X104" s="356" t="str">
        <f>IF('PARTS LIST SC'!$C98="","",'PARTS LIST SC'!$C98)</f>
        <v/>
      </c>
      <c r="Y104" s="362" t="str">
        <f>IF('PARTS LIST SC'!$D98="","",'PARTS LIST SC'!$D98)</f>
        <v/>
      </c>
      <c r="Z104" s="361" t="str">
        <f>'PARTS LIST SC'!$X98</f>
        <v/>
      </c>
      <c r="AA104" s="356" t="str">
        <f>IF('Information Sales'!$K$7="","",'Information Sales'!$K$7)</f>
        <v/>
      </c>
      <c r="AB104" s="356" t="str">
        <f>IF($T$7="","",$T$7)</f>
        <v/>
      </c>
    </row>
    <row r="105" spans="2:28">
      <c r="B105" s="197">
        <v>89</v>
      </c>
      <c r="C105" s="197" t="str">
        <f>T105</f>
        <v/>
      </c>
      <c r="D105" s="197" t="str">
        <f>U105</f>
        <v>Invoice</v>
      </c>
      <c r="E105" s="214" t="str">
        <f>V105</f>
        <v/>
      </c>
      <c r="F105" s="343" t="str">
        <f>W105</f>
        <v/>
      </c>
      <c r="G105" s="343"/>
      <c r="H105" s="348" t="str">
        <f>X105</f>
        <v/>
      </c>
      <c r="I105" s="349"/>
      <c r="J105" s="349"/>
      <c r="K105" s="350"/>
      <c r="L105" s="203" t="str">
        <f>Y105</f>
        <v/>
      </c>
      <c r="M105" s="352" t="str">
        <f>Z105</f>
        <v/>
      </c>
      <c r="N105" s="204" t="str">
        <f>AA105</f>
        <v/>
      </c>
      <c r="O105" s="356" t="str">
        <f>AB105</f>
        <v/>
      </c>
      <c r="S105" s="362">
        <v>89</v>
      </c>
      <c r="T105" s="356" t="str">
        <f>IF($T$5="","",$T$5)</f>
        <v/>
      </c>
      <c r="U105" s="356" t="str">
        <f>IF($T$6="","",$T$6)</f>
        <v>Invoice</v>
      </c>
      <c r="V105" s="356" t="str">
        <f>'PARTS LIST SC'!$W99</f>
        <v/>
      </c>
      <c r="W105" s="356" t="str">
        <f>IF('PARTS LIST SC'!$B99="","",'PARTS LIST SC'!$B99)</f>
        <v/>
      </c>
      <c r="X105" s="356" t="str">
        <f>IF('PARTS LIST SC'!$C99="","",'PARTS LIST SC'!$C99)</f>
        <v/>
      </c>
      <c r="Y105" s="362" t="str">
        <f>IF('PARTS LIST SC'!$D99="","",'PARTS LIST SC'!$D99)</f>
        <v/>
      </c>
      <c r="Z105" s="361" t="str">
        <f>'PARTS LIST SC'!$X99</f>
        <v/>
      </c>
      <c r="AA105" s="356" t="str">
        <f>IF('Information Sales'!$K$7="","",'Information Sales'!$K$7)</f>
        <v/>
      </c>
      <c r="AB105" s="356" t="str">
        <f>IF($T$7="","",$T$7)</f>
        <v/>
      </c>
    </row>
    <row r="106" spans="2:28">
      <c r="B106" s="197">
        <v>90</v>
      </c>
      <c r="C106" s="197" t="str">
        <f>T106</f>
        <v/>
      </c>
      <c r="D106" s="197" t="str">
        <f>U106</f>
        <v>Invoice</v>
      </c>
      <c r="E106" s="214" t="str">
        <f>V106</f>
        <v/>
      </c>
      <c r="F106" s="343" t="str">
        <f>W106</f>
        <v/>
      </c>
      <c r="G106" s="343"/>
      <c r="H106" s="348" t="str">
        <f>X106</f>
        <v/>
      </c>
      <c r="I106" s="349"/>
      <c r="J106" s="349"/>
      <c r="K106" s="350"/>
      <c r="L106" s="203" t="str">
        <f>Y106</f>
        <v/>
      </c>
      <c r="M106" s="352" t="str">
        <f>Z106</f>
        <v/>
      </c>
      <c r="N106" s="204" t="str">
        <f>AA106</f>
        <v/>
      </c>
      <c r="O106" s="356" t="str">
        <f>AB106</f>
        <v/>
      </c>
      <c r="S106" s="362">
        <v>90</v>
      </c>
      <c r="T106" s="356" t="str">
        <f>IF($T$5="","",$T$5)</f>
        <v/>
      </c>
      <c r="U106" s="356" t="str">
        <f>IF($T$6="","",$T$6)</f>
        <v>Invoice</v>
      </c>
      <c r="V106" s="356" t="str">
        <f>'PARTS LIST SC'!$W100</f>
        <v/>
      </c>
      <c r="W106" s="356" t="str">
        <f>IF('PARTS LIST SC'!$B100="","",'PARTS LIST SC'!$B100)</f>
        <v/>
      </c>
      <c r="X106" s="356" t="str">
        <f>IF('PARTS LIST SC'!$C100="","",'PARTS LIST SC'!$C100)</f>
        <v/>
      </c>
      <c r="Y106" s="362" t="str">
        <f>IF('PARTS LIST SC'!$D100="","",'PARTS LIST SC'!$D100)</f>
        <v/>
      </c>
      <c r="Z106" s="361" t="str">
        <f>'PARTS LIST SC'!$X100</f>
        <v/>
      </c>
      <c r="AA106" s="356" t="str">
        <f>IF('Information Sales'!$K$7="","",'Information Sales'!$K$7)</f>
        <v/>
      </c>
      <c r="AB106" s="356" t="str">
        <f>IF($T$7="","",$T$7)</f>
        <v/>
      </c>
    </row>
    <row r="107" spans="2:28">
      <c r="B107" s="197">
        <v>91</v>
      </c>
      <c r="C107" s="197" t="str">
        <f>T107</f>
        <v/>
      </c>
      <c r="D107" s="197" t="str">
        <f>U107</f>
        <v>Invoice</v>
      </c>
      <c r="E107" s="214" t="str">
        <f>V107</f>
        <v/>
      </c>
      <c r="F107" s="343" t="str">
        <f>W107</f>
        <v/>
      </c>
      <c r="G107" s="343"/>
      <c r="H107" s="348" t="str">
        <f>X107</f>
        <v/>
      </c>
      <c r="I107" s="349"/>
      <c r="J107" s="349"/>
      <c r="K107" s="350"/>
      <c r="L107" s="203" t="str">
        <f>Y107</f>
        <v/>
      </c>
      <c r="M107" s="352" t="str">
        <f>Z107</f>
        <v/>
      </c>
      <c r="N107" s="204" t="str">
        <f>AA107</f>
        <v/>
      </c>
      <c r="O107" s="356" t="str">
        <f>AB107</f>
        <v/>
      </c>
      <c r="S107" s="362">
        <v>91</v>
      </c>
      <c r="T107" s="356" t="str">
        <f>IF($T$5="","",$T$5)</f>
        <v/>
      </c>
      <c r="U107" s="356" t="str">
        <f>IF($T$6="","",$T$6)</f>
        <v>Invoice</v>
      </c>
      <c r="V107" s="356" t="str">
        <f>'PARTS LIST SC'!$W101</f>
        <v/>
      </c>
      <c r="W107" s="356" t="str">
        <f>IF('PARTS LIST SC'!$B101="","",'PARTS LIST SC'!$B101)</f>
        <v/>
      </c>
      <c r="X107" s="356" t="str">
        <f>IF('PARTS LIST SC'!$C101="","",'PARTS LIST SC'!$C101)</f>
        <v/>
      </c>
      <c r="Y107" s="362" t="str">
        <f>IF('PARTS LIST SC'!$D101="","",'PARTS LIST SC'!$D101)</f>
        <v/>
      </c>
      <c r="Z107" s="361" t="str">
        <f>'PARTS LIST SC'!$X101</f>
        <v/>
      </c>
      <c r="AA107" s="356" t="str">
        <f>IF('Information Sales'!$K$7="","",'Information Sales'!$K$7)</f>
        <v/>
      </c>
      <c r="AB107" s="356" t="str">
        <f>IF($T$7="","",$T$7)</f>
        <v/>
      </c>
    </row>
    <row r="108" spans="2:28">
      <c r="B108" s="197">
        <v>92</v>
      </c>
      <c r="C108" s="197" t="str">
        <f>T108</f>
        <v/>
      </c>
      <c r="D108" s="197" t="str">
        <f>U108</f>
        <v>Invoice</v>
      </c>
      <c r="E108" s="214" t="str">
        <f>V108</f>
        <v/>
      </c>
      <c r="F108" s="343" t="str">
        <f>W108</f>
        <v/>
      </c>
      <c r="G108" s="343"/>
      <c r="H108" s="348" t="str">
        <f>X108</f>
        <v/>
      </c>
      <c r="I108" s="349"/>
      <c r="J108" s="349"/>
      <c r="K108" s="350"/>
      <c r="L108" s="203" t="str">
        <f>Y108</f>
        <v/>
      </c>
      <c r="M108" s="352" t="str">
        <f>Z108</f>
        <v/>
      </c>
      <c r="N108" s="204" t="str">
        <f>AA108</f>
        <v/>
      </c>
      <c r="O108" s="356" t="str">
        <f>AB108</f>
        <v/>
      </c>
      <c r="S108" s="362">
        <v>92</v>
      </c>
      <c r="T108" s="356" t="str">
        <f>IF($T$5="","",$T$5)</f>
        <v/>
      </c>
      <c r="U108" s="356" t="str">
        <f>IF($T$6="","",$T$6)</f>
        <v>Invoice</v>
      </c>
      <c r="V108" s="356" t="str">
        <f>'PARTS LIST SC'!$W102</f>
        <v/>
      </c>
      <c r="W108" s="356" t="str">
        <f>IF('PARTS LIST SC'!$B102="","",'PARTS LIST SC'!$B102)</f>
        <v/>
      </c>
      <c r="X108" s="356" t="str">
        <f>IF('PARTS LIST SC'!$C102="","",'PARTS LIST SC'!$C102)</f>
        <v/>
      </c>
      <c r="Y108" s="362" t="str">
        <f>IF('PARTS LIST SC'!$D102="","",'PARTS LIST SC'!$D102)</f>
        <v/>
      </c>
      <c r="Z108" s="361" t="str">
        <f>'PARTS LIST SC'!$X102</f>
        <v/>
      </c>
      <c r="AA108" s="356" t="str">
        <f>IF('Information Sales'!$K$7="","",'Information Sales'!$K$7)</f>
        <v/>
      </c>
      <c r="AB108" s="356" t="str">
        <f>IF($T$7="","",$T$7)</f>
        <v/>
      </c>
    </row>
    <row r="109" spans="2:28">
      <c r="B109" s="197">
        <v>93</v>
      </c>
      <c r="C109" s="197" t="str">
        <f>T109</f>
        <v/>
      </c>
      <c r="D109" s="197" t="str">
        <f>U109</f>
        <v>Invoice</v>
      </c>
      <c r="E109" s="214" t="str">
        <f>V109</f>
        <v/>
      </c>
      <c r="F109" s="343" t="str">
        <f>W109</f>
        <v/>
      </c>
      <c r="G109" s="343"/>
      <c r="H109" s="348" t="str">
        <f>X109</f>
        <v/>
      </c>
      <c r="I109" s="349"/>
      <c r="J109" s="349"/>
      <c r="K109" s="350"/>
      <c r="L109" s="203" t="str">
        <f>Y109</f>
        <v/>
      </c>
      <c r="M109" s="352" t="str">
        <f>Z109</f>
        <v/>
      </c>
      <c r="N109" s="204" t="str">
        <f>AA109</f>
        <v/>
      </c>
      <c r="O109" s="356" t="str">
        <f>AB109</f>
        <v/>
      </c>
      <c r="S109" s="362">
        <v>93</v>
      </c>
      <c r="T109" s="356" t="str">
        <f>IF($T$5="","",$T$5)</f>
        <v/>
      </c>
      <c r="U109" s="356" t="str">
        <f>IF($T$6="","",$T$6)</f>
        <v>Invoice</v>
      </c>
      <c r="V109" s="356" t="str">
        <f>'PARTS LIST SC'!$W103</f>
        <v/>
      </c>
      <c r="W109" s="356" t="str">
        <f>IF('PARTS LIST SC'!$B103="","",'PARTS LIST SC'!$B103)</f>
        <v/>
      </c>
      <c r="X109" s="356" t="str">
        <f>IF('PARTS LIST SC'!$C103="","",'PARTS LIST SC'!$C103)</f>
        <v/>
      </c>
      <c r="Y109" s="362" t="str">
        <f>IF('PARTS LIST SC'!$D103="","",'PARTS LIST SC'!$D103)</f>
        <v/>
      </c>
      <c r="Z109" s="361" t="str">
        <f>'PARTS LIST SC'!$X103</f>
        <v/>
      </c>
      <c r="AA109" s="356" t="str">
        <f>IF('Information Sales'!$K$7="","",'Information Sales'!$K$7)</f>
        <v/>
      </c>
      <c r="AB109" s="356" t="str">
        <f>IF($T$7="","",$T$7)</f>
        <v/>
      </c>
    </row>
  </sheetData>
  <mergeCells count="189">
    <mergeCell ref="F108:G108"/>
    <mergeCell ref="H108:K108"/>
    <mergeCell ref="F109:G109"/>
    <mergeCell ref="H109:K109"/>
    <mergeCell ref="S2:V3"/>
    <mergeCell ref="F105:G105"/>
    <mergeCell ref="H105:K105"/>
    <mergeCell ref="F106:G106"/>
    <mergeCell ref="H106:K106"/>
    <mergeCell ref="F107:G107"/>
    <mergeCell ref="H107:K107"/>
    <mergeCell ref="F102:G102"/>
    <mergeCell ref="H102:K102"/>
    <mergeCell ref="F103:G103"/>
    <mergeCell ref="H103:K103"/>
    <mergeCell ref="F104:G104"/>
    <mergeCell ref="H104:K104"/>
    <mergeCell ref="F99:G99"/>
    <mergeCell ref="H99:K99"/>
    <mergeCell ref="F100:G100"/>
    <mergeCell ref="H100:K100"/>
    <mergeCell ref="F101:G101"/>
    <mergeCell ref="H101:K101"/>
    <mergeCell ref="F96:G96"/>
    <mergeCell ref="H96:K96"/>
    <mergeCell ref="F97:G97"/>
    <mergeCell ref="H97:K97"/>
    <mergeCell ref="F98:G98"/>
    <mergeCell ref="H98:K98"/>
    <mergeCell ref="F93:G93"/>
    <mergeCell ref="H93:K93"/>
    <mergeCell ref="F94:G94"/>
    <mergeCell ref="H94:K94"/>
    <mergeCell ref="F95:G95"/>
    <mergeCell ref="H95:K95"/>
    <mergeCell ref="F90:G90"/>
    <mergeCell ref="H90:K90"/>
    <mergeCell ref="F91:G91"/>
    <mergeCell ref="H91:K91"/>
    <mergeCell ref="F92:G92"/>
    <mergeCell ref="H92:K92"/>
    <mergeCell ref="F87:G87"/>
    <mergeCell ref="H87:K87"/>
    <mergeCell ref="F88:G88"/>
    <mergeCell ref="H88:K88"/>
    <mergeCell ref="F89:G89"/>
    <mergeCell ref="H89:K89"/>
    <mergeCell ref="F84:G84"/>
    <mergeCell ref="H84:K84"/>
    <mergeCell ref="F85:G85"/>
    <mergeCell ref="H85:K85"/>
    <mergeCell ref="F86:G86"/>
    <mergeCell ref="H86:K86"/>
    <mergeCell ref="F81:G81"/>
    <mergeCell ref="H81:K81"/>
    <mergeCell ref="F82:G82"/>
    <mergeCell ref="H82:K82"/>
    <mergeCell ref="F83:G83"/>
    <mergeCell ref="H83:K83"/>
    <mergeCell ref="F78:G78"/>
    <mergeCell ref="H78:K78"/>
    <mergeCell ref="F79:G79"/>
    <mergeCell ref="H79:K79"/>
    <mergeCell ref="F80:G80"/>
    <mergeCell ref="H80:K80"/>
    <mergeCell ref="F75:G75"/>
    <mergeCell ref="H75:K75"/>
    <mergeCell ref="F76:G76"/>
    <mergeCell ref="H76:K76"/>
    <mergeCell ref="F77:G77"/>
    <mergeCell ref="H77:K77"/>
    <mergeCell ref="F72:G72"/>
    <mergeCell ref="H72:K72"/>
    <mergeCell ref="F73:G73"/>
    <mergeCell ref="H73:K73"/>
    <mergeCell ref="F74:G74"/>
    <mergeCell ref="H74:K74"/>
    <mergeCell ref="F69:G69"/>
    <mergeCell ref="H69:K69"/>
    <mergeCell ref="F70:G70"/>
    <mergeCell ref="H70:K70"/>
    <mergeCell ref="F71:G71"/>
    <mergeCell ref="H71:K71"/>
    <mergeCell ref="F66:G66"/>
    <mergeCell ref="H66:K66"/>
    <mergeCell ref="F67:G67"/>
    <mergeCell ref="H67:K67"/>
    <mergeCell ref="F68:G68"/>
    <mergeCell ref="H68:K68"/>
    <mergeCell ref="F63:G63"/>
    <mergeCell ref="H63:K63"/>
    <mergeCell ref="F64:G64"/>
    <mergeCell ref="H64:K64"/>
    <mergeCell ref="F65:G65"/>
    <mergeCell ref="H65:K65"/>
    <mergeCell ref="F60:G60"/>
    <mergeCell ref="H60:K60"/>
    <mergeCell ref="F61:G61"/>
    <mergeCell ref="H61:K61"/>
    <mergeCell ref="F62:G62"/>
    <mergeCell ref="H62:K62"/>
    <mergeCell ref="F57:G57"/>
    <mergeCell ref="H57:K57"/>
    <mergeCell ref="F58:G58"/>
    <mergeCell ref="H58:K58"/>
    <mergeCell ref="F59:G59"/>
    <mergeCell ref="H59:K59"/>
    <mergeCell ref="F54:G54"/>
    <mergeCell ref="H54:K54"/>
    <mergeCell ref="F55:G55"/>
    <mergeCell ref="H55:K55"/>
    <mergeCell ref="F56:G56"/>
    <mergeCell ref="H56:K56"/>
    <mergeCell ref="F51:G51"/>
    <mergeCell ref="H51:K51"/>
    <mergeCell ref="F52:G52"/>
    <mergeCell ref="H52:K52"/>
    <mergeCell ref="F53:G53"/>
    <mergeCell ref="H53:K53"/>
    <mergeCell ref="F48:G48"/>
    <mergeCell ref="H48:K48"/>
    <mergeCell ref="F49:G49"/>
    <mergeCell ref="H49:K49"/>
    <mergeCell ref="F50:G50"/>
    <mergeCell ref="H50:K50"/>
    <mergeCell ref="F45:G45"/>
    <mergeCell ref="H45:K45"/>
    <mergeCell ref="F46:G46"/>
    <mergeCell ref="H46:K46"/>
    <mergeCell ref="F47:G47"/>
    <mergeCell ref="H47:K47"/>
    <mergeCell ref="F42:G42"/>
    <mergeCell ref="H42:K42"/>
    <mergeCell ref="F43:G43"/>
    <mergeCell ref="H43:K43"/>
    <mergeCell ref="F44:G44"/>
    <mergeCell ref="H44:K44"/>
    <mergeCell ref="F39:G39"/>
    <mergeCell ref="H39:K39"/>
    <mergeCell ref="F40:G40"/>
    <mergeCell ref="H40:K40"/>
    <mergeCell ref="F41:G41"/>
    <mergeCell ref="H41:K41"/>
    <mergeCell ref="F36:G36"/>
    <mergeCell ref="H36:K36"/>
    <mergeCell ref="F37:G37"/>
    <mergeCell ref="H37:K37"/>
    <mergeCell ref="F38:G38"/>
    <mergeCell ref="H38:K38"/>
    <mergeCell ref="F33:G33"/>
    <mergeCell ref="H33:K33"/>
    <mergeCell ref="F34:G34"/>
    <mergeCell ref="H34:K34"/>
    <mergeCell ref="F35:G35"/>
    <mergeCell ref="H35:K35"/>
    <mergeCell ref="F30:G30"/>
    <mergeCell ref="H30:K30"/>
    <mergeCell ref="F31:G31"/>
    <mergeCell ref="H31:K31"/>
    <mergeCell ref="F32:G32"/>
    <mergeCell ref="H32:K32"/>
    <mergeCell ref="F27:G27"/>
    <mergeCell ref="H27:K27"/>
    <mergeCell ref="F28:G28"/>
    <mergeCell ref="H28:K28"/>
    <mergeCell ref="F29:G29"/>
    <mergeCell ref="H29:K29"/>
    <mergeCell ref="F24:G24"/>
    <mergeCell ref="H24:K24"/>
    <mergeCell ref="F25:G25"/>
    <mergeCell ref="H25:K25"/>
    <mergeCell ref="F26:G26"/>
    <mergeCell ref="H26:K26"/>
    <mergeCell ref="F21:G21"/>
    <mergeCell ref="H21:K21"/>
    <mergeCell ref="F22:G22"/>
    <mergeCell ref="H22:K22"/>
    <mergeCell ref="F23:G23"/>
    <mergeCell ref="H23:K23"/>
    <mergeCell ref="F18:G18"/>
    <mergeCell ref="H18:K18"/>
    <mergeCell ref="F19:G19"/>
    <mergeCell ref="H19:K19"/>
    <mergeCell ref="F20:G20"/>
    <mergeCell ref="H20:K20"/>
    <mergeCell ref="F16:G16"/>
    <mergeCell ref="H16:K16"/>
    <mergeCell ref="F17:G17"/>
    <mergeCell ref="H17:K17"/>
  </mergeCells>
  <pageMargins left="0.25" right="0.25" top="0.5" bottom="0.25" header="0.3" footer="0.3"/>
  <pageSetup scale="48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Information Sales</vt:lpstr>
      <vt:lpstr>TASK LIST SC</vt:lpstr>
      <vt:lpstr>HRS DIST #1 SC</vt:lpstr>
      <vt:lpstr>PARTS LIST SC</vt:lpstr>
      <vt:lpstr>SUMMARY SC-Mang</vt:lpstr>
      <vt:lpstr>Scope of Work SC</vt:lpstr>
      <vt:lpstr>MRF SC-Mang</vt:lpstr>
      <vt:lpstr>Sheet2</vt:lpstr>
      <vt:lpstr>MRF Calculator</vt:lpstr>
      <vt:lpstr>'MRF Calculator'!DescriptionStart</vt:lpstr>
      <vt:lpstr>DescriptionStart</vt:lpstr>
      <vt:lpstr>'MRF Calculator'!PartNumberStart</vt:lpstr>
      <vt:lpstr>PartNumberStart</vt:lpstr>
      <vt:lpstr>'MRF Calculator'!Print_Area</vt:lpstr>
      <vt:lpstr>'PARTS LIST SC'!Print_Titles</vt:lpstr>
      <vt:lpstr>'TASK LIST SC'!Print_Titles</vt:lpstr>
      <vt:lpstr>'MRF Calculator'!ProductPriceStart</vt:lpstr>
      <vt:lpstr>ProductPriceStart</vt:lpstr>
      <vt:lpstr>'MRF Calculator'!QtyStart</vt:lpstr>
      <vt:lpstr>QtyStart</vt:lpstr>
      <vt:lpstr>'MRF Calculator'!VendorStart</vt:lpstr>
      <vt:lpstr>VendorStart</vt:lpstr>
    </vt:vector>
  </TitlesOfParts>
  <Manager>Arthur Zuberbier</Manager>
  <Company>Universal Compression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Parts and Labor Spreadsheet for Creating Proposals</dc:title>
  <dc:subject>Revised 05/16/07</dc:subject>
  <dc:creator>Bobby Dugas</dc:creator>
  <cp:lastModifiedBy>Mohamad Masri</cp:lastModifiedBy>
  <cp:lastPrinted>2016-05-20T19:30:19Z</cp:lastPrinted>
  <dcterms:created xsi:type="dcterms:W3CDTF">2001-08-10T18:04:04Z</dcterms:created>
  <dcterms:modified xsi:type="dcterms:W3CDTF">2016-05-20T20:14:18Z</dcterms:modified>
</cp:coreProperties>
</file>